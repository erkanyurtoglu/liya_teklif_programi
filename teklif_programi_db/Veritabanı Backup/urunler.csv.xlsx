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urto\Desktop\"/>
    </mc:Choice>
  </mc:AlternateContent>
  <xr:revisionPtr revIDLastSave="0" documentId="8_{754CF69E-ECD4-4EFB-9402-52EAF5B85C85}" xr6:coauthVersionLast="47" xr6:coauthVersionMax="47" xr10:uidLastSave="{00000000-0000-0000-0000-000000000000}"/>
  <bookViews>
    <workbookView xWindow="-108" yWindow="-108" windowWidth="23256" windowHeight="12456" xr2:uid="{00000000-000D-0000-FFFF-FFFF00000000}"/>
  </bookViews>
  <sheets>
    <sheet name="urunle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43" i="1" l="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473" i="1"/>
  <c r="J474" i="1"/>
  <c r="J475" i="1"/>
  <c r="J476" i="1"/>
  <c r="H473" i="1"/>
  <c r="H474" i="1"/>
  <c r="E474" i="1" s="1"/>
  <c r="H475" i="1"/>
  <c r="E475" i="1" s="1"/>
  <c r="H476" i="1"/>
  <c r="E473" i="1"/>
  <c r="E476" i="1"/>
  <c r="J467" i="1"/>
  <c r="J468" i="1"/>
  <c r="J469" i="1"/>
  <c r="J470" i="1"/>
  <c r="H467" i="1"/>
  <c r="E467" i="1" s="1"/>
  <c r="H468" i="1"/>
  <c r="E468" i="1" s="1"/>
  <c r="H469" i="1"/>
  <c r="E469" i="1" s="1"/>
  <c r="H470" i="1"/>
  <c r="E470" i="1" s="1"/>
  <c r="J462" i="1"/>
  <c r="J463" i="1"/>
  <c r="J464" i="1"/>
  <c r="H463" i="1"/>
  <c r="H464" i="1"/>
  <c r="E464" i="1" s="1"/>
  <c r="E463" i="1"/>
  <c r="J455" i="1"/>
  <c r="F943" i="1"/>
  <c r="F903" i="1"/>
  <c r="F898" i="1"/>
  <c r="F698" i="1"/>
  <c r="F697" i="1"/>
  <c r="F696" i="1"/>
  <c r="F695" i="1"/>
  <c r="F694" i="1"/>
  <c r="F693" i="1"/>
  <c r="F192" i="1" l="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187" i="1"/>
  <c r="F188" i="1"/>
  <c r="F189" i="1"/>
  <c r="F190" i="1"/>
  <c r="F191"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68" i="1"/>
  <c r="F72" i="1" l="1"/>
  <c r="F1864" i="1" l="1"/>
  <c r="F1865" i="1"/>
  <c r="F1866" i="1"/>
  <c r="F1867" i="1"/>
  <c r="F1868" i="1"/>
  <c r="F1869" i="1"/>
  <c r="F1870" i="1"/>
  <c r="F1871" i="1"/>
  <c r="F1873" i="1"/>
  <c r="F1872"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15" i="1"/>
  <c r="F1916" i="1"/>
  <c r="F1917" i="1"/>
  <c r="F1918" i="1"/>
  <c r="F1919" i="1"/>
  <c r="F1920" i="1"/>
  <c r="F1921" i="1"/>
  <c r="F1922" i="1"/>
  <c r="F1923" i="1"/>
  <c r="F1924" i="1"/>
  <c r="F1925" i="1"/>
  <c r="F1926" i="1"/>
  <c r="F1927" i="1"/>
  <c r="F1928" i="1"/>
  <c r="F1929" i="1"/>
  <c r="F1930" i="1"/>
  <c r="F1931" i="1"/>
  <c r="F1932" i="1"/>
  <c r="F1933"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1849" i="1"/>
  <c r="F1848" i="1"/>
  <c r="F1847" i="1"/>
  <c r="F1846" i="1"/>
  <c r="F1845" i="1"/>
  <c r="F1844" i="1"/>
  <c r="F1843" i="1"/>
  <c r="F1842" i="1"/>
  <c r="F1839" i="1"/>
  <c r="F1838" i="1"/>
  <c r="F1837" i="1"/>
  <c r="F1836" i="1"/>
  <c r="F1835" i="1"/>
  <c r="F1834" i="1"/>
  <c r="F1833" i="1"/>
  <c r="F1832" i="1"/>
  <c r="F1831" i="1"/>
  <c r="F1830" i="1"/>
  <c r="F1829" i="1"/>
  <c r="F1828" i="1"/>
  <c r="F1827" i="1"/>
  <c r="F1826" i="1"/>
  <c r="F1825" i="1"/>
  <c r="F1824" i="1"/>
  <c r="F1823" i="1"/>
  <c r="F1822" i="1"/>
  <c r="F1821" i="1"/>
  <c r="F1819" i="1"/>
  <c r="F1818" i="1"/>
  <c r="F1817" i="1"/>
  <c r="F1816" i="1"/>
  <c r="F1815" i="1"/>
  <c r="F1814" i="1"/>
  <c r="F1813" i="1"/>
  <c r="F1812" i="1"/>
  <c r="F1811" i="1"/>
  <c r="F1810" i="1"/>
  <c r="F1809" i="1"/>
  <c r="F1808" i="1"/>
  <c r="F1807" i="1"/>
  <c r="F1806" i="1"/>
  <c r="F1805" i="1"/>
  <c r="F1804" i="1"/>
  <c r="F1803" i="1"/>
  <c r="F1798" i="1"/>
  <c r="F1797" i="1"/>
  <c r="F1796" i="1"/>
  <c r="F1795" i="1"/>
  <c r="F1794" i="1"/>
  <c r="F1793" i="1"/>
  <c r="F1792" i="1"/>
  <c r="F1791" i="1"/>
  <c r="F1790" i="1"/>
  <c r="F1789" i="1"/>
  <c r="F1788" i="1"/>
  <c r="F1786" i="1"/>
  <c r="F1785" i="1"/>
  <c r="F1784" i="1"/>
  <c r="F1783" i="1"/>
  <c r="F1782" i="1"/>
  <c r="F1781" i="1"/>
  <c r="F1780" i="1"/>
  <c r="F1779" i="1"/>
  <c r="F1778" i="1"/>
  <c r="F1777" i="1"/>
  <c r="F1776" i="1"/>
  <c r="F1775" i="1"/>
  <c r="F1774"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34" i="1"/>
  <c r="F230" i="1"/>
  <c r="F229" i="1"/>
  <c r="F228" i="1"/>
  <c r="F154" i="1"/>
  <c r="F153" i="1"/>
  <c r="F125"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6" i="1"/>
  <c r="F127" i="1"/>
  <c r="F128" i="1"/>
  <c r="F129" i="1"/>
  <c r="F130" i="1"/>
  <c r="F131" i="1"/>
  <c r="F132" i="1"/>
  <c r="F133" i="1"/>
  <c r="F135" i="1"/>
  <c r="F136" i="1"/>
  <c r="F137" i="1"/>
  <c r="F138" i="1"/>
  <c r="F139" i="1"/>
  <c r="F140" i="1"/>
  <c r="F141" i="1"/>
  <c r="F142" i="1"/>
  <c r="F143" i="1"/>
  <c r="F144" i="1"/>
  <c r="F145" i="1"/>
  <c r="F146" i="1"/>
  <c r="F147" i="1"/>
  <c r="F148" i="1"/>
  <c r="F149" i="1"/>
  <c r="F150" i="1"/>
  <c r="F151" i="1"/>
  <c r="F152" i="1"/>
  <c r="F80" i="1"/>
  <c r="F75" i="1"/>
  <c r="F76" i="1"/>
  <c r="F77" i="1"/>
  <c r="F78" i="1"/>
  <c r="F79" i="1"/>
  <c r="F74" i="1"/>
  <c r="F69" i="1"/>
  <c r="F70" i="1"/>
  <c r="F71" i="1"/>
  <c r="F73" i="1"/>
  <c r="F43" i="1"/>
  <c r="F42" i="1"/>
  <c r="F39" i="1"/>
  <c r="F40" i="1"/>
  <c r="F41" i="1"/>
  <c r="F38" i="1"/>
  <c r="E1910" i="1"/>
  <c r="F49" i="1"/>
  <c r="J2232" i="1"/>
  <c r="J2229" i="1"/>
  <c r="J2228" i="1"/>
  <c r="J2227" i="1"/>
  <c r="J2226" i="1"/>
  <c r="J2225" i="1"/>
  <c r="J2224" i="1"/>
  <c r="J2223" i="1"/>
  <c r="J2222" i="1"/>
  <c r="J2221" i="1"/>
  <c r="J2220" i="1"/>
  <c r="J2219" i="1"/>
  <c r="J2218" i="1"/>
  <c r="J2217" i="1"/>
  <c r="J2204" i="1"/>
  <c r="J2201" i="1"/>
  <c r="J2190"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3" i="1"/>
  <c r="J1952" i="1"/>
  <c r="J1951" i="1"/>
  <c r="J1950" i="1"/>
  <c r="J1949" i="1"/>
  <c r="J1948" i="1"/>
  <c r="J1947" i="1"/>
  <c r="J1946" i="1"/>
  <c r="J1945" i="1"/>
  <c r="J1944" i="1"/>
  <c r="J1943" i="1"/>
  <c r="J1942" i="1"/>
  <c r="J1941" i="1"/>
  <c r="J1940" i="1"/>
  <c r="J1939" i="1"/>
  <c r="J1938" i="1"/>
  <c r="J1937" i="1"/>
  <c r="J1936"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595" i="1"/>
  <c r="J1594"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27" i="1"/>
  <c r="J1326" i="1"/>
  <c r="J1325" i="1"/>
  <c r="J1324"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7" i="1"/>
  <c r="J1226" i="1"/>
  <c r="J1225" i="1"/>
  <c r="J1224" i="1"/>
  <c r="J1223" i="1"/>
  <c r="J1222" i="1"/>
  <c r="J1221" i="1"/>
  <c r="J1220" i="1"/>
  <c r="J1219" i="1"/>
  <c r="J1218" i="1"/>
  <c r="J1214" i="1"/>
  <c r="J1213" i="1"/>
  <c r="J1212" i="1"/>
  <c r="J1207" i="1"/>
  <c r="J1206" i="1"/>
  <c r="J1205" i="1"/>
  <c r="J1204" i="1"/>
  <c r="J1203" i="1"/>
  <c r="J1202" i="1"/>
  <c r="J1201" i="1"/>
  <c r="J1200" i="1"/>
  <c r="J1199" i="1"/>
  <c r="J1198" i="1"/>
  <c r="J1197" i="1"/>
  <c r="J1196" i="1"/>
  <c r="J1195" i="1"/>
  <c r="J1194" i="1"/>
  <c r="J1193" i="1"/>
  <c r="J1192" i="1"/>
  <c r="J1191" i="1"/>
  <c r="J1190" i="1"/>
  <c r="J1189"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2" i="1"/>
  <c r="J1131" i="1"/>
  <c r="J1130" i="1"/>
  <c r="J1129" i="1"/>
  <c r="J1128" i="1"/>
  <c r="J1127" i="1"/>
  <c r="J1126" i="1"/>
  <c r="J1125" i="1"/>
  <c r="J1124" i="1"/>
  <c r="J1123" i="1"/>
  <c r="J1122" i="1"/>
  <c r="J1121" i="1"/>
  <c r="J1120" i="1"/>
  <c r="J1118" i="1"/>
  <c r="J1117" i="1"/>
  <c r="J1116" i="1"/>
  <c r="J1115" i="1"/>
  <c r="J1114" i="1"/>
  <c r="J1113" i="1"/>
  <c r="J1112" i="1"/>
  <c r="J1111" i="1"/>
  <c r="J1110" i="1"/>
  <c r="J1109" i="1"/>
  <c r="J1108" i="1"/>
  <c r="J1107" i="1"/>
  <c r="J1106" i="1"/>
  <c r="J1105" i="1"/>
  <c r="J1101" i="1"/>
  <c r="J1099" i="1"/>
  <c r="J1098" i="1"/>
  <c r="J1097" i="1"/>
  <c r="J1096" i="1"/>
  <c r="J1095" i="1"/>
  <c r="J1094" i="1"/>
  <c r="J1093" i="1"/>
  <c r="J1092" i="1"/>
  <c r="J1091" i="1"/>
  <c r="J1090" i="1"/>
  <c r="J1089"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2" i="1"/>
  <c r="J1011" i="1"/>
  <c r="J1010" i="1"/>
  <c r="J1009" i="1"/>
  <c r="J1008" i="1"/>
  <c r="J1007" i="1"/>
  <c r="J1006" i="1"/>
  <c r="J1005" i="1"/>
  <c r="J1004" i="1"/>
  <c r="J1003" i="1"/>
  <c r="J1002" i="1"/>
  <c r="J1001" i="1"/>
  <c r="J1000" i="1"/>
  <c r="J999" i="1"/>
  <c r="J998" i="1"/>
  <c r="J993" i="1"/>
  <c r="J992" i="1"/>
  <c r="J991" i="1"/>
  <c r="J990" i="1"/>
  <c r="J989" i="1"/>
  <c r="J988" i="1"/>
  <c r="J987" i="1"/>
  <c r="J986" i="1"/>
  <c r="J985" i="1"/>
  <c r="J984" i="1"/>
  <c r="J983" i="1"/>
  <c r="J982" i="1"/>
  <c r="J981" i="1"/>
  <c r="J980" i="1"/>
  <c r="J979" i="1"/>
  <c r="J942" i="1"/>
  <c r="J941" i="1"/>
  <c r="J940" i="1"/>
  <c r="J939" i="1"/>
  <c r="J938" i="1"/>
  <c r="J937"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79" i="1"/>
  <c r="J878" i="1"/>
  <c r="J877" i="1"/>
  <c r="J876" i="1"/>
  <c r="J875" i="1"/>
  <c r="J874" i="1"/>
  <c r="J873" i="1"/>
  <c r="J872" i="1"/>
  <c r="J871" i="1"/>
  <c r="J870" i="1"/>
  <c r="J869" i="1"/>
  <c r="J868" i="1"/>
  <c r="J867" i="1"/>
  <c r="J866" i="1"/>
  <c r="J865" i="1"/>
  <c r="J864" i="1"/>
  <c r="J863" i="1"/>
  <c r="J862" i="1"/>
  <c r="J861" i="1"/>
  <c r="J860" i="1"/>
  <c r="J859" i="1"/>
  <c r="J858" i="1"/>
  <c r="J857" i="1"/>
  <c r="J855" i="1"/>
  <c r="J854" i="1"/>
  <c r="J853" i="1"/>
  <c r="J852" i="1"/>
  <c r="J851" i="1"/>
  <c r="J850" i="1"/>
  <c r="J849" i="1"/>
  <c r="J848" i="1"/>
  <c r="J845" i="1"/>
  <c r="J844" i="1"/>
  <c r="J843" i="1"/>
  <c r="J842" i="1"/>
  <c r="J841" i="1"/>
  <c r="J840" i="1"/>
  <c r="J839" i="1"/>
  <c r="J838" i="1"/>
  <c r="J837" i="1"/>
  <c r="J835" i="1"/>
  <c r="J834" i="1"/>
  <c r="J833" i="1"/>
  <c r="J832" i="1"/>
  <c r="J831" i="1"/>
  <c r="J830" i="1"/>
  <c r="J829" i="1"/>
  <c r="J828" i="1"/>
  <c r="J827" i="1"/>
  <c r="J826" i="1"/>
  <c r="J825" i="1"/>
  <c r="J824" i="1"/>
  <c r="J823" i="1"/>
  <c r="J822" i="1"/>
  <c r="J821" i="1"/>
  <c r="J820" i="1"/>
  <c r="J819" i="1"/>
  <c r="J818" i="1"/>
  <c r="J817" i="1"/>
  <c r="J816" i="1"/>
  <c r="J815" i="1"/>
  <c r="J814" i="1"/>
  <c r="J813" i="1"/>
  <c r="J812"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43" i="1"/>
  <c r="J742" i="1"/>
  <c r="J741" i="1"/>
  <c r="J740" i="1"/>
  <c r="J739" i="1"/>
  <c r="J738" i="1"/>
  <c r="J737" i="1"/>
  <c r="J736" i="1"/>
  <c r="J735" i="1"/>
  <c r="J734" i="1"/>
  <c r="J733" i="1"/>
  <c r="J732" i="1"/>
  <c r="J731" i="1"/>
  <c r="J730" i="1"/>
  <c r="J729" i="1"/>
  <c r="J728" i="1"/>
  <c r="J727" i="1"/>
  <c r="J726" i="1"/>
  <c r="J725" i="1"/>
  <c r="J724" i="1"/>
  <c r="J723" i="1"/>
  <c r="J722" i="1"/>
  <c r="J721"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6" i="1"/>
  <c r="J654" i="1"/>
  <c r="J652" i="1"/>
  <c r="J650" i="1"/>
  <c r="J649" i="1"/>
  <c r="J648" i="1"/>
  <c r="J646" i="1"/>
  <c r="J645" i="1"/>
  <c r="J644" i="1"/>
  <c r="J643" i="1"/>
  <c r="J642" i="1"/>
  <c r="J641" i="1"/>
  <c r="J640" i="1"/>
  <c r="J639" i="1"/>
  <c r="J638" i="1"/>
  <c r="J637" i="1"/>
  <c r="J636" i="1"/>
  <c r="J635" i="1"/>
  <c r="J634" i="1"/>
  <c r="J633" i="1"/>
  <c r="J631" i="1"/>
  <c r="J630" i="1"/>
  <c r="J629" i="1"/>
  <c r="J628" i="1"/>
  <c r="J627" i="1"/>
  <c r="J626" i="1"/>
  <c r="J625" i="1"/>
  <c r="J624" i="1"/>
  <c r="J623" i="1"/>
  <c r="J622" i="1"/>
  <c r="J621" i="1"/>
  <c r="J620" i="1"/>
  <c r="J619" i="1"/>
  <c r="J618" i="1"/>
  <c r="J617" i="1"/>
  <c r="J616" i="1"/>
  <c r="J615" i="1"/>
  <c r="J614" i="1"/>
  <c r="J613" i="1"/>
  <c r="J612" i="1"/>
  <c r="J611" i="1"/>
  <c r="J607" i="1"/>
  <c r="J606" i="1"/>
  <c r="J605" i="1"/>
  <c r="J604" i="1"/>
  <c r="J603" i="1"/>
  <c r="J602" i="1"/>
  <c r="J601" i="1"/>
  <c r="J600" i="1"/>
  <c r="J599" i="1"/>
  <c r="J597" i="1"/>
  <c r="J596" i="1"/>
  <c r="J595" i="1"/>
  <c r="J594" i="1"/>
  <c r="J593" i="1"/>
  <c r="J592" i="1"/>
  <c r="J591" i="1"/>
  <c r="J590" i="1"/>
  <c r="J589" i="1"/>
  <c r="J588" i="1"/>
  <c r="J587" i="1"/>
  <c r="J586" i="1"/>
  <c r="J585" i="1"/>
  <c r="J584" i="1"/>
  <c r="J583" i="1"/>
  <c r="J582" i="1"/>
  <c r="J581" i="1"/>
  <c r="J580" i="1"/>
  <c r="J579" i="1"/>
  <c r="J578" i="1"/>
  <c r="J577" i="1"/>
  <c r="J576" i="1"/>
  <c r="J575" i="1"/>
  <c r="J574" i="1"/>
  <c r="J569" i="1"/>
  <c r="J568" i="1"/>
  <c r="J567" i="1"/>
  <c r="J566" i="1"/>
  <c r="J565" i="1"/>
  <c r="J564" i="1"/>
  <c r="J563" i="1"/>
  <c r="J562" i="1"/>
  <c r="J561" i="1"/>
  <c r="J560" i="1"/>
  <c r="J559" i="1"/>
  <c r="J558"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6" i="1"/>
  <c r="J514" i="1"/>
  <c r="J513" i="1"/>
  <c r="J512" i="1"/>
  <c r="J511" i="1"/>
  <c r="J510" i="1"/>
  <c r="J509" i="1"/>
  <c r="J508" i="1"/>
  <c r="J507" i="1"/>
  <c r="J506" i="1"/>
  <c r="J505" i="1"/>
  <c r="J504" i="1"/>
  <c r="J500" i="1"/>
  <c r="J499" i="1"/>
  <c r="J498" i="1"/>
  <c r="J497" i="1"/>
  <c r="J496" i="1"/>
  <c r="J495" i="1"/>
  <c r="J494" i="1"/>
  <c r="J493" i="1"/>
  <c r="J492" i="1"/>
  <c r="J491" i="1"/>
  <c r="J490" i="1"/>
  <c r="J489" i="1"/>
  <c r="J488" i="1"/>
  <c r="J487" i="1"/>
  <c r="J486" i="1"/>
  <c r="J485" i="1"/>
  <c r="J484" i="1"/>
  <c r="J483" i="1"/>
  <c r="J482" i="1"/>
  <c r="J481" i="1"/>
  <c r="J480" i="1"/>
  <c r="J479" i="1"/>
  <c r="J478" i="1"/>
  <c r="J477" i="1"/>
  <c r="J472" i="1"/>
  <c r="J471" i="1"/>
  <c r="J466" i="1"/>
  <c r="J465" i="1"/>
  <c r="J461" i="1"/>
  <c r="J460" i="1"/>
  <c r="J459" i="1"/>
  <c r="J458" i="1"/>
  <c r="J457" i="1"/>
  <c r="J456" i="1"/>
  <c r="J453" i="1"/>
  <c r="J452" i="1"/>
  <c r="J451" i="1"/>
  <c r="J450" i="1"/>
  <c r="J449" i="1"/>
  <c r="J448" i="1"/>
  <c r="J447" i="1"/>
  <c r="J446" i="1"/>
  <c r="J445" i="1"/>
  <c r="J444" i="1"/>
  <c r="J441" i="1"/>
  <c r="J440" i="1"/>
  <c r="J439" i="1"/>
  <c r="J438" i="1"/>
  <c r="J437" i="1"/>
  <c r="J436" i="1"/>
  <c r="J435" i="1"/>
  <c r="J434" i="1"/>
  <c r="J433" i="1"/>
  <c r="J432" i="1"/>
  <c r="J431" i="1"/>
  <c r="J430" i="1"/>
  <c r="J429"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2" i="1"/>
  <c r="J31" i="1"/>
  <c r="J30" i="1"/>
  <c r="J29" i="1"/>
  <c r="J25" i="1"/>
  <c r="J24" i="1"/>
  <c r="J23" i="1"/>
  <c r="J22" i="1"/>
  <c r="J21" i="1"/>
  <c r="J20" i="1"/>
  <c r="J19" i="1"/>
  <c r="J18" i="1"/>
  <c r="J17" i="1"/>
  <c r="J16" i="1"/>
  <c r="H2" i="1"/>
  <c r="E2" i="1" s="1"/>
  <c r="I2225" i="1"/>
  <c r="I2223" i="1"/>
  <c r="I2201" i="1"/>
  <c r="I2190"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3" i="1"/>
  <c r="I1952" i="1"/>
  <c r="I1951" i="1"/>
  <c r="I1950" i="1"/>
  <c r="I1949" i="1"/>
  <c r="I1948" i="1"/>
  <c r="I1947" i="1"/>
  <c r="I1946" i="1"/>
  <c r="I1945" i="1"/>
  <c r="I1944" i="1"/>
  <c r="I1943" i="1"/>
  <c r="I1942" i="1"/>
  <c r="I1941" i="1"/>
  <c r="I1940" i="1"/>
  <c r="I1939" i="1"/>
  <c r="I1938" i="1"/>
  <c r="I1937" i="1"/>
  <c r="I1936"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595" i="1"/>
  <c r="I1594"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21" i="1"/>
  <c r="I1309" i="1"/>
  <c r="I1307" i="1"/>
  <c r="I1297" i="1"/>
  <c r="I1296" i="1"/>
  <c r="I1295" i="1"/>
  <c r="I1238" i="1"/>
  <c r="I1237" i="1"/>
  <c r="I1236" i="1"/>
  <c r="I1235" i="1"/>
  <c r="I1234" i="1"/>
  <c r="I1233" i="1"/>
  <c r="I1232" i="1"/>
  <c r="I1231" i="1"/>
  <c r="I1230" i="1"/>
  <c r="I1212" i="1"/>
  <c r="I1207" i="1"/>
  <c r="I1206" i="1"/>
  <c r="I1205" i="1"/>
  <c r="I1204" i="1"/>
  <c r="I1203" i="1"/>
  <c r="I1202" i="1"/>
  <c r="I1153" i="1"/>
  <c r="I1152" i="1"/>
  <c r="I1151" i="1"/>
  <c r="I1113" i="1"/>
  <c r="I1112" i="1"/>
  <c r="I1111" i="1"/>
  <c r="I1110" i="1"/>
  <c r="I1109" i="1"/>
  <c r="I1107" i="1"/>
  <c r="I1106" i="1"/>
  <c r="I1076" i="1"/>
  <c r="I1075" i="1"/>
  <c r="I1074" i="1"/>
  <c r="I1073" i="1"/>
  <c r="I1072" i="1"/>
  <c r="I1055" i="1"/>
  <c r="I1054" i="1"/>
  <c r="I1053" i="1"/>
  <c r="I1052" i="1"/>
  <c r="I1051" i="1"/>
  <c r="I1050" i="1"/>
  <c r="I1049" i="1"/>
  <c r="I1048" i="1"/>
  <c r="I1047" i="1"/>
  <c r="I1011" i="1"/>
  <c r="I1010" i="1"/>
  <c r="I884" i="1"/>
  <c r="I871" i="1"/>
  <c r="I870" i="1"/>
  <c r="I869" i="1"/>
  <c r="I854" i="1"/>
  <c r="I853" i="1"/>
  <c r="I852" i="1"/>
  <c r="I820" i="1"/>
  <c r="I818" i="1"/>
  <c r="I777" i="1"/>
  <c r="I776" i="1"/>
  <c r="I775" i="1"/>
  <c r="I774" i="1"/>
  <c r="I773" i="1"/>
  <c r="I740" i="1"/>
  <c r="I739" i="1"/>
  <c r="I738" i="1"/>
  <c r="I737" i="1"/>
  <c r="I736" i="1"/>
  <c r="I735" i="1"/>
  <c r="I733" i="1"/>
  <c r="I730" i="1"/>
  <c r="I728" i="1"/>
  <c r="I726" i="1"/>
  <c r="I725" i="1"/>
  <c r="I723" i="1"/>
  <c r="I722" i="1"/>
  <c r="I682" i="1"/>
  <c r="I681" i="1"/>
  <c r="I680" i="1"/>
  <c r="I658" i="1"/>
  <c r="I656" i="1"/>
  <c r="I613" i="1"/>
  <c r="I612" i="1"/>
  <c r="I607" i="1"/>
  <c r="I606" i="1"/>
  <c r="I605" i="1"/>
  <c r="I603" i="1"/>
  <c r="I596" i="1"/>
  <c r="I595" i="1"/>
  <c r="I594" i="1"/>
  <c r="I543" i="1"/>
  <c r="I25" i="1"/>
  <c r="I20" i="1"/>
  <c r="I19" i="1"/>
  <c r="H2280" i="1"/>
  <c r="E2280" i="1" s="1"/>
  <c r="H2279" i="1"/>
  <c r="H2278" i="1"/>
  <c r="H2277" i="1"/>
  <c r="H2276" i="1"/>
  <c r="H2275" i="1"/>
  <c r="E2275" i="1" s="1"/>
  <c r="H2274" i="1"/>
  <c r="E2274" i="1" s="1"/>
  <c r="H2273" i="1"/>
  <c r="E2273" i="1" s="1"/>
  <c r="H2272" i="1"/>
  <c r="E2272" i="1" s="1"/>
  <c r="H2271" i="1"/>
  <c r="E2271" i="1" s="1"/>
  <c r="H2270" i="1"/>
  <c r="E2270" i="1" s="1"/>
  <c r="H2269" i="1"/>
  <c r="E2269" i="1" s="1"/>
  <c r="H2268" i="1"/>
  <c r="E2268" i="1" s="1"/>
  <c r="H2267" i="1"/>
  <c r="E2267" i="1" s="1"/>
  <c r="H2266" i="1"/>
  <c r="E2266" i="1" s="1"/>
  <c r="H2265" i="1"/>
  <c r="E2265" i="1" s="1"/>
  <c r="H2264" i="1"/>
  <c r="E2264" i="1" s="1"/>
  <c r="H2263" i="1"/>
  <c r="E2263" i="1" s="1"/>
  <c r="H2262" i="1"/>
  <c r="E2262" i="1" s="1"/>
  <c r="H2261" i="1"/>
  <c r="E2261" i="1" s="1"/>
  <c r="H2260" i="1"/>
  <c r="E2260" i="1" s="1"/>
  <c r="H2259" i="1"/>
  <c r="E2259" i="1" s="1"/>
  <c r="H2258" i="1"/>
  <c r="E2258" i="1" s="1"/>
  <c r="H2257" i="1"/>
  <c r="E2257" i="1" s="1"/>
  <c r="H2256" i="1"/>
  <c r="E2256" i="1" s="1"/>
  <c r="H2255" i="1"/>
  <c r="E2255" i="1" s="1"/>
  <c r="H2254" i="1"/>
  <c r="E2254" i="1" s="1"/>
  <c r="H2253" i="1"/>
  <c r="E2253" i="1" s="1"/>
  <c r="H2252" i="1"/>
  <c r="E2252" i="1" s="1"/>
  <c r="H2251" i="1"/>
  <c r="E2251" i="1" s="1"/>
  <c r="H2250" i="1"/>
  <c r="E2250" i="1" s="1"/>
  <c r="H2249" i="1"/>
  <c r="E2249" i="1" s="1"/>
  <c r="H2248" i="1"/>
  <c r="E2248" i="1" s="1"/>
  <c r="H2247" i="1"/>
  <c r="E2247" i="1" s="1"/>
  <c r="H2246" i="1"/>
  <c r="E2246" i="1" s="1"/>
  <c r="H2245" i="1"/>
  <c r="E2245" i="1" s="1"/>
  <c r="H2244" i="1"/>
  <c r="E2244" i="1" s="1"/>
  <c r="H2243" i="1"/>
  <c r="E2243" i="1" s="1"/>
  <c r="H2242" i="1"/>
  <c r="E2242" i="1" s="1"/>
  <c r="H2241" i="1"/>
  <c r="E2241" i="1" s="1"/>
  <c r="H2240" i="1"/>
  <c r="E2240" i="1" s="1"/>
  <c r="H2239" i="1"/>
  <c r="E2239" i="1" s="1"/>
  <c r="H2238" i="1"/>
  <c r="E2238" i="1" s="1"/>
  <c r="H2237" i="1"/>
  <c r="E2237" i="1" s="1"/>
  <c r="H2236" i="1"/>
  <c r="E2236" i="1" s="1"/>
  <c r="H2235" i="1"/>
  <c r="E2235" i="1" s="1"/>
  <c r="H2234" i="1"/>
  <c r="E2234" i="1" s="1"/>
  <c r="H2232" i="1"/>
  <c r="E2232" i="1" s="1"/>
  <c r="H2229" i="1"/>
  <c r="E2229" i="1" s="1"/>
  <c r="H2228" i="1"/>
  <c r="E2228" i="1" s="1"/>
  <c r="H2227" i="1"/>
  <c r="E2227" i="1" s="1"/>
  <c r="H2226" i="1"/>
  <c r="E2226" i="1" s="1"/>
  <c r="H2225" i="1"/>
  <c r="E2225" i="1" s="1"/>
  <c r="H2224" i="1"/>
  <c r="E2224" i="1" s="1"/>
  <c r="H2223" i="1"/>
  <c r="E2223" i="1" s="1"/>
  <c r="H2222" i="1"/>
  <c r="E2222" i="1" s="1"/>
  <c r="H2221" i="1"/>
  <c r="E2221" i="1" s="1"/>
  <c r="H2220" i="1"/>
  <c r="E2220" i="1" s="1"/>
  <c r="H2219" i="1"/>
  <c r="E2219" i="1" s="1"/>
  <c r="H2218" i="1"/>
  <c r="E2218" i="1" s="1"/>
  <c r="H2217" i="1"/>
  <c r="E2217" i="1" s="1"/>
  <c r="H2215" i="1"/>
  <c r="E2215" i="1" s="1"/>
  <c r="H2214" i="1"/>
  <c r="E2214" i="1" s="1"/>
  <c r="H2213" i="1"/>
  <c r="E2213" i="1" s="1"/>
  <c r="H2212" i="1"/>
  <c r="E2212" i="1" s="1"/>
  <c r="H2211" i="1"/>
  <c r="E2211" i="1" s="1"/>
  <c r="H2210" i="1"/>
  <c r="E2210" i="1" s="1"/>
  <c r="H2209" i="1"/>
  <c r="E2209" i="1" s="1"/>
  <c r="H2207" i="1"/>
  <c r="E2207" i="1" s="1"/>
  <c r="H2206" i="1"/>
  <c r="E2206" i="1" s="1"/>
  <c r="H2205" i="1"/>
  <c r="E2205" i="1" s="1"/>
  <c r="H2204" i="1"/>
  <c r="E2204" i="1" s="1"/>
  <c r="H2203" i="1"/>
  <c r="E2203" i="1" s="1"/>
  <c r="H2202" i="1"/>
  <c r="E2202" i="1" s="1"/>
  <c r="H2201" i="1"/>
  <c r="E2201" i="1" s="1"/>
  <c r="H2190" i="1"/>
  <c r="E2190" i="1" s="1"/>
  <c r="H2189" i="1"/>
  <c r="E2189" i="1" s="1"/>
  <c r="H2188" i="1"/>
  <c r="E2188" i="1" s="1"/>
  <c r="H2187" i="1"/>
  <c r="E2187" i="1" s="1"/>
  <c r="H2186" i="1"/>
  <c r="E2186" i="1" s="1"/>
  <c r="H2185" i="1"/>
  <c r="E2185" i="1" s="1"/>
  <c r="H2184" i="1"/>
  <c r="E2184" i="1" s="1"/>
  <c r="H2183" i="1"/>
  <c r="E2183" i="1" s="1"/>
  <c r="H2182" i="1"/>
  <c r="E2182" i="1" s="1"/>
  <c r="H2181" i="1"/>
  <c r="E2181" i="1" s="1"/>
  <c r="H2180" i="1"/>
  <c r="E2180" i="1" s="1"/>
  <c r="H2179" i="1"/>
  <c r="E2179" i="1" s="1"/>
  <c r="H2178" i="1"/>
  <c r="E2178" i="1" s="1"/>
  <c r="H2177" i="1"/>
  <c r="E2177" i="1" s="1"/>
  <c r="H2176" i="1"/>
  <c r="E2176" i="1" s="1"/>
  <c r="H2175" i="1"/>
  <c r="E2175" i="1" s="1"/>
  <c r="H2174" i="1"/>
  <c r="E2174" i="1" s="1"/>
  <c r="H2173" i="1"/>
  <c r="E2173" i="1" s="1"/>
  <c r="H2172" i="1"/>
  <c r="E2172" i="1" s="1"/>
  <c r="H2171" i="1"/>
  <c r="E2171" i="1" s="1"/>
  <c r="H2170" i="1"/>
  <c r="E2170" i="1" s="1"/>
  <c r="H2169" i="1"/>
  <c r="E2169" i="1" s="1"/>
  <c r="H2168" i="1"/>
  <c r="E2168" i="1" s="1"/>
  <c r="H2167" i="1"/>
  <c r="E2167" i="1" s="1"/>
  <c r="H2166" i="1"/>
  <c r="E2166" i="1" s="1"/>
  <c r="H2165" i="1"/>
  <c r="E2165" i="1" s="1"/>
  <c r="H2164" i="1"/>
  <c r="E2164" i="1" s="1"/>
  <c r="H2163" i="1"/>
  <c r="E2163" i="1" s="1"/>
  <c r="H2162" i="1"/>
  <c r="E2162" i="1" s="1"/>
  <c r="H2161" i="1"/>
  <c r="E2161" i="1" s="1"/>
  <c r="H2160" i="1"/>
  <c r="E2160" i="1" s="1"/>
  <c r="H2159" i="1"/>
  <c r="E2159" i="1" s="1"/>
  <c r="H2158" i="1"/>
  <c r="E2158" i="1" s="1"/>
  <c r="H2157" i="1"/>
  <c r="E2157" i="1" s="1"/>
  <c r="H2156" i="1"/>
  <c r="H2155" i="1"/>
  <c r="E2155" i="1" s="1"/>
  <c r="H2154" i="1"/>
  <c r="E2154" i="1" s="1"/>
  <c r="H2153" i="1"/>
  <c r="E2153" i="1" s="1"/>
  <c r="H2152" i="1"/>
  <c r="E2152" i="1" s="1"/>
  <c r="H2151" i="1"/>
  <c r="E2151" i="1" s="1"/>
  <c r="H2150" i="1"/>
  <c r="E2150" i="1" s="1"/>
  <c r="H2149" i="1"/>
  <c r="E2149" i="1" s="1"/>
  <c r="H2148" i="1"/>
  <c r="E2148" i="1" s="1"/>
  <c r="H2147" i="1"/>
  <c r="E2147" i="1" s="1"/>
  <c r="H2146" i="1"/>
  <c r="E2146" i="1" s="1"/>
  <c r="H2145" i="1"/>
  <c r="E2145" i="1" s="1"/>
  <c r="H2144" i="1"/>
  <c r="E2144" i="1" s="1"/>
  <c r="H2143" i="1"/>
  <c r="E2143" i="1" s="1"/>
  <c r="H2142" i="1"/>
  <c r="E2142" i="1" s="1"/>
  <c r="H2141" i="1"/>
  <c r="E2141" i="1" s="1"/>
  <c r="H2140" i="1"/>
  <c r="E2140" i="1" s="1"/>
  <c r="H2139" i="1"/>
  <c r="E2139" i="1" s="1"/>
  <c r="H2138" i="1"/>
  <c r="E2138" i="1" s="1"/>
  <c r="H2137" i="1"/>
  <c r="E2137" i="1" s="1"/>
  <c r="H2136" i="1"/>
  <c r="E2136" i="1" s="1"/>
  <c r="H2135" i="1"/>
  <c r="E2135" i="1" s="1"/>
  <c r="H2134" i="1"/>
  <c r="E2134" i="1" s="1"/>
  <c r="H2133" i="1"/>
  <c r="E2133" i="1" s="1"/>
  <c r="H2132" i="1"/>
  <c r="E2132" i="1" s="1"/>
  <c r="H2131" i="1"/>
  <c r="E2131" i="1" s="1"/>
  <c r="H2130" i="1"/>
  <c r="E2130" i="1" s="1"/>
  <c r="H2129" i="1"/>
  <c r="E2129" i="1" s="1"/>
  <c r="H2128" i="1"/>
  <c r="E2128" i="1" s="1"/>
  <c r="H2127" i="1"/>
  <c r="E2127" i="1" s="1"/>
  <c r="H2126" i="1"/>
  <c r="E2126" i="1" s="1"/>
  <c r="H2125" i="1"/>
  <c r="E2125" i="1" s="1"/>
  <c r="H2124" i="1"/>
  <c r="E2124" i="1" s="1"/>
  <c r="H2123" i="1"/>
  <c r="E2123" i="1" s="1"/>
  <c r="H2122" i="1"/>
  <c r="E2122" i="1" s="1"/>
  <c r="H2121" i="1"/>
  <c r="E2121" i="1" s="1"/>
  <c r="H2120" i="1"/>
  <c r="E2120" i="1" s="1"/>
  <c r="H2119" i="1"/>
  <c r="E2119" i="1" s="1"/>
  <c r="H2118" i="1"/>
  <c r="E2118" i="1" s="1"/>
  <c r="H2117" i="1"/>
  <c r="E2117" i="1" s="1"/>
  <c r="H2116" i="1"/>
  <c r="E2116" i="1" s="1"/>
  <c r="H2115" i="1"/>
  <c r="E2115" i="1" s="1"/>
  <c r="H2114" i="1"/>
  <c r="E2114" i="1" s="1"/>
  <c r="H2113" i="1"/>
  <c r="E2113" i="1" s="1"/>
  <c r="H2112" i="1"/>
  <c r="E2112" i="1" s="1"/>
  <c r="H2111" i="1"/>
  <c r="E2111" i="1" s="1"/>
  <c r="H2110" i="1"/>
  <c r="E2110" i="1" s="1"/>
  <c r="H2109" i="1"/>
  <c r="E2109" i="1" s="1"/>
  <c r="H2108" i="1"/>
  <c r="H2107" i="1"/>
  <c r="E2107" i="1" s="1"/>
  <c r="H2106" i="1"/>
  <c r="E2106" i="1" s="1"/>
  <c r="H2105" i="1"/>
  <c r="E2105" i="1" s="1"/>
  <c r="H2104" i="1"/>
  <c r="E2104" i="1" s="1"/>
  <c r="H2103" i="1"/>
  <c r="E2103" i="1" s="1"/>
  <c r="H2102" i="1"/>
  <c r="E2102" i="1" s="1"/>
  <c r="H2101" i="1"/>
  <c r="E2101" i="1" s="1"/>
  <c r="H2100" i="1"/>
  <c r="E2100" i="1" s="1"/>
  <c r="H2099" i="1"/>
  <c r="E2099" i="1" s="1"/>
  <c r="H2098" i="1"/>
  <c r="E2098" i="1" s="1"/>
  <c r="H2097" i="1"/>
  <c r="E2097" i="1" s="1"/>
  <c r="H2096" i="1"/>
  <c r="E2096" i="1" s="1"/>
  <c r="H2095" i="1"/>
  <c r="E2095" i="1" s="1"/>
  <c r="H2094" i="1"/>
  <c r="E2094" i="1" s="1"/>
  <c r="H2093" i="1"/>
  <c r="E2093" i="1" s="1"/>
  <c r="H2092" i="1"/>
  <c r="E2092" i="1" s="1"/>
  <c r="H2091" i="1"/>
  <c r="E2091" i="1" s="1"/>
  <c r="H2090" i="1"/>
  <c r="E2090" i="1" s="1"/>
  <c r="H2089" i="1"/>
  <c r="E2089" i="1" s="1"/>
  <c r="H2088" i="1"/>
  <c r="E2088" i="1" s="1"/>
  <c r="H2087" i="1"/>
  <c r="E2087" i="1" s="1"/>
  <c r="H2086" i="1"/>
  <c r="E2086" i="1" s="1"/>
  <c r="H2085" i="1"/>
  <c r="E2085" i="1" s="1"/>
  <c r="H2084" i="1"/>
  <c r="H2083" i="1"/>
  <c r="E2083" i="1" s="1"/>
  <c r="H2082" i="1"/>
  <c r="E2082" i="1" s="1"/>
  <c r="H2081" i="1"/>
  <c r="E2081" i="1" s="1"/>
  <c r="H2080" i="1"/>
  <c r="E2080" i="1" s="1"/>
  <c r="H2079" i="1"/>
  <c r="E2079" i="1" s="1"/>
  <c r="H2078" i="1"/>
  <c r="E2078" i="1" s="1"/>
  <c r="H2077" i="1"/>
  <c r="E2077" i="1" s="1"/>
  <c r="H2076" i="1"/>
  <c r="E2076" i="1" s="1"/>
  <c r="H2075" i="1"/>
  <c r="E2075" i="1" s="1"/>
  <c r="H2074" i="1"/>
  <c r="E2074" i="1" s="1"/>
  <c r="H2073" i="1"/>
  <c r="E2073" i="1" s="1"/>
  <c r="H2072" i="1"/>
  <c r="E2072" i="1" s="1"/>
  <c r="H2071" i="1"/>
  <c r="E2071" i="1" s="1"/>
  <c r="H2070" i="1"/>
  <c r="E2070" i="1" s="1"/>
  <c r="H2069" i="1"/>
  <c r="E2069" i="1" s="1"/>
  <c r="H2068" i="1"/>
  <c r="E2068" i="1" s="1"/>
  <c r="H2067" i="1"/>
  <c r="E2067" i="1" s="1"/>
  <c r="H2066" i="1"/>
  <c r="E2066" i="1" s="1"/>
  <c r="H2065" i="1"/>
  <c r="E2065" i="1" s="1"/>
  <c r="H2064" i="1"/>
  <c r="E2064" i="1" s="1"/>
  <c r="H2063" i="1"/>
  <c r="E2063" i="1" s="1"/>
  <c r="H2062" i="1"/>
  <c r="E2062" i="1" s="1"/>
  <c r="H2061" i="1"/>
  <c r="E2061" i="1" s="1"/>
  <c r="H2060" i="1"/>
  <c r="E2060" i="1" s="1"/>
  <c r="H2059" i="1"/>
  <c r="E2059" i="1" s="1"/>
  <c r="H2058" i="1"/>
  <c r="E2058" i="1" s="1"/>
  <c r="H2057" i="1"/>
  <c r="E2057" i="1" s="1"/>
  <c r="H2056" i="1"/>
  <c r="E2056" i="1" s="1"/>
  <c r="H2055" i="1"/>
  <c r="E2055" i="1" s="1"/>
  <c r="H2054" i="1"/>
  <c r="E2054" i="1" s="1"/>
  <c r="H2053" i="1"/>
  <c r="E2053" i="1" s="1"/>
  <c r="H2052" i="1"/>
  <c r="E2052" i="1" s="1"/>
  <c r="H2051" i="1"/>
  <c r="E2051" i="1" s="1"/>
  <c r="H2050" i="1"/>
  <c r="E2050" i="1" s="1"/>
  <c r="H2049" i="1"/>
  <c r="E2049" i="1" s="1"/>
  <c r="H2048" i="1"/>
  <c r="E2048" i="1" s="1"/>
  <c r="H2047" i="1"/>
  <c r="E2047" i="1" s="1"/>
  <c r="H2046" i="1"/>
  <c r="E2046" i="1" s="1"/>
  <c r="H2045" i="1"/>
  <c r="E2045" i="1" s="1"/>
  <c r="H2044" i="1"/>
  <c r="E2044" i="1" s="1"/>
  <c r="H2043" i="1"/>
  <c r="E2043" i="1" s="1"/>
  <c r="H2042" i="1"/>
  <c r="E2042" i="1" s="1"/>
  <c r="H2041" i="1"/>
  <c r="E2041" i="1" s="1"/>
  <c r="H2040" i="1"/>
  <c r="E2040" i="1" s="1"/>
  <c r="H2039" i="1"/>
  <c r="E2039" i="1" s="1"/>
  <c r="H2038" i="1"/>
  <c r="E2038" i="1" s="1"/>
  <c r="H2037" i="1"/>
  <c r="E2037" i="1" s="1"/>
  <c r="H2036" i="1"/>
  <c r="E2036" i="1" s="1"/>
  <c r="H2035" i="1"/>
  <c r="E2035" i="1" s="1"/>
  <c r="H2034" i="1"/>
  <c r="E2034" i="1" s="1"/>
  <c r="H2033" i="1"/>
  <c r="E2033" i="1" s="1"/>
  <c r="H2032" i="1"/>
  <c r="E2032" i="1" s="1"/>
  <c r="H2031" i="1"/>
  <c r="E2031" i="1" s="1"/>
  <c r="H2030" i="1"/>
  <c r="E2030" i="1" s="1"/>
  <c r="H2029" i="1"/>
  <c r="E2029" i="1" s="1"/>
  <c r="H2028" i="1"/>
  <c r="E2028" i="1" s="1"/>
  <c r="H2027" i="1"/>
  <c r="E2027" i="1" s="1"/>
  <c r="H2026" i="1"/>
  <c r="E2026" i="1" s="1"/>
  <c r="H2025" i="1"/>
  <c r="E2025" i="1" s="1"/>
  <c r="H2024" i="1"/>
  <c r="E2024" i="1" s="1"/>
  <c r="H2023" i="1"/>
  <c r="E2023" i="1" s="1"/>
  <c r="H2022" i="1"/>
  <c r="E2022" i="1" s="1"/>
  <c r="H2021" i="1"/>
  <c r="E2021" i="1" s="1"/>
  <c r="H2020" i="1"/>
  <c r="E2020" i="1" s="1"/>
  <c r="H2019" i="1"/>
  <c r="E2019" i="1" s="1"/>
  <c r="H2018" i="1"/>
  <c r="E2018" i="1" s="1"/>
  <c r="H2017" i="1"/>
  <c r="E2017" i="1" s="1"/>
  <c r="H2016" i="1"/>
  <c r="E2016" i="1" s="1"/>
  <c r="H2015" i="1"/>
  <c r="E2015" i="1" s="1"/>
  <c r="H2014" i="1"/>
  <c r="E2014" i="1" s="1"/>
  <c r="H2013" i="1"/>
  <c r="E2013" i="1" s="1"/>
  <c r="H2012" i="1"/>
  <c r="E2012" i="1" s="1"/>
  <c r="H2011" i="1"/>
  <c r="E2011" i="1" s="1"/>
  <c r="H2010" i="1"/>
  <c r="E2010" i="1" s="1"/>
  <c r="H2009" i="1"/>
  <c r="E2009" i="1" s="1"/>
  <c r="H2008" i="1"/>
  <c r="E2008" i="1" s="1"/>
  <c r="H2007" i="1"/>
  <c r="E2007" i="1" s="1"/>
  <c r="H2006" i="1"/>
  <c r="E2006" i="1" s="1"/>
  <c r="H2005" i="1"/>
  <c r="E2005" i="1" s="1"/>
  <c r="H2004" i="1"/>
  <c r="E2004" i="1" s="1"/>
  <c r="H2003" i="1"/>
  <c r="E2003" i="1" s="1"/>
  <c r="H2002" i="1"/>
  <c r="E2002" i="1" s="1"/>
  <c r="H2001" i="1"/>
  <c r="E2001" i="1" s="1"/>
  <c r="H2000" i="1"/>
  <c r="H1999" i="1"/>
  <c r="E1999" i="1" s="1"/>
  <c r="H1998" i="1"/>
  <c r="E1998" i="1" s="1"/>
  <c r="H1997" i="1"/>
  <c r="E1997" i="1" s="1"/>
  <c r="H1996" i="1"/>
  <c r="E1996" i="1" s="1"/>
  <c r="H1995" i="1"/>
  <c r="E1995" i="1" s="1"/>
  <c r="H1994" i="1"/>
  <c r="E1994" i="1" s="1"/>
  <c r="H1993" i="1"/>
  <c r="E1993" i="1" s="1"/>
  <c r="H1992" i="1"/>
  <c r="E1992" i="1" s="1"/>
  <c r="H1991" i="1"/>
  <c r="E1991" i="1" s="1"/>
  <c r="H1990" i="1"/>
  <c r="E1990" i="1" s="1"/>
  <c r="H1989" i="1"/>
  <c r="E1989" i="1" s="1"/>
  <c r="H1988" i="1"/>
  <c r="E1988" i="1" s="1"/>
  <c r="H1987" i="1"/>
  <c r="E1987" i="1" s="1"/>
  <c r="H1986" i="1"/>
  <c r="E1986" i="1" s="1"/>
  <c r="H1985" i="1"/>
  <c r="E1985" i="1" s="1"/>
  <c r="H1984" i="1"/>
  <c r="E1984" i="1" s="1"/>
  <c r="H1983" i="1"/>
  <c r="E1983" i="1" s="1"/>
  <c r="H1982" i="1"/>
  <c r="E1982" i="1" s="1"/>
  <c r="H1981" i="1"/>
  <c r="E1981" i="1" s="1"/>
  <c r="H1980" i="1"/>
  <c r="E1980" i="1" s="1"/>
  <c r="H1979" i="1"/>
  <c r="E1979" i="1" s="1"/>
  <c r="H1978" i="1"/>
  <c r="E1978" i="1" s="1"/>
  <c r="H1977" i="1"/>
  <c r="E1977" i="1" s="1"/>
  <c r="H1976" i="1"/>
  <c r="H1975" i="1"/>
  <c r="E1975" i="1" s="1"/>
  <c r="H1974" i="1"/>
  <c r="E1974" i="1" s="1"/>
  <c r="H1973" i="1"/>
  <c r="E1973" i="1" s="1"/>
  <c r="H1972" i="1"/>
  <c r="E1972" i="1" s="1"/>
  <c r="H1971" i="1"/>
  <c r="E1971" i="1" s="1"/>
  <c r="H1970" i="1"/>
  <c r="E1970" i="1" s="1"/>
  <c r="H1969" i="1"/>
  <c r="E1969" i="1" s="1"/>
  <c r="H1968" i="1"/>
  <c r="E1968" i="1" s="1"/>
  <c r="H1967" i="1"/>
  <c r="E1967" i="1" s="1"/>
  <c r="H1966" i="1"/>
  <c r="E1966" i="1" s="1"/>
  <c r="H1965" i="1"/>
  <c r="E1965" i="1" s="1"/>
  <c r="H1964" i="1"/>
  <c r="E1964" i="1" s="1"/>
  <c r="H1963" i="1"/>
  <c r="E1963" i="1" s="1"/>
  <c r="H1962" i="1"/>
  <c r="E1962" i="1" s="1"/>
  <c r="H1961" i="1"/>
  <c r="E1961" i="1" s="1"/>
  <c r="H1960" i="1"/>
  <c r="E1960" i="1" s="1"/>
  <c r="H1959" i="1"/>
  <c r="E1959" i="1" s="1"/>
  <c r="H1958" i="1"/>
  <c r="E1958" i="1" s="1"/>
  <c r="H1957" i="1"/>
  <c r="E1957" i="1" s="1"/>
  <c r="H1956" i="1"/>
  <c r="E1956" i="1" s="1"/>
  <c r="H1955" i="1"/>
  <c r="E1955" i="1" s="1"/>
  <c r="H1953" i="1"/>
  <c r="E1953" i="1" s="1"/>
  <c r="H1952" i="1"/>
  <c r="E1952" i="1" s="1"/>
  <c r="H1951" i="1"/>
  <c r="E1951" i="1" s="1"/>
  <c r="H1950" i="1"/>
  <c r="E1950" i="1" s="1"/>
  <c r="H1949" i="1"/>
  <c r="E1949" i="1" s="1"/>
  <c r="H1948" i="1"/>
  <c r="E1948" i="1" s="1"/>
  <c r="H1947" i="1"/>
  <c r="E1947" i="1" s="1"/>
  <c r="H1946" i="1"/>
  <c r="E1946" i="1" s="1"/>
  <c r="H1945" i="1"/>
  <c r="E1945" i="1" s="1"/>
  <c r="H1944" i="1"/>
  <c r="E1944" i="1" s="1"/>
  <c r="H1943" i="1"/>
  <c r="E1943" i="1" s="1"/>
  <c r="H1942" i="1"/>
  <c r="E1942" i="1" s="1"/>
  <c r="H1941" i="1"/>
  <c r="E1941" i="1" s="1"/>
  <c r="H1940" i="1"/>
  <c r="E1940" i="1" s="1"/>
  <c r="H1939" i="1"/>
  <c r="H1938" i="1"/>
  <c r="E1938" i="1" s="1"/>
  <c r="H1937" i="1"/>
  <c r="E1937" i="1" s="1"/>
  <c r="H1936" i="1"/>
  <c r="E1936" i="1" s="1"/>
  <c r="H1934" i="1"/>
  <c r="E1934" i="1" s="1"/>
  <c r="H1933" i="1"/>
  <c r="E1933" i="1" s="1"/>
  <c r="H1932" i="1"/>
  <c r="E1932" i="1" s="1"/>
  <c r="H1931" i="1"/>
  <c r="E1931" i="1" s="1"/>
  <c r="H1930" i="1"/>
  <c r="E1930" i="1" s="1"/>
  <c r="H1929" i="1"/>
  <c r="E1929" i="1" s="1"/>
  <c r="H1928" i="1"/>
  <c r="E1928" i="1" s="1"/>
  <c r="H1927" i="1"/>
  <c r="E1927" i="1" s="1"/>
  <c r="H1926" i="1"/>
  <c r="E1926" i="1" s="1"/>
  <c r="H1925" i="1"/>
  <c r="E1925" i="1" s="1"/>
  <c r="H1924" i="1"/>
  <c r="E1924" i="1" s="1"/>
  <c r="H1923" i="1"/>
  <c r="E1923" i="1" s="1"/>
  <c r="H1922" i="1"/>
  <c r="E1922" i="1" s="1"/>
  <c r="H1921" i="1"/>
  <c r="E1921" i="1" s="1"/>
  <c r="H1920" i="1"/>
  <c r="E1920" i="1" s="1"/>
  <c r="H1919" i="1"/>
  <c r="E1919" i="1" s="1"/>
  <c r="H1918" i="1"/>
  <c r="E1918" i="1" s="1"/>
  <c r="H1917" i="1"/>
  <c r="E1917" i="1" s="1"/>
  <c r="H1916" i="1"/>
  <c r="E1916" i="1" s="1"/>
  <c r="H1915" i="1"/>
  <c r="E1915" i="1" s="1"/>
  <c r="H1914" i="1"/>
  <c r="E1914" i="1" s="1"/>
  <c r="H1913" i="1"/>
  <c r="E1913" i="1" s="1"/>
  <c r="H1912" i="1"/>
  <c r="E1912" i="1" s="1"/>
  <c r="H1911" i="1"/>
  <c r="E1911" i="1" s="1"/>
  <c r="H1910" i="1"/>
  <c r="H1909" i="1"/>
  <c r="E1909" i="1" s="1"/>
  <c r="H1908" i="1"/>
  <c r="E1908" i="1" s="1"/>
  <c r="H1907" i="1"/>
  <c r="E1907" i="1" s="1"/>
  <c r="H1906" i="1"/>
  <c r="E1906" i="1" s="1"/>
  <c r="H1905" i="1"/>
  <c r="E1905" i="1" s="1"/>
  <c r="H1904" i="1"/>
  <c r="E1904" i="1" s="1"/>
  <c r="H1903" i="1"/>
  <c r="E1903" i="1" s="1"/>
  <c r="H1902" i="1"/>
  <c r="E1902" i="1" s="1"/>
  <c r="H1901" i="1"/>
  <c r="E1901" i="1" s="1"/>
  <c r="H1900" i="1"/>
  <c r="E1900" i="1" s="1"/>
  <c r="H1899" i="1"/>
  <c r="E1899" i="1" s="1"/>
  <c r="H1898" i="1"/>
  <c r="E1898" i="1" s="1"/>
  <c r="H1897" i="1"/>
  <c r="E1897" i="1" s="1"/>
  <c r="H1896" i="1"/>
  <c r="E1896" i="1" s="1"/>
  <c r="H1895" i="1"/>
  <c r="E1895" i="1" s="1"/>
  <c r="H1894" i="1"/>
  <c r="E1894" i="1" s="1"/>
  <c r="H1893" i="1"/>
  <c r="E1893" i="1" s="1"/>
  <c r="H1892" i="1"/>
  <c r="E1892" i="1" s="1"/>
  <c r="H1891" i="1"/>
  <c r="E1891" i="1" s="1"/>
  <c r="H1890" i="1"/>
  <c r="E1890" i="1" s="1"/>
  <c r="H1889" i="1"/>
  <c r="E1889" i="1" s="1"/>
  <c r="H1888" i="1"/>
  <c r="E1888" i="1" s="1"/>
  <c r="H1887" i="1"/>
  <c r="E1887" i="1" s="1"/>
  <c r="H1886" i="1"/>
  <c r="E1886" i="1" s="1"/>
  <c r="H1885" i="1"/>
  <c r="E1885" i="1" s="1"/>
  <c r="H1884" i="1"/>
  <c r="E1884" i="1" s="1"/>
  <c r="H1883" i="1"/>
  <c r="E1883" i="1" s="1"/>
  <c r="H1882" i="1"/>
  <c r="E1882" i="1" s="1"/>
  <c r="H1881" i="1"/>
  <c r="E1881" i="1" s="1"/>
  <c r="H1880" i="1"/>
  <c r="E1880" i="1" s="1"/>
  <c r="H1879" i="1"/>
  <c r="E1879" i="1" s="1"/>
  <c r="H1878" i="1"/>
  <c r="E1878" i="1" s="1"/>
  <c r="H1877" i="1"/>
  <c r="E1877" i="1" s="1"/>
  <c r="H1876" i="1"/>
  <c r="E1876" i="1" s="1"/>
  <c r="H1875" i="1"/>
  <c r="E1875" i="1" s="1"/>
  <c r="H1874" i="1"/>
  <c r="E1874" i="1" s="1"/>
  <c r="H1873" i="1"/>
  <c r="E1873" i="1" s="1"/>
  <c r="H1872" i="1"/>
  <c r="E1872" i="1" s="1"/>
  <c r="H1871" i="1"/>
  <c r="E1871" i="1" s="1"/>
  <c r="H1870" i="1"/>
  <c r="E1870" i="1" s="1"/>
  <c r="H1869" i="1"/>
  <c r="E1869" i="1" s="1"/>
  <c r="H1868" i="1"/>
  <c r="E1868" i="1" s="1"/>
  <c r="H1867" i="1"/>
  <c r="E1867" i="1" s="1"/>
  <c r="H1866" i="1"/>
  <c r="E1866" i="1" s="1"/>
  <c r="H1865" i="1"/>
  <c r="E1865" i="1" s="1"/>
  <c r="H1864" i="1"/>
  <c r="E1864" i="1" s="1"/>
  <c r="H1863" i="1"/>
  <c r="E1863" i="1" s="1"/>
  <c r="H1862" i="1"/>
  <c r="E1862" i="1" s="1"/>
  <c r="H1861" i="1"/>
  <c r="E1861" i="1" s="1"/>
  <c r="H1860" i="1"/>
  <c r="E1860" i="1" s="1"/>
  <c r="H1859" i="1"/>
  <c r="E1859" i="1" s="1"/>
  <c r="H1858" i="1"/>
  <c r="E1858" i="1" s="1"/>
  <c r="H1857" i="1"/>
  <c r="E1857" i="1" s="1"/>
  <c r="H1856" i="1"/>
  <c r="E1856" i="1" s="1"/>
  <c r="H1855" i="1"/>
  <c r="E1855" i="1" s="1"/>
  <c r="H1854" i="1"/>
  <c r="E1854" i="1" s="1"/>
  <c r="H1853" i="1"/>
  <c r="E1853" i="1" s="1"/>
  <c r="H1852" i="1"/>
  <c r="E1852" i="1" s="1"/>
  <c r="H1851" i="1"/>
  <c r="E1851" i="1" s="1"/>
  <c r="H1850" i="1"/>
  <c r="E1850" i="1" s="1"/>
  <c r="H1849" i="1"/>
  <c r="E1849" i="1" s="1"/>
  <c r="H1848" i="1"/>
  <c r="E1848" i="1" s="1"/>
  <c r="H1847" i="1"/>
  <c r="E1847" i="1" s="1"/>
  <c r="H1846" i="1"/>
  <c r="E1846" i="1" s="1"/>
  <c r="H1845" i="1"/>
  <c r="E1845" i="1" s="1"/>
  <c r="H1844" i="1"/>
  <c r="E1844" i="1" s="1"/>
  <c r="H1843" i="1"/>
  <c r="E1843" i="1" s="1"/>
  <c r="H1842" i="1"/>
  <c r="H1841" i="1"/>
  <c r="E1841" i="1" s="1"/>
  <c r="H1840" i="1"/>
  <c r="E1840" i="1" s="1"/>
  <c r="H1839" i="1"/>
  <c r="E1839" i="1" s="1"/>
  <c r="H1838" i="1"/>
  <c r="E1838" i="1" s="1"/>
  <c r="H1837" i="1"/>
  <c r="E1837" i="1" s="1"/>
  <c r="H1836" i="1"/>
  <c r="E1836" i="1" s="1"/>
  <c r="H1835" i="1"/>
  <c r="E1835" i="1" s="1"/>
  <c r="H1834" i="1"/>
  <c r="E1834" i="1" s="1"/>
  <c r="H1833" i="1"/>
  <c r="E1833" i="1" s="1"/>
  <c r="H1832" i="1"/>
  <c r="E1832" i="1" s="1"/>
  <c r="H1831" i="1"/>
  <c r="E1831" i="1" s="1"/>
  <c r="H1830" i="1"/>
  <c r="E1830" i="1" s="1"/>
  <c r="H1829" i="1"/>
  <c r="E1829" i="1" s="1"/>
  <c r="H1828" i="1"/>
  <c r="E1828" i="1" s="1"/>
  <c r="H1827" i="1"/>
  <c r="E1827" i="1" s="1"/>
  <c r="H1826" i="1"/>
  <c r="E1826" i="1" s="1"/>
  <c r="H1825" i="1"/>
  <c r="E1825" i="1" s="1"/>
  <c r="H1824" i="1"/>
  <c r="E1824" i="1" s="1"/>
  <c r="H1823" i="1"/>
  <c r="E1823" i="1" s="1"/>
  <c r="H1822" i="1"/>
  <c r="E1822" i="1" s="1"/>
  <c r="H1821" i="1"/>
  <c r="E1821" i="1" s="1"/>
  <c r="H1820" i="1"/>
  <c r="E1820" i="1" s="1"/>
  <c r="H1819" i="1"/>
  <c r="E1819" i="1" s="1"/>
  <c r="H1818" i="1"/>
  <c r="E1818" i="1" s="1"/>
  <c r="H1817" i="1"/>
  <c r="E1817" i="1" s="1"/>
  <c r="H1816" i="1"/>
  <c r="E1816" i="1" s="1"/>
  <c r="H1815" i="1"/>
  <c r="E1815" i="1" s="1"/>
  <c r="H1814" i="1"/>
  <c r="E1814" i="1" s="1"/>
  <c r="H1813" i="1"/>
  <c r="E1813" i="1" s="1"/>
  <c r="H1812" i="1"/>
  <c r="E1812" i="1" s="1"/>
  <c r="H1811" i="1"/>
  <c r="E1811" i="1" s="1"/>
  <c r="H1810" i="1"/>
  <c r="E1810" i="1" s="1"/>
  <c r="H1809" i="1"/>
  <c r="E1809" i="1" s="1"/>
  <c r="H1808" i="1"/>
  <c r="E1808" i="1" s="1"/>
  <c r="H1807" i="1"/>
  <c r="E1807" i="1" s="1"/>
  <c r="H1806" i="1"/>
  <c r="E1806" i="1" s="1"/>
  <c r="H1805" i="1"/>
  <c r="E1805" i="1" s="1"/>
  <c r="H1804" i="1"/>
  <c r="E1804" i="1" s="1"/>
  <c r="H1803" i="1"/>
  <c r="E1803" i="1" s="1"/>
  <c r="H1802" i="1"/>
  <c r="E1802" i="1" s="1"/>
  <c r="H1801" i="1"/>
  <c r="E1801" i="1" s="1"/>
  <c r="H1800" i="1"/>
  <c r="E1800" i="1" s="1"/>
  <c r="H1799" i="1"/>
  <c r="E1799" i="1" s="1"/>
  <c r="H1798" i="1"/>
  <c r="E1798" i="1" s="1"/>
  <c r="H1797" i="1"/>
  <c r="E1797" i="1" s="1"/>
  <c r="H1796" i="1"/>
  <c r="E1796" i="1" s="1"/>
  <c r="H1795" i="1"/>
  <c r="E1795" i="1" s="1"/>
  <c r="H1794" i="1"/>
  <c r="E1794" i="1" s="1"/>
  <c r="H1793" i="1"/>
  <c r="E1793" i="1" s="1"/>
  <c r="H1792" i="1"/>
  <c r="E1792" i="1" s="1"/>
  <c r="H1791" i="1"/>
  <c r="E1791" i="1" s="1"/>
  <c r="H1790" i="1"/>
  <c r="E1790" i="1" s="1"/>
  <c r="H1789" i="1"/>
  <c r="E1789" i="1" s="1"/>
  <c r="H1788" i="1"/>
  <c r="E1788" i="1" s="1"/>
  <c r="H1787" i="1"/>
  <c r="E1787" i="1" s="1"/>
  <c r="H1786" i="1"/>
  <c r="E1786" i="1" s="1"/>
  <c r="H1785" i="1"/>
  <c r="E1785" i="1" s="1"/>
  <c r="H1784" i="1"/>
  <c r="E1784" i="1" s="1"/>
  <c r="H1783" i="1"/>
  <c r="E1783" i="1" s="1"/>
  <c r="H1782" i="1"/>
  <c r="E1782" i="1" s="1"/>
  <c r="H1781" i="1"/>
  <c r="E1781" i="1" s="1"/>
  <c r="H1780" i="1"/>
  <c r="E1780" i="1" s="1"/>
  <c r="H1779" i="1"/>
  <c r="E1779" i="1" s="1"/>
  <c r="H1778" i="1"/>
  <c r="E1778" i="1" s="1"/>
  <c r="H1777" i="1"/>
  <c r="E1777" i="1" s="1"/>
  <c r="H1776" i="1"/>
  <c r="E1776" i="1" s="1"/>
  <c r="H1775" i="1"/>
  <c r="E1775" i="1" s="1"/>
  <c r="H1774" i="1"/>
  <c r="E1774" i="1" s="1"/>
  <c r="H1773" i="1"/>
  <c r="E1773" i="1" s="1"/>
  <c r="H1772" i="1"/>
  <c r="E1772" i="1" s="1"/>
  <c r="H1771" i="1"/>
  <c r="E1771" i="1" s="1"/>
  <c r="H1770" i="1"/>
  <c r="E1770" i="1" s="1"/>
  <c r="H1769" i="1"/>
  <c r="E1769" i="1" s="1"/>
  <c r="H1768" i="1"/>
  <c r="E1768" i="1" s="1"/>
  <c r="H1767" i="1"/>
  <c r="E1767" i="1" s="1"/>
  <c r="H1766" i="1"/>
  <c r="E1766" i="1" s="1"/>
  <c r="H1765" i="1"/>
  <c r="E1765" i="1" s="1"/>
  <c r="H1764" i="1"/>
  <c r="E1764" i="1" s="1"/>
  <c r="H1763" i="1"/>
  <c r="E1763" i="1" s="1"/>
  <c r="H1762" i="1"/>
  <c r="E1762" i="1" s="1"/>
  <c r="H1761" i="1"/>
  <c r="E1761" i="1" s="1"/>
  <c r="H1760" i="1"/>
  <c r="E1760" i="1" s="1"/>
  <c r="H1759" i="1"/>
  <c r="E1759" i="1" s="1"/>
  <c r="H1758" i="1"/>
  <c r="E1758" i="1" s="1"/>
  <c r="H1757" i="1"/>
  <c r="E1757" i="1" s="1"/>
  <c r="H1756" i="1"/>
  <c r="E1756" i="1" s="1"/>
  <c r="H1755" i="1"/>
  <c r="E1755" i="1" s="1"/>
  <c r="H1754" i="1"/>
  <c r="E1754" i="1" s="1"/>
  <c r="H1753" i="1"/>
  <c r="E1753" i="1" s="1"/>
  <c r="H1752" i="1"/>
  <c r="E1752" i="1" s="1"/>
  <c r="H1751" i="1"/>
  <c r="E1751" i="1" s="1"/>
  <c r="H1750" i="1"/>
  <c r="E1750" i="1" s="1"/>
  <c r="H1749" i="1"/>
  <c r="E1749" i="1" s="1"/>
  <c r="H1748" i="1"/>
  <c r="E1748" i="1" s="1"/>
  <c r="H1747" i="1"/>
  <c r="E1747" i="1" s="1"/>
  <c r="H1746" i="1"/>
  <c r="E1746" i="1" s="1"/>
  <c r="H1745" i="1"/>
  <c r="H1744" i="1"/>
  <c r="E1744" i="1" s="1"/>
  <c r="H1743" i="1"/>
  <c r="H1742" i="1"/>
  <c r="E1742" i="1" s="1"/>
  <c r="H1741" i="1"/>
  <c r="E1741" i="1" s="1"/>
  <c r="H1740" i="1"/>
  <c r="E1740" i="1" s="1"/>
  <c r="H1739" i="1"/>
  <c r="E1739" i="1" s="1"/>
  <c r="H1738" i="1"/>
  <c r="E1738" i="1" s="1"/>
  <c r="H1737" i="1"/>
  <c r="E1737" i="1" s="1"/>
  <c r="H1736" i="1"/>
  <c r="E1736" i="1" s="1"/>
  <c r="H1735" i="1"/>
  <c r="E1735" i="1" s="1"/>
  <c r="H1734" i="1"/>
  <c r="E1734" i="1" s="1"/>
  <c r="H1733" i="1"/>
  <c r="E1733" i="1" s="1"/>
  <c r="H1732" i="1"/>
  <c r="E1732" i="1" s="1"/>
  <c r="H1731" i="1"/>
  <c r="E1731" i="1" s="1"/>
  <c r="H1730" i="1"/>
  <c r="E1730" i="1" s="1"/>
  <c r="H1729" i="1"/>
  <c r="E1729" i="1" s="1"/>
  <c r="H1728" i="1"/>
  <c r="E1728" i="1" s="1"/>
  <c r="H1727" i="1"/>
  <c r="E1727" i="1" s="1"/>
  <c r="H1726" i="1"/>
  <c r="E1726" i="1" s="1"/>
  <c r="H1725" i="1"/>
  <c r="E1725" i="1" s="1"/>
  <c r="H1724" i="1"/>
  <c r="E1724" i="1" s="1"/>
  <c r="H1723" i="1"/>
  <c r="E1723" i="1" s="1"/>
  <c r="H1722" i="1"/>
  <c r="E1722" i="1" s="1"/>
  <c r="H1721" i="1"/>
  <c r="E1721" i="1" s="1"/>
  <c r="H1720" i="1"/>
  <c r="E1720" i="1" s="1"/>
  <c r="H1719" i="1"/>
  <c r="E1719" i="1" s="1"/>
  <c r="H1718" i="1"/>
  <c r="E1718" i="1" s="1"/>
  <c r="H1717" i="1"/>
  <c r="E1717" i="1" s="1"/>
  <c r="H1716" i="1"/>
  <c r="E1716" i="1" s="1"/>
  <c r="H1715" i="1"/>
  <c r="E1715" i="1" s="1"/>
  <c r="H1714" i="1"/>
  <c r="E1714" i="1" s="1"/>
  <c r="H1713" i="1"/>
  <c r="E1713" i="1" s="1"/>
  <c r="H1712" i="1"/>
  <c r="E1712" i="1" s="1"/>
  <c r="H1711" i="1"/>
  <c r="E1711" i="1" s="1"/>
  <c r="H1710" i="1"/>
  <c r="E1710" i="1" s="1"/>
  <c r="H1709" i="1"/>
  <c r="E1709" i="1" s="1"/>
  <c r="H1708" i="1"/>
  <c r="E1708" i="1" s="1"/>
  <c r="H1707" i="1"/>
  <c r="E1707" i="1" s="1"/>
  <c r="H1706" i="1"/>
  <c r="E1706" i="1" s="1"/>
  <c r="H1705" i="1"/>
  <c r="E1705" i="1" s="1"/>
  <c r="H1704" i="1"/>
  <c r="E1704" i="1" s="1"/>
  <c r="H1703" i="1"/>
  <c r="E1703" i="1" s="1"/>
  <c r="H1702" i="1"/>
  <c r="E1702" i="1" s="1"/>
  <c r="H1701" i="1"/>
  <c r="E1701" i="1" s="1"/>
  <c r="H1700" i="1"/>
  <c r="E1700" i="1" s="1"/>
  <c r="H1699" i="1"/>
  <c r="E1699" i="1" s="1"/>
  <c r="H1698" i="1"/>
  <c r="E1698" i="1" s="1"/>
  <c r="H1697" i="1"/>
  <c r="E1697" i="1" s="1"/>
  <c r="H1696" i="1"/>
  <c r="E1696" i="1" s="1"/>
  <c r="H1695" i="1"/>
  <c r="E1695" i="1" s="1"/>
  <c r="H1694" i="1"/>
  <c r="E1694" i="1" s="1"/>
  <c r="H1693" i="1"/>
  <c r="E1693" i="1" s="1"/>
  <c r="H1692" i="1"/>
  <c r="E1692" i="1" s="1"/>
  <c r="H1691" i="1"/>
  <c r="E1691" i="1" s="1"/>
  <c r="H1690" i="1"/>
  <c r="E1690" i="1" s="1"/>
  <c r="H1689" i="1"/>
  <c r="E1689" i="1" s="1"/>
  <c r="H1688" i="1"/>
  <c r="E1688" i="1" s="1"/>
  <c r="H1687" i="1"/>
  <c r="E1687" i="1" s="1"/>
  <c r="H1686" i="1"/>
  <c r="E1686" i="1" s="1"/>
  <c r="H1685" i="1"/>
  <c r="E1685" i="1" s="1"/>
  <c r="H1684" i="1"/>
  <c r="E1684" i="1" s="1"/>
  <c r="H1683" i="1"/>
  <c r="E1683" i="1" s="1"/>
  <c r="H1682" i="1"/>
  <c r="E1682" i="1" s="1"/>
  <c r="H1681" i="1"/>
  <c r="E1681" i="1" s="1"/>
  <c r="H1680" i="1"/>
  <c r="E1680" i="1" s="1"/>
  <c r="H1679" i="1"/>
  <c r="E1679" i="1" s="1"/>
  <c r="H1678" i="1"/>
  <c r="E1678" i="1" s="1"/>
  <c r="H1677" i="1"/>
  <c r="E1677" i="1" s="1"/>
  <c r="H1676" i="1"/>
  <c r="E1676" i="1" s="1"/>
  <c r="H1675" i="1"/>
  <c r="E1675" i="1" s="1"/>
  <c r="H1674" i="1"/>
  <c r="E1674" i="1" s="1"/>
  <c r="H1673" i="1"/>
  <c r="E1673" i="1" s="1"/>
  <c r="H1672" i="1"/>
  <c r="E1672" i="1" s="1"/>
  <c r="H1671" i="1"/>
  <c r="E1671" i="1" s="1"/>
  <c r="H1670" i="1"/>
  <c r="E1670" i="1" s="1"/>
  <c r="H1669" i="1"/>
  <c r="E1669" i="1" s="1"/>
  <c r="H1668" i="1"/>
  <c r="E1668" i="1" s="1"/>
  <c r="H1667" i="1"/>
  <c r="E1667" i="1" s="1"/>
  <c r="H1666" i="1"/>
  <c r="E1666" i="1" s="1"/>
  <c r="H1665" i="1"/>
  <c r="E1665" i="1" s="1"/>
  <c r="H1664" i="1"/>
  <c r="E1664" i="1" s="1"/>
  <c r="H1663" i="1"/>
  <c r="E1663" i="1" s="1"/>
  <c r="H1662" i="1"/>
  <c r="H1661" i="1"/>
  <c r="E1661" i="1" s="1"/>
  <c r="H1660" i="1"/>
  <c r="E1660" i="1" s="1"/>
  <c r="H1659" i="1"/>
  <c r="E1659" i="1" s="1"/>
  <c r="H1658" i="1"/>
  <c r="E1658" i="1" s="1"/>
  <c r="H1657" i="1"/>
  <c r="E1657" i="1" s="1"/>
  <c r="H1656" i="1"/>
  <c r="E1656" i="1" s="1"/>
  <c r="H1655" i="1"/>
  <c r="E1655" i="1" s="1"/>
  <c r="H1654" i="1"/>
  <c r="E1654" i="1" s="1"/>
  <c r="H1653" i="1"/>
  <c r="E1653" i="1" s="1"/>
  <c r="H1652" i="1"/>
  <c r="E1652" i="1" s="1"/>
  <c r="H1651" i="1"/>
  <c r="E1651" i="1" s="1"/>
  <c r="H1650" i="1"/>
  <c r="E1650" i="1" s="1"/>
  <c r="H1649" i="1"/>
  <c r="E1649" i="1" s="1"/>
  <c r="H1648" i="1"/>
  <c r="E1648" i="1" s="1"/>
  <c r="H1647" i="1"/>
  <c r="E1647" i="1" s="1"/>
  <c r="H1646" i="1"/>
  <c r="E1646" i="1" s="1"/>
  <c r="H1645" i="1"/>
  <c r="E1645" i="1" s="1"/>
  <c r="H1644" i="1"/>
  <c r="E1644" i="1" s="1"/>
  <c r="H1643" i="1"/>
  <c r="E1643" i="1" s="1"/>
  <c r="H1642" i="1"/>
  <c r="E1642" i="1" s="1"/>
  <c r="H1641" i="1"/>
  <c r="E1641" i="1" s="1"/>
  <c r="H1640" i="1"/>
  <c r="E1640" i="1" s="1"/>
  <c r="H1639" i="1"/>
  <c r="E1639" i="1" s="1"/>
  <c r="H1638" i="1"/>
  <c r="H1637" i="1"/>
  <c r="E1637" i="1" s="1"/>
  <c r="H1636" i="1"/>
  <c r="E1636" i="1" s="1"/>
  <c r="H1635" i="1"/>
  <c r="E1635" i="1" s="1"/>
  <c r="H1634" i="1"/>
  <c r="E1634" i="1" s="1"/>
  <c r="H1633" i="1"/>
  <c r="E1633" i="1" s="1"/>
  <c r="H1632" i="1"/>
  <c r="E1632" i="1" s="1"/>
  <c r="H1631" i="1"/>
  <c r="E1631" i="1" s="1"/>
  <c r="H1630" i="1"/>
  <c r="E1630" i="1" s="1"/>
  <c r="H1629" i="1"/>
  <c r="E1629" i="1" s="1"/>
  <c r="H1628" i="1"/>
  <c r="E1628" i="1" s="1"/>
  <c r="H1627" i="1"/>
  <c r="E1627" i="1" s="1"/>
  <c r="H1626" i="1"/>
  <c r="E1626" i="1" s="1"/>
  <c r="H1625" i="1"/>
  <c r="E1625" i="1" s="1"/>
  <c r="H1624" i="1"/>
  <c r="E1624" i="1" s="1"/>
  <c r="H1623" i="1"/>
  <c r="E1623" i="1" s="1"/>
  <c r="H1622" i="1"/>
  <c r="E1622" i="1" s="1"/>
  <c r="H1621" i="1"/>
  <c r="E1621" i="1" s="1"/>
  <c r="H1620" i="1"/>
  <c r="E1620" i="1" s="1"/>
  <c r="H1619" i="1"/>
  <c r="E1619" i="1" s="1"/>
  <c r="H1618" i="1"/>
  <c r="E1618" i="1" s="1"/>
  <c r="H1617" i="1"/>
  <c r="E1617" i="1" s="1"/>
  <c r="H1616" i="1"/>
  <c r="E1616" i="1" s="1"/>
  <c r="H1615" i="1"/>
  <c r="E1615" i="1" s="1"/>
  <c r="H1614" i="1"/>
  <c r="E1614" i="1" s="1"/>
  <c r="H1613" i="1"/>
  <c r="E1613" i="1" s="1"/>
  <c r="H1612" i="1"/>
  <c r="E1612" i="1" s="1"/>
  <c r="H1611" i="1"/>
  <c r="E1611" i="1" s="1"/>
  <c r="H1610" i="1"/>
  <c r="E1610" i="1" s="1"/>
  <c r="H1609" i="1"/>
  <c r="E1609" i="1" s="1"/>
  <c r="H1608" i="1"/>
  <c r="E1608" i="1" s="1"/>
  <c r="H1607" i="1"/>
  <c r="E1607" i="1" s="1"/>
  <c r="H1606" i="1"/>
  <c r="E1606" i="1" s="1"/>
  <c r="H1605" i="1"/>
  <c r="E1605" i="1" s="1"/>
  <c r="H1604" i="1"/>
  <c r="E1604" i="1" s="1"/>
  <c r="H1603" i="1"/>
  <c r="E1603" i="1" s="1"/>
  <c r="H1602" i="1"/>
  <c r="E1602" i="1" s="1"/>
  <c r="H1597" i="1"/>
  <c r="E1597" i="1" s="1"/>
  <c r="H1596" i="1"/>
  <c r="H1595" i="1"/>
  <c r="E1595" i="1" s="1"/>
  <c r="H1594" i="1"/>
  <c r="E1594" i="1" s="1"/>
  <c r="H1593" i="1"/>
  <c r="E1593" i="1" s="1"/>
  <c r="H1592" i="1"/>
  <c r="E1592" i="1" s="1"/>
  <c r="H1591" i="1"/>
  <c r="E1591" i="1" s="1"/>
  <c r="H1590" i="1"/>
  <c r="E1590" i="1" s="1"/>
  <c r="H1589" i="1"/>
  <c r="E1589" i="1" s="1"/>
  <c r="H1588" i="1"/>
  <c r="E1588" i="1" s="1"/>
  <c r="H1587" i="1"/>
  <c r="E1587" i="1" s="1"/>
  <c r="H1586" i="1"/>
  <c r="E1586" i="1" s="1"/>
  <c r="H1585" i="1"/>
  <c r="E1585" i="1" s="1"/>
  <c r="H1584" i="1"/>
  <c r="E1584" i="1" s="1"/>
  <c r="H1583" i="1"/>
  <c r="E1583" i="1" s="1"/>
  <c r="H1582" i="1"/>
  <c r="E1582" i="1" s="1"/>
  <c r="H1581" i="1"/>
  <c r="E1581" i="1" s="1"/>
  <c r="H1580" i="1"/>
  <c r="E1580" i="1" s="1"/>
  <c r="H1579" i="1"/>
  <c r="E1579" i="1" s="1"/>
  <c r="H1578" i="1"/>
  <c r="E1578" i="1" s="1"/>
  <c r="H1577" i="1"/>
  <c r="E1577" i="1" s="1"/>
  <c r="H1576" i="1"/>
  <c r="E1576" i="1" s="1"/>
  <c r="H1575" i="1"/>
  <c r="E1575" i="1" s="1"/>
  <c r="H1574" i="1"/>
  <c r="E1574" i="1" s="1"/>
  <c r="H1573" i="1"/>
  <c r="E1573" i="1" s="1"/>
  <c r="H1572" i="1"/>
  <c r="E1572" i="1" s="1"/>
  <c r="H1571" i="1"/>
  <c r="E1571" i="1" s="1"/>
  <c r="H1570" i="1"/>
  <c r="E1570" i="1" s="1"/>
  <c r="H1569" i="1"/>
  <c r="E1569" i="1" s="1"/>
  <c r="H1568" i="1"/>
  <c r="E1568" i="1" s="1"/>
  <c r="H1567" i="1"/>
  <c r="E1567" i="1" s="1"/>
  <c r="H1566" i="1"/>
  <c r="E1566" i="1" s="1"/>
  <c r="H1565" i="1"/>
  <c r="E1565" i="1" s="1"/>
  <c r="H1564" i="1"/>
  <c r="E1564" i="1" s="1"/>
  <c r="H1563" i="1"/>
  <c r="E1563" i="1" s="1"/>
  <c r="H1562" i="1"/>
  <c r="E1562" i="1" s="1"/>
  <c r="H1561" i="1"/>
  <c r="E1561" i="1" s="1"/>
  <c r="H1560" i="1"/>
  <c r="E1560" i="1" s="1"/>
  <c r="H1559" i="1"/>
  <c r="E1559" i="1" s="1"/>
  <c r="H1558" i="1"/>
  <c r="E1558" i="1" s="1"/>
  <c r="H1557" i="1"/>
  <c r="E1557" i="1" s="1"/>
  <c r="H1556" i="1"/>
  <c r="E1556" i="1" s="1"/>
  <c r="H1555" i="1"/>
  <c r="E1555" i="1" s="1"/>
  <c r="H1554" i="1"/>
  <c r="E1554" i="1" s="1"/>
  <c r="H1553" i="1"/>
  <c r="E1553" i="1" s="1"/>
  <c r="H1552" i="1"/>
  <c r="E1552" i="1" s="1"/>
  <c r="H1551" i="1"/>
  <c r="E1551" i="1" s="1"/>
  <c r="H1550" i="1"/>
  <c r="H1549" i="1"/>
  <c r="E1549" i="1" s="1"/>
  <c r="H1548" i="1"/>
  <c r="E1548" i="1" s="1"/>
  <c r="H1547" i="1"/>
  <c r="E1547" i="1" s="1"/>
  <c r="H1546" i="1"/>
  <c r="E1546" i="1" s="1"/>
  <c r="H1545" i="1"/>
  <c r="E1545" i="1" s="1"/>
  <c r="H1544" i="1"/>
  <c r="E1544" i="1" s="1"/>
  <c r="H1543" i="1"/>
  <c r="E1543" i="1" s="1"/>
  <c r="H1542" i="1"/>
  <c r="E1542" i="1" s="1"/>
  <c r="H1541" i="1"/>
  <c r="E1541" i="1" s="1"/>
  <c r="H1540" i="1"/>
  <c r="E1540" i="1" s="1"/>
  <c r="H1539" i="1"/>
  <c r="E1539" i="1" s="1"/>
  <c r="H1538" i="1"/>
  <c r="E1538" i="1" s="1"/>
  <c r="H1537" i="1"/>
  <c r="H1536" i="1"/>
  <c r="E1536" i="1" s="1"/>
  <c r="H1535" i="1"/>
  <c r="E1535" i="1" s="1"/>
  <c r="H1534" i="1"/>
  <c r="E1534" i="1" s="1"/>
  <c r="H1533" i="1"/>
  <c r="E1533" i="1" s="1"/>
  <c r="H1532" i="1"/>
  <c r="E1532" i="1" s="1"/>
  <c r="H1531" i="1"/>
  <c r="E1531" i="1" s="1"/>
  <c r="H1530" i="1"/>
  <c r="E1530" i="1" s="1"/>
  <c r="H1529" i="1"/>
  <c r="E1529" i="1" s="1"/>
  <c r="H1528" i="1"/>
  <c r="E1528" i="1" s="1"/>
  <c r="H1527" i="1"/>
  <c r="E1527" i="1" s="1"/>
  <c r="H1526" i="1"/>
  <c r="E1526" i="1" s="1"/>
  <c r="H1525" i="1"/>
  <c r="E1525" i="1" s="1"/>
  <c r="H1524" i="1"/>
  <c r="E1524" i="1" s="1"/>
  <c r="H1523" i="1"/>
  <c r="E1523" i="1" s="1"/>
  <c r="H1522" i="1"/>
  <c r="E1522" i="1" s="1"/>
  <c r="H1521" i="1"/>
  <c r="E1521" i="1" s="1"/>
  <c r="H1520" i="1"/>
  <c r="E1520" i="1" s="1"/>
  <c r="H1519" i="1"/>
  <c r="E1519" i="1" s="1"/>
  <c r="H1518" i="1"/>
  <c r="E1518" i="1" s="1"/>
  <c r="H1517" i="1"/>
  <c r="E1517" i="1" s="1"/>
  <c r="H1516" i="1"/>
  <c r="E1516" i="1" s="1"/>
  <c r="H1515" i="1"/>
  <c r="E1515" i="1" s="1"/>
  <c r="H1514" i="1"/>
  <c r="E1514" i="1" s="1"/>
  <c r="H1513" i="1"/>
  <c r="E1513" i="1" s="1"/>
  <c r="H1512" i="1"/>
  <c r="E1512" i="1" s="1"/>
  <c r="H1511" i="1"/>
  <c r="E1511" i="1" s="1"/>
  <c r="H1510" i="1"/>
  <c r="E1510" i="1" s="1"/>
  <c r="H1509" i="1"/>
  <c r="E1509" i="1" s="1"/>
  <c r="H1508" i="1"/>
  <c r="E1508" i="1" s="1"/>
  <c r="H1507" i="1"/>
  <c r="E1507" i="1" s="1"/>
  <c r="H1506" i="1"/>
  <c r="E1506" i="1" s="1"/>
  <c r="H1505" i="1"/>
  <c r="E1505" i="1" s="1"/>
  <c r="H1504" i="1"/>
  <c r="E1504" i="1" s="1"/>
  <c r="H1503" i="1"/>
  <c r="E1503" i="1" s="1"/>
  <c r="H1502" i="1"/>
  <c r="H1501" i="1"/>
  <c r="E1501" i="1" s="1"/>
  <c r="H1500" i="1"/>
  <c r="E1500" i="1" s="1"/>
  <c r="H1499" i="1"/>
  <c r="E1499" i="1" s="1"/>
  <c r="H1498" i="1"/>
  <c r="E1498" i="1" s="1"/>
  <c r="H1497" i="1"/>
  <c r="E1497" i="1" s="1"/>
  <c r="H1496" i="1"/>
  <c r="E1496" i="1" s="1"/>
  <c r="H1495" i="1"/>
  <c r="E1495" i="1" s="1"/>
  <c r="H1494" i="1"/>
  <c r="E1494" i="1" s="1"/>
  <c r="H1493" i="1"/>
  <c r="E1493" i="1" s="1"/>
  <c r="H1492" i="1"/>
  <c r="E1492" i="1" s="1"/>
  <c r="H1491" i="1"/>
  <c r="E1491" i="1" s="1"/>
  <c r="H1490" i="1"/>
  <c r="E1490" i="1" s="1"/>
  <c r="H1489" i="1"/>
  <c r="E1489" i="1" s="1"/>
  <c r="H1488" i="1"/>
  <c r="E1488" i="1" s="1"/>
  <c r="H1487" i="1"/>
  <c r="E1487" i="1" s="1"/>
  <c r="H1486" i="1"/>
  <c r="E1486" i="1" s="1"/>
  <c r="H1485" i="1"/>
  <c r="E1485" i="1" s="1"/>
  <c r="H1484" i="1"/>
  <c r="E1484" i="1" s="1"/>
  <c r="H1483" i="1"/>
  <c r="E1483" i="1" s="1"/>
  <c r="H1482" i="1"/>
  <c r="E1482" i="1" s="1"/>
  <c r="H1481" i="1"/>
  <c r="E1481" i="1" s="1"/>
  <c r="H1480" i="1"/>
  <c r="E1480" i="1" s="1"/>
  <c r="H1479" i="1"/>
  <c r="H1478" i="1"/>
  <c r="E1478" i="1" s="1"/>
  <c r="H1477" i="1"/>
  <c r="E1477" i="1" s="1"/>
  <c r="H1476" i="1"/>
  <c r="E1476" i="1" s="1"/>
  <c r="H1475" i="1"/>
  <c r="E1475" i="1" s="1"/>
  <c r="H1474" i="1"/>
  <c r="E1474" i="1" s="1"/>
  <c r="H1473" i="1"/>
  <c r="E1473" i="1" s="1"/>
  <c r="H1472" i="1"/>
  <c r="E1472" i="1" s="1"/>
  <c r="H1471" i="1"/>
  <c r="E1471" i="1" s="1"/>
  <c r="H1470" i="1"/>
  <c r="E1470" i="1" s="1"/>
  <c r="H1469" i="1"/>
  <c r="E1469" i="1" s="1"/>
  <c r="H1468" i="1"/>
  <c r="E1468" i="1" s="1"/>
  <c r="H1467" i="1"/>
  <c r="E1467" i="1" s="1"/>
  <c r="H1466" i="1"/>
  <c r="E1466" i="1" s="1"/>
  <c r="H1465" i="1"/>
  <c r="E1465" i="1" s="1"/>
  <c r="H1464" i="1"/>
  <c r="E1464" i="1" s="1"/>
  <c r="H1463" i="1"/>
  <c r="E1463" i="1" s="1"/>
  <c r="H1462" i="1"/>
  <c r="E1462" i="1" s="1"/>
  <c r="H1461" i="1"/>
  <c r="E1461" i="1" s="1"/>
  <c r="H1460" i="1"/>
  <c r="E1460" i="1" s="1"/>
  <c r="H1459" i="1"/>
  <c r="E1459" i="1" s="1"/>
  <c r="H1458" i="1"/>
  <c r="E1458" i="1" s="1"/>
  <c r="H1457" i="1"/>
  <c r="E1457" i="1" s="1"/>
  <c r="H1456" i="1"/>
  <c r="E1456" i="1" s="1"/>
  <c r="H1455" i="1"/>
  <c r="E1455" i="1" s="1"/>
  <c r="H1454" i="1"/>
  <c r="E1454" i="1" s="1"/>
  <c r="H1453" i="1"/>
  <c r="E1453" i="1" s="1"/>
  <c r="H1452" i="1"/>
  <c r="E1452" i="1" s="1"/>
  <c r="H1451" i="1"/>
  <c r="E1451" i="1" s="1"/>
  <c r="H1450" i="1"/>
  <c r="E1450" i="1" s="1"/>
  <c r="H1449" i="1"/>
  <c r="E1449" i="1" s="1"/>
  <c r="H1448" i="1"/>
  <c r="E1448" i="1" s="1"/>
  <c r="H1447" i="1"/>
  <c r="E1447" i="1" s="1"/>
  <c r="H1446" i="1"/>
  <c r="E1446" i="1" s="1"/>
  <c r="H1445" i="1"/>
  <c r="E1445" i="1" s="1"/>
  <c r="H1444" i="1"/>
  <c r="E1444" i="1" s="1"/>
  <c r="H1443" i="1"/>
  <c r="E1443" i="1" s="1"/>
  <c r="H1442" i="1"/>
  <c r="H1441" i="1"/>
  <c r="E1441" i="1" s="1"/>
  <c r="H1440" i="1"/>
  <c r="E1440" i="1" s="1"/>
  <c r="H1439" i="1"/>
  <c r="E1439" i="1" s="1"/>
  <c r="H1438" i="1"/>
  <c r="E1438" i="1" s="1"/>
  <c r="H1437" i="1"/>
  <c r="E1437" i="1" s="1"/>
  <c r="H1436" i="1"/>
  <c r="E1436" i="1" s="1"/>
  <c r="H1435" i="1"/>
  <c r="E1435" i="1" s="1"/>
  <c r="H1434" i="1"/>
  <c r="E1434" i="1" s="1"/>
  <c r="H1433" i="1"/>
  <c r="E1433" i="1" s="1"/>
  <c r="H1432" i="1"/>
  <c r="E1432" i="1" s="1"/>
  <c r="H1431" i="1"/>
  <c r="E1431" i="1" s="1"/>
  <c r="H1430" i="1"/>
  <c r="E1430" i="1" s="1"/>
  <c r="H1429" i="1"/>
  <c r="E1429" i="1" s="1"/>
  <c r="H1428" i="1"/>
  <c r="E1428" i="1" s="1"/>
  <c r="H1427" i="1"/>
  <c r="E1427" i="1" s="1"/>
  <c r="H1426" i="1"/>
  <c r="E1426" i="1" s="1"/>
  <c r="H1425" i="1"/>
  <c r="E1425" i="1" s="1"/>
  <c r="H1424" i="1"/>
  <c r="E1424" i="1" s="1"/>
  <c r="H1423" i="1"/>
  <c r="E1423" i="1" s="1"/>
  <c r="H1422" i="1"/>
  <c r="E1422" i="1" s="1"/>
  <c r="H1421" i="1"/>
  <c r="E1421" i="1" s="1"/>
  <c r="H1420" i="1"/>
  <c r="E1420" i="1" s="1"/>
  <c r="H1419" i="1"/>
  <c r="E1419" i="1" s="1"/>
  <c r="H1418" i="1"/>
  <c r="E1418" i="1" s="1"/>
  <c r="H1417" i="1"/>
  <c r="E1417" i="1" s="1"/>
  <c r="H1416" i="1"/>
  <c r="E1416" i="1" s="1"/>
  <c r="H1415" i="1"/>
  <c r="E1415" i="1" s="1"/>
  <c r="H1414" i="1"/>
  <c r="E1414" i="1" s="1"/>
  <c r="H1413" i="1"/>
  <c r="E1413" i="1" s="1"/>
  <c r="H1412" i="1"/>
  <c r="E1412" i="1" s="1"/>
  <c r="H1411" i="1"/>
  <c r="E1411" i="1" s="1"/>
  <c r="H1410" i="1"/>
  <c r="E1410" i="1" s="1"/>
  <c r="H1409" i="1"/>
  <c r="E1409" i="1" s="1"/>
  <c r="H1408" i="1"/>
  <c r="E1408" i="1" s="1"/>
  <c r="H1407" i="1"/>
  <c r="E1407" i="1" s="1"/>
  <c r="H1406" i="1"/>
  <c r="H1405" i="1"/>
  <c r="E1405" i="1" s="1"/>
  <c r="H1404" i="1"/>
  <c r="E1404" i="1" s="1"/>
  <c r="H1403" i="1"/>
  <c r="E1403" i="1" s="1"/>
  <c r="H1402" i="1"/>
  <c r="E1402" i="1" s="1"/>
  <c r="H1401" i="1"/>
  <c r="E1401" i="1" s="1"/>
  <c r="H1400" i="1"/>
  <c r="E1400" i="1" s="1"/>
  <c r="H1399" i="1"/>
  <c r="E1399" i="1" s="1"/>
  <c r="H1398" i="1"/>
  <c r="E1398" i="1" s="1"/>
  <c r="H1397" i="1"/>
  <c r="E1397" i="1" s="1"/>
  <c r="H1396" i="1"/>
  <c r="E1396" i="1" s="1"/>
  <c r="H1395" i="1"/>
  <c r="E1395" i="1" s="1"/>
  <c r="H1394" i="1"/>
  <c r="H1393" i="1"/>
  <c r="E1393" i="1" s="1"/>
  <c r="H1392" i="1"/>
  <c r="E1392" i="1" s="1"/>
  <c r="H1391" i="1"/>
  <c r="E1391" i="1" s="1"/>
  <c r="H1390" i="1"/>
  <c r="E1390" i="1" s="1"/>
  <c r="H1389" i="1"/>
  <c r="E1389" i="1" s="1"/>
  <c r="H1388" i="1"/>
  <c r="E1388" i="1" s="1"/>
  <c r="H1387" i="1"/>
  <c r="E1387" i="1" s="1"/>
  <c r="H1386" i="1"/>
  <c r="E1386" i="1" s="1"/>
  <c r="H1385" i="1"/>
  <c r="E1385" i="1" s="1"/>
  <c r="H1384" i="1"/>
  <c r="E1384" i="1" s="1"/>
  <c r="H1383" i="1"/>
  <c r="E1383" i="1" s="1"/>
  <c r="H1382" i="1"/>
  <c r="E1382" i="1" s="1"/>
  <c r="H1381" i="1"/>
  <c r="E1381" i="1" s="1"/>
  <c r="H1380" i="1"/>
  <c r="E1380" i="1" s="1"/>
  <c r="H1379" i="1"/>
  <c r="E1379" i="1" s="1"/>
  <c r="H1378" i="1"/>
  <c r="E1378" i="1" s="1"/>
  <c r="H1377" i="1"/>
  <c r="E1377" i="1" s="1"/>
  <c r="H1376" i="1"/>
  <c r="E1376" i="1" s="1"/>
  <c r="H1375" i="1"/>
  <c r="E1375" i="1" s="1"/>
  <c r="H1374" i="1"/>
  <c r="E1374" i="1" s="1"/>
  <c r="H1373" i="1"/>
  <c r="E1373" i="1" s="1"/>
  <c r="H1372" i="1"/>
  <c r="E1372" i="1" s="1"/>
  <c r="H1371" i="1"/>
  <c r="E1371" i="1" s="1"/>
  <c r="H1370" i="1"/>
  <c r="E1370" i="1" s="1"/>
  <c r="H1369" i="1"/>
  <c r="E1369" i="1" s="1"/>
  <c r="H1368" i="1"/>
  <c r="E1368" i="1" s="1"/>
  <c r="H1367" i="1"/>
  <c r="E1367" i="1" s="1"/>
  <c r="H1366" i="1"/>
  <c r="E1366" i="1" s="1"/>
  <c r="H1365" i="1"/>
  <c r="E1365" i="1" s="1"/>
  <c r="H1364" i="1"/>
  <c r="E1364" i="1" s="1"/>
  <c r="H1363" i="1"/>
  <c r="E1363" i="1" s="1"/>
  <c r="H1362" i="1"/>
  <c r="E1362" i="1" s="1"/>
  <c r="H1361" i="1"/>
  <c r="E1361" i="1" s="1"/>
  <c r="H1360" i="1"/>
  <c r="E1360" i="1" s="1"/>
  <c r="H1359" i="1"/>
  <c r="E1359" i="1" s="1"/>
  <c r="H1358" i="1"/>
  <c r="E1358" i="1" s="1"/>
  <c r="H1357" i="1"/>
  <c r="E1357" i="1" s="1"/>
  <c r="H1356" i="1"/>
  <c r="E1356" i="1" s="1"/>
  <c r="H1355" i="1"/>
  <c r="E1355" i="1" s="1"/>
  <c r="H1354" i="1"/>
  <c r="E1354" i="1" s="1"/>
  <c r="H1353" i="1"/>
  <c r="E1353" i="1" s="1"/>
  <c r="H1352" i="1"/>
  <c r="E1352" i="1" s="1"/>
  <c r="H1351" i="1"/>
  <c r="E1351" i="1" s="1"/>
  <c r="H1350" i="1"/>
  <c r="E1350" i="1" s="1"/>
  <c r="H1349" i="1"/>
  <c r="E1349" i="1" s="1"/>
  <c r="H1348" i="1"/>
  <c r="E1348" i="1" s="1"/>
  <c r="H1347" i="1"/>
  <c r="E1347" i="1" s="1"/>
  <c r="H1346" i="1"/>
  <c r="H1345" i="1"/>
  <c r="E1345" i="1" s="1"/>
  <c r="H1344" i="1"/>
  <c r="E1344" i="1" s="1"/>
  <c r="H1343" i="1"/>
  <c r="E1343" i="1" s="1"/>
  <c r="H1342" i="1"/>
  <c r="E1342" i="1" s="1"/>
  <c r="H1341" i="1"/>
  <c r="E1341" i="1" s="1"/>
  <c r="H1340" i="1"/>
  <c r="E1340" i="1" s="1"/>
  <c r="H1339" i="1"/>
  <c r="E1339" i="1" s="1"/>
  <c r="H1338" i="1"/>
  <c r="E1338" i="1" s="1"/>
  <c r="H1337" i="1"/>
  <c r="E1337" i="1" s="1"/>
  <c r="H1336" i="1"/>
  <c r="E1336" i="1" s="1"/>
  <c r="H1335" i="1"/>
  <c r="E1335" i="1" s="1"/>
  <c r="H1334" i="1"/>
  <c r="E1334" i="1" s="1"/>
  <c r="H1333" i="1"/>
  <c r="E1333" i="1" s="1"/>
  <c r="H1327" i="1"/>
  <c r="E1327" i="1" s="1"/>
  <c r="H1326" i="1"/>
  <c r="E1326" i="1" s="1"/>
  <c r="H1325" i="1"/>
  <c r="E1325" i="1" s="1"/>
  <c r="H1324" i="1"/>
  <c r="E1324" i="1" s="1"/>
  <c r="H1323" i="1"/>
  <c r="E1323" i="1" s="1"/>
  <c r="H1321" i="1"/>
  <c r="E1321" i="1" s="1"/>
  <c r="H1320" i="1"/>
  <c r="E1320" i="1" s="1"/>
  <c r="H1319" i="1"/>
  <c r="E1319" i="1" s="1"/>
  <c r="H1318" i="1"/>
  <c r="E1318" i="1" s="1"/>
  <c r="H1317" i="1"/>
  <c r="E1317" i="1" s="1"/>
  <c r="H1316" i="1"/>
  <c r="E1316" i="1" s="1"/>
  <c r="H1315" i="1"/>
  <c r="E1315" i="1" s="1"/>
  <c r="H1314" i="1"/>
  <c r="E1314" i="1" s="1"/>
  <c r="H1313" i="1"/>
  <c r="E1313" i="1" s="1"/>
  <c r="H1312" i="1"/>
  <c r="E1312" i="1" s="1"/>
  <c r="H1311" i="1"/>
  <c r="E1311" i="1" s="1"/>
  <c r="H1310" i="1"/>
  <c r="E1310" i="1" s="1"/>
  <c r="H1309" i="1"/>
  <c r="E1309" i="1" s="1"/>
  <c r="H1308" i="1"/>
  <c r="E1308" i="1" s="1"/>
  <c r="H1307" i="1"/>
  <c r="E1307" i="1" s="1"/>
  <c r="H1306" i="1"/>
  <c r="E1306" i="1" s="1"/>
  <c r="H1305" i="1"/>
  <c r="E1305" i="1" s="1"/>
  <c r="H1304" i="1"/>
  <c r="E1304" i="1" s="1"/>
  <c r="H1303" i="1"/>
  <c r="E1303" i="1" s="1"/>
  <c r="H1302" i="1"/>
  <c r="E1302" i="1" s="1"/>
  <c r="H1301" i="1"/>
  <c r="E1301" i="1" s="1"/>
  <c r="H1300" i="1"/>
  <c r="E1300" i="1" s="1"/>
  <c r="H1299" i="1"/>
  <c r="E1299" i="1" s="1"/>
  <c r="H1298" i="1"/>
  <c r="E1298" i="1" s="1"/>
  <c r="H1297" i="1"/>
  <c r="E1297" i="1" s="1"/>
  <c r="H1296" i="1"/>
  <c r="E1296" i="1" s="1"/>
  <c r="H1295" i="1"/>
  <c r="E1295" i="1" s="1"/>
  <c r="H1294" i="1"/>
  <c r="E1294" i="1" s="1"/>
  <c r="H1293" i="1"/>
  <c r="E1293" i="1" s="1"/>
  <c r="H1292" i="1"/>
  <c r="E1292" i="1" s="1"/>
  <c r="H1291" i="1"/>
  <c r="E1291" i="1" s="1"/>
  <c r="H1290" i="1"/>
  <c r="E1290" i="1" s="1"/>
  <c r="H1289" i="1"/>
  <c r="E1289" i="1" s="1"/>
  <c r="H1288" i="1"/>
  <c r="E1288" i="1" s="1"/>
  <c r="H1287" i="1"/>
  <c r="E1287" i="1" s="1"/>
  <c r="H1286" i="1"/>
  <c r="E1286" i="1" s="1"/>
  <c r="H1285" i="1"/>
  <c r="E1285" i="1" s="1"/>
  <c r="H1284" i="1"/>
  <c r="E1284" i="1" s="1"/>
  <c r="H1283" i="1"/>
  <c r="E1283" i="1" s="1"/>
  <c r="H1282" i="1"/>
  <c r="E1282" i="1" s="1"/>
  <c r="H1281" i="1"/>
  <c r="E1281" i="1" s="1"/>
  <c r="H1280" i="1"/>
  <c r="H1279" i="1"/>
  <c r="E1279" i="1" s="1"/>
  <c r="H1278" i="1"/>
  <c r="E1278" i="1" s="1"/>
  <c r="H1277" i="1"/>
  <c r="E1277" i="1" s="1"/>
  <c r="H1276" i="1"/>
  <c r="E1276" i="1" s="1"/>
  <c r="H1275" i="1"/>
  <c r="E1275" i="1" s="1"/>
  <c r="H1273" i="1"/>
  <c r="E1273" i="1" s="1"/>
  <c r="H1272" i="1"/>
  <c r="E1272" i="1" s="1"/>
  <c r="H1271" i="1"/>
  <c r="E1271" i="1" s="1"/>
  <c r="H1270" i="1"/>
  <c r="E1270" i="1" s="1"/>
  <c r="H1269" i="1"/>
  <c r="E1269" i="1" s="1"/>
  <c r="H1268" i="1"/>
  <c r="E1268" i="1" s="1"/>
  <c r="H1267" i="1"/>
  <c r="E1267" i="1" s="1"/>
  <c r="H1266" i="1"/>
  <c r="E1266" i="1" s="1"/>
  <c r="H1265" i="1"/>
  <c r="E1265" i="1" s="1"/>
  <c r="H1264" i="1"/>
  <c r="E1264" i="1" s="1"/>
  <c r="H1263" i="1"/>
  <c r="E1263" i="1" s="1"/>
  <c r="H1262" i="1"/>
  <c r="E1262" i="1" s="1"/>
  <c r="H1261" i="1"/>
  <c r="E1261" i="1" s="1"/>
  <c r="H1260" i="1"/>
  <c r="E1260" i="1" s="1"/>
  <c r="H1259" i="1"/>
  <c r="E1259" i="1" s="1"/>
  <c r="H1258" i="1"/>
  <c r="E1258" i="1" s="1"/>
  <c r="H1257" i="1"/>
  <c r="E1257" i="1" s="1"/>
  <c r="H1256" i="1"/>
  <c r="E1256" i="1" s="1"/>
  <c r="H1255" i="1"/>
  <c r="E1255" i="1" s="1"/>
  <c r="H1254" i="1"/>
  <c r="E1254" i="1" s="1"/>
  <c r="H1253" i="1"/>
  <c r="E1253" i="1" s="1"/>
  <c r="H1252" i="1"/>
  <c r="E1252" i="1" s="1"/>
  <c r="H1251" i="1"/>
  <c r="E1251" i="1" s="1"/>
  <c r="H1250" i="1"/>
  <c r="E1250" i="1" s="1"/>
  <c r="H1249" i="1"/>
  <c r="E1249" i="1" s="1"/>
  <c r="H1248" i="1"/>
  <c r="E1248" i="1" s="1"/>
  <c r="H1247" i="1"/>
  <c r="E1247" i="1" s="1"/>
  <c r="H1246" i="1"/>
  <c r="E1246" i="1" s="1"/>
  <c r="H1245" i="1"/>
  <c r="E1245" i="1" s="1"/>
  <c r="H1244" i="1"/>
  <c r="E1244" i="1" s="1"/>
  <c r="H1243" i="1"/>
  <c r="E1243" i="1" s="1"/>
  <c r="H1242" i="1"/>
  <c r="E1242" i="1" s="1"/>
  <c r="H1241" i="1"/>
  <c r="E1241" i="1" s="1"/>
  <c r="H1240" i="1"/>
  <c r="E1240" i="1" s="1"/>
  <c r="H1239" i="1"/>
  <c r="E1239" i="1" s="1"/>
  <c r="H1238" i="1"/>
  <c r="E1238" i="1" s="1"/>
  <c r="H1237" i="1"/>
  <c r="E1237" i="1" s="1"/>
  <c r="H1236" i="1"/>
  <c r="E1236" i="1" s="1"/>
  <c r="H1235" i="1"/>
  <c r="E1235" i="1" s="1"/>
  <c r="H1234" i="1"/>
  <c r="E1234" i="1" s="1"/>
  <c r="H1233" i="1"/>
  <c r="E1233" i="1" s="1"/>
  <c r="H1232" i="1"/>
  <c r="E1232" i="1" s="1"/>
  <c r="H1231" i="1"/>
  <c r="H1230" i="1"/>
  <c r="E1230" i="1" s="1"/>
  <c r="H1229" i="1"/>
  <c r="E1229" i="1" s="1"/>
  <c r="H1227" i="1"/>
  <c r="E1227" i="1" s="1"/>
  <c r="H1226" i="1"/>
  <c r="E1226" i="1" s="1"/>
  <c r="H1225" i="1"/>
  <c r="E1225" i="1" s="1"/>
  <c r="H1224" i="1"/>
  <c r="E1224" i="1" s="1"/>
  <c r="H1223" i="1"/>
  <c r="E1223" i="1" s="1"/>
  <c r="H1222" i="1"/>
  <c r="E1222" i="1" s="1"/>
  <c r="H1221" i="1"/>
  <c r="E1221" i="1" s="1"/>
  <c r="H1220" i="1"/>
  <c r="E1220" i="1" s="1"/>
  <c r="H1219" i="1"/>
  <c r="E1219" i="1" s="1"/>
  <c r="H1218" i="1"/>
  <c r="E1218" i="1" s="1"/>
  <c r="H1217" i="1"/>
  <c r="E1217" i="1" s="1"/>
  <c r="H1216" i="1"/>
  <c r="E1216" i="1" s="1"/>
  <c r="H1215" i="1"/>
  <c r="E1215" i="1" s="1"/>
  <c r="H1214" i="1"/>
  <c r="E1214" i="1" s="1"/>
  <c r="H1213" i="1"/>
  <c r="E1213" i="1" s="1"/>
  <c r="H1212" i="1"/>
  <c r="E1212" i="1" s="1"/>
  <c r="H1211" i="1"/>
  <c r="E1211" i="1" s="1"/>
  <c r="H1210" i="1"/>
  <c r="E1210" i="1" s="1"/>
  <c r="H1209" i="1"/>
  <c r="E1209" i="1" s="1"/>
  <c r="H1207" i="1"/>
  <c r="E1207" i="1" s="1"/>
  <c r="H1206" i="1"/>
  <c r="E1206" i="1" s="1"/>
  <c r="H1205" i="1"/>
  <c r="E1205" i="1" s="1"/>
  <c r="H1204" i="1"/>
  <c r="E1204" i="1" s="1"/>
  <c r="H1203" i="1"/>
  <c r="E1203" i="1" s="1"/>
  <c r="H1202" i="1"/>
  <c r="E1202" i="1" s="1"/>
  <c r="H1201" i="1"/>
  <c r="E1201" i="1" s="1"/>
  <c r="H1200" i="1"/>
  <c r="E1200" i="1" s="1"/>
  <c r="H1199" i="1"/>
  <c r="E1199" i="1" s="1"/>
  <c r="H1198" i="1"/>
  <c r="E1198" i="1" s="1"/>
  <c r="H1197" i="1"/>
  <c r="E1197" i="1" s="1"/>
  <c r="H1196" i="1"/>
  <c r="E1196" i="1" s="1"/>
  <c r="H1195" i="1"/>
  <c r="E1195" i="1" s="1"/>
  <c r="H1194" i="1"/>
  <c r="E1194" i="1" s="1"/>
  <c r="H1193" i="1"/>
  <c r="E1193" i="1" s="1"/>
  <c r="H1192" i="1"/>
  <c r="E1192" i="1" s="1"/>
  <c r="H1191" i="1"/>
  <c r="E1191" i="1" s="1"/>
  <c r="H1190" i="1"/>
  <c r="E1190" i="1" s="1"/>
  <c r="H1189" i="1"/>
  <c r="E1189" i="1" s="1"/>
  <c r="H1184" i="1"/>
  <c r="E1184" i="1" s="1"/>
  <c r="H1183" i="1"/>
  <c r="E1183" i="1" s="1"/>
  <c r="H1182" i="1"/>
  <c r="E1182" i="1" s="1"/>
  <c r="H1181" i="1"/>
  <c r="E1181" i="1" s="1"/>
  <c r="H1180" i="1"/>
  <c r="E1180" i="1" s="1"/>
  <c r="H1179" i="1"/>
  <c r="E1179" i="1" s="1"/>
  <c r="H1178" i="1"/>
  <c r="E1178" i="1" s="1"/>
  <c r="H1177" i="1"/>
  <c r="E1177" i="1" s="1"/>
  <c r="H1176" i="1"/>
  <c r="E1176" i="1" s="1"/>
  <c r="H1175" i="1"/>
  <c r="E1175" i="1" s="1"/>
  <c r="H1174" i="1"/>
  <c r="E1174" i="1" s="1"/>
  <c r="H1173" i="1"/>
  <c r="E1173" i="1" s="1"/>
  <c r="H1172" i="1"/>
  <c r="E1172" i="1" s="1"/>
  <c r="H1171" i="1"/>
  <c r="E1171" i="1" s="1"/>
  <c r="H1170" i="1"/>
  <c r="E1170" i="1" s="1"/>
  <c r="H1169" i="1"/>
  <c r="E1169" i="1" s="1"/>
  <c r="H1168" i="1"/>
  <c r="E1168" i="1" s="1"/>
  <c r="H1167" i="1"/>
  <c r="E1167" i="1" s="1"/>
  <c r="H1166" i="1"/>
  <c r="E1166" i="1" s="1"/>
  <c r="H1165" i="1"/>
  <c r="E1165" i="1" s="1"/>
  <c r="H1164" i="1"/>
  <c r="E1164" i="1" s="1"/>
  <c r="H1163" i="1"/>
  <c r="E1163" i="1" s="1"/>
  <c r="H1162" i="1"/>
  <c r="E1162" i="1" s="1"/>
  <c r="H1161" i="1"/>
  <c r="E1161" i="1" s="1"/>
  <c r="H1160" i="1"/>
  <c r="E1160" i="1" s="1"/>
  <c r="H1159" i="1"/>
  <c r="E1159" i="1" s="1"/>
  <c r="H1158" i="1"/>
  <c r="E1158" i="1" s="1"/>
  <c r="H1157" i="1"/>
  <c r="E1157" i="1" s="1"/>
  <c r="H1156" i="1"/>
  <c r="E1156" i="1" s="1"/>
  <c r="H1155" i="1"/>
  <c r="H1154" i="1"/>
  <c r="E1154" i="1" s="1"/>
  <c r="H1153" i="1"/>
  <c r="E1153" i="1" s="1"/>
  <c r="H1152" i="1"/>
  <c r="E1152" i="1" s="1"/>
  <c r="H1151" i="1"/>
  <c r="E1151" i="1" s="1"/>
  <c r="H1150" i="1"/>
  <c r="E1150" i="1" s="1"/>
  <c r="H1149" i="1"/>
  <c r="E1149" i="1" s="1"/>
  <c r="H1148" i="1"/>
  <c r="E1148" i="1" s="1"/>
  <c r="H1147" i="1"/>
  <c r="E1147" i="1" s="1"/>
  <c r="H1146" i="1"/>
  <c r="E1146" i="1" s="1"/>
  <c r="H1145" i="1"/>
  <c r="E1145" i="1" s="1"/>
  <c r="H1144" i="1"/>
  <c r="E1144" i="1" s="1"/>
  <c r="H1143" i="1"/>
  <c r="E1143" i="1" s="1"/>
  <c r="H1142" i="1"/>
  <c r="E1142" i="1" s="1"/>
  <c r="H1141" i="1"/>
  <c r="E1141" i="1" s="1"/>
  <c r="H1140" i="1"/>
  <c r="E1140" i="1" s="1"/>
  <c r="H1139" i="1"/>
  <c r="E1139" i="1" s="1"/>
  <c r="H1138" i="1"/>
  <c r="E1138" i="1" s="1"/>
  <c r="H1137" i="1"/>
  <c r="E1137" i="1" s="1"/>
  <c r="H1136" i="1"/>
  <c r="E1136" i="1" s="1"/>
  <c r="H1135" i="1"/>
  <c r="E1135" i="1" s="1"/>
  <c r="H1134" i="1"/>
  <c r="E1134" i="1" s="1"/>
  <c r="H1133" i="1"/>
  <c r="E1133" i="1" s="1"/>
  <c r="H1132" i="1"/>
  <c r="E1132" i="1" s="1"/>
  <c r="H1131" i="1"/>
  <c r="E1131" i="1" s="1"/>
  <c r="H1130" i="1"/>
  <c r="E1130" i="1" s="1"/>
  <c r="H1129" i="1"/>
  <c r="E1129" i="1" s="1"/>
  <c r="H1128" i="1"/>
  <c r="E1128" i="1" s="1"/>
  <c r="H1127" i="1"/>
  <c r="E1127" i="1" s="1"/>
  <c r="H1126" i="1"/>
  <c r="E1126" i="1" s="1"/>
  <c r="H1125" i="1"/>
  <c r="E1125" i="1" s="1"/>
  <c r="H1124" i="1"/>
  <c r="E1124" i="1" s="1"/>
  <c r="H1123" i="1"/>
  <c r="E1123" i="1" s="1"/>
  <c r="H1122" i="1"/>
  <c r="E1122" i="1" s="1"/>
  <c r="H1121" i="1"/>
  <c r="E1121" i="1" s="1"/>
  <c r="H1120" i="1"/>
  <c r="E1120" i="1" s="1"/>
  <c r="H1119" i="1"/>
  <c r="E1119" i="1" s="1"/>
  <c r="H1118" i="1"/>
  <c r="E1118" i="1" s="1"/>
  <c r="H1117" i="1"/>
  <c r="E1117" i="1" s="1"/>
  <c r="H1116" i="1"/>
  <c r="E1116" i="1" s="1"/>
  <c r="H1115" i="1"/>
  <c r="E1115" i="1" s="1"/>
  <c r="H1114" i="1"/>
  <c r="E1114" i="1" s="1"/>
  <c r="H1113" i="1"/>
  <c r="E1113" i="1" s="1"/>
  <c r="H1112" i="1"/>
  <c r="E1112" i="1" s="1"/>
  <c r="H1111" i="1"/>
  <c r="E1111" i="1" s="1"/>
  <c r="H1110" i="1"/>
  <c r="E1110" i="1" s="1"/>
  <c r="H1109" i="1"/>
  <c r="E1109" i="1" s="1"/>
  <c r="H1108" i="1"/>
  <c r="E1108" i="1" s="1"/>
  <c r="H1107" i="1"/>
  <c r="E1107" i="1" s="1"/>
  <c r="H1106" i="1"/>
  <c r="E1106" i="1" s="1"/>
  <c r="H1105" i="1"/>
  <c r="E1105" i="1" s="1"/>
  <c r="H1104" i="1"/>
  <c r="E1104" i="1" s="1"/>
  <c r="H1103" i="1"/>
  <c r="E1103" i="1" s="1"/>
  <c r="H1102" i="1"/>
  <c r="E1102" i="1" s="1"/>
  <c r="H1101" i="1"/>
  <c r="E1101" i="1" s="1"/>
  <c r="H1100" i="1"/>
  <c r="E1100" i="1" s="1"/>
  <c r="H1099" i="1"/>
  <c r="E1099" i="1" s="1"/>
  <c r="H1098" i="1"/>
  <c r="E1098" i="1" s="1"/>
  <c r="H1097" i="1"/>
  <c r="E1097" i="1" s="1"/>
  <c r="H1096" i="1"/>
  <c r="E1096" i="1" s="1"/>
  <c r="H1095" i="1"/>
  <c r="E1095" i="1" s="1"/>
  <c r="H1094" i="1"/>
  <c r="E1094" i="1" s="1"/>
  <c r="H1093" i="1"/>
  <c r="E1093" i="1" s="1"/>
  <c r="H1092" i="1"/>
  <c r="E1092" i="1" s="1"/>
  <c r="H1091" i="1"/>
  <c r="E1091" i="1" s="1"/>
  <c r="H1090" i="1"/>
  <c r="E1090" i="1" s="1"/>
  <c r="H1089" i="1"/>
  <c r="E1089" i="1" s="1"/>
  <c r="H1088" i="1"/>
  <c r="E1088" i="1" s="1"/>
  <c r="H1087" i="1"/>
  <c r="E1087" i="1" s="1"/>
  <c r="H1086" i="1"/>
  <c r="E1086" i="1" s="1"/>
  <c r="H1085" i="1"/>
  <c r="E1085" i="1" s="1"/>
  <c r="H1084" i="1"/>
  <c r="E1084" i="1" s="1"/>
  <c r="H1083" i="1"/>
  <c r="E1083" i="1" s="1"/>
  <c r="H1082" i="1"/>
  <c r="E1082" i="1" s="1"/>
  <c r="H1081" i="1"/>
  <c r="E1081" i="1" s="1"/>
  <c r="H1080" i="1"/>
  <c r="E1080" i="1" s="1"/>
  <c r="H1079" i="1"/>
  <c r="E1079" i="1" s="1"/>
  <c r="H1078" i="1"/>
  <c r="E1078" i="1" s="1"/>
  <c r="H1077" i="1"/>
  <c r="E1077" i="1" s="1"/>
  <c r="H1076" i="1"/>
  <c r="E1076" i="1" s="1"/>
  <c r="H1075" i="1"/>
  <c r="E1075" i="1" s="1"/>
  <c r="H1074" i="1"/>
  <c r="E1074" i="1" s="1"/>
  <c r="H1073" i="1"/>
  <c r="E1073" i="1" s="1"/>
  <c r="H1072" i="1"/>
  <c r="E1072" i="1" s="1"/>
  <c r="H1071" i="1"/>
  <c r="E1071" i="1" s="1"/>
  <c r="H1070" i="1"/>
  <c r="E1070" i="1" s="1"/>
  <c r="H1069" i="1"/>
  <c r="E1069" i="1" s="1"/>
  <c r="H1068" i="1"/>
  <c r="E1068" i="1" s="1"/>
  <c r="H1067" i="1"/>
  <c r="E1067" i="1" s="1"/>
  <c r="H1066" i="1"/>
  <c r="E1066" i="1" s="1"/>
  <c r="H1065" i="1"/>
  <c r="E1065" i="1" s="1"/>
  <c r="H1064" i="1"/>
  <c r="E1064" i="1" s="1"/>
  <c r="H1063" i="1"/>
  <c r="E1063" i="1" s="1"/>
  <c r="H1062" i="1"/>
  <c r="E1062" i="1" s="1"/>
  <c r="H1061" i="1"/>
  <c r="E1061" i="1" s="1"/>
  <c r="H1060" i="1"/>
  <c r="E1060" i="1" s="1"/>
  <c r="H1059" i="1"/>
  <c r="E1059" i="1" s="1"/>
  <c r="H1058" i="1"/>
  <c r="E1058" i="1" s="1"/>
  <c r="H1057" i="1"/>
  <c r="E1057" i="1" s="1"/>
  <c r="H1056" i="1"/>
  <c r="E1056" i="1" s="1"/>
  <c r="H1055" i="1"/>
  <c r="E1055" i="1" s="1"/>
  <c r="H1054" i="1"/>
  <c r="E1054" i="1" s="1"/>
  <c r="H1053" i="1"/>
  <c r="E1053" i="1" s="1"/>
  <c r="H1052" i="1"/>
  <c r="E1052" i="1" s="1"/>
  <c r="H1051" i="1"/>
  <c r="E1051" i="1" s="1"/>
  <c r="H1050" i="1"/>
  <c r="E1050" i="1" s="1"/>
  <c r="H1049" i="1"/>
  <c r="E1049" i="1" s="1"/>
  <c r="H1048" i="1"/>
  <c r="E1048" i="1" s="1"/>
  <c r="H1047" i="1"/>
  <c r="E1047" i="1" s="1"/>
  <c r="H1046" i="1"/>
  <c r="E1046" i="1" s="1"/>
  <c r="H1045" i="1"/>
  <c r="E1045" i="1" s="1"/>
  <c r="H1044" i="1"/>
  <c r="E1044" i="1" s="1"/>
  <c r="H1043" i="1"/>
  <c r="E1043" i="1" s="1"/>
  <c r="H1042" i="1"/>
  <c r="E1042" i="1" s="1"/>
  <c r="H1041" i="1"/>
  <c r="E1041" i="1" s="1"/>
  <c r="H1040" i="1"/>
  <c r="E1040" i="1" s="1"/>
  <c r="H1039" i="1"/>
  <c r="E1039" i="1" s="1"/>
  <c r="H1038" i="1"/>
  <c r="E1038" i="1" s="1"/>
  <c r="H1037" i="1"/>
  <c r="E1037" i="1" s="1"/>
  <c r="H1036" i="1"/>
  <c r="E1036" i="1" s="1"/>
  <c r="H1035" i="1"/>
  <c r="E1035" i="1" s="1"/>
  <c r="H1034" i="1"/>
  <c r="E1034" i="1" s="1"/>
  <c r="H1033" i="1"/>
  <c r="E1033" i="1" s="1"/>
  <c r="H1032" i="1"/>
  <c r="E1032" i="1" s="1"/>
  <c r="H1031" i="1"/>
  <c r="E1031" i="1" s="1"/>
  <c r="H1030" i="1"/>
  <c r="E1030" i="1" s="1"/>
  <c r="H1029" i="1"/>
  <c r="E1029" i="1" s="1"/>
  <c r="H1028" i="1"/>
  <c r="E1028" i="1" s="1"/>
  <c r="H1027" i="1"/>
  <c r="E1027" i="1" s="1"/>
  <c r="H1026" i="1"/>
  <c r="E1026" i="1" s="1"/>
  <c r="H1025" i="1"/>
  <c r="E1025" i="1" s="1"/>
  <c r="H1024" i="1"/>
  <c r="E1024" i="1" s="1"/>
  <c r="H1023" i="1"/>
  <c r="E1023" i="1" s="1"/>
  <c r="H1022" i="1"/>
  <c r="E1022" i="1" s="1"/>
  <c r="H1021" i="1"/>
  <c r="E1021" i="1" s="1"/>
  <c r="H1020" i="1"/>
  <c r="E1020" i="1" s="1"/>
  <c r="H1013" i="1"/>
  <c r="E1013" i="1" s="1"/>
  <c r="H1012" i="1"/>
  <c r="E1012" i="1" s="1"/>
  <c r="H1011" i="1"/>
  <c r="E1011" i="1" s="1"/>
  <c r="H1010" i="1"/>
  <c r="E1010" i="1" s="1"/>
  <c r="H1009" i="1"/>
  <c r="E1009" i="1" s="1"/>
  <c r="H1008" i="1"/>
  <c r="E1008" i="1" s="1"/>
  <c r="H1007" i="1"/>
  <c r="E1007" i="1" s="1"/>
  <c r="H1006" i="1"/>
  <c r="E1006" i="1" s="1"/>
  <c r="H1005" i="1"/>
  <c r="E1005" i="1" s="1"/>
  <c r="H1004" i="1"/>
  <c r="E1004" i="1" s="1"/>
  <c r="H1003" i="1"/>
  <c r="E1003" i="1" s="1"/>
  <c r="H1002" i="1"/>
  <c r="E1002" i="1" s="1"/>
  <c r="H1001" i="1"/>
  <c r="E1001" i="1" s="1"/>
  <c r="H1000" i="1"/>
  <c r="E1000" i="1" s="1"/>
  <c r="H999" i="1"/>
  <c r="E999" i="1" s="1"/>
  <c r="H998" i="1"/>
  <c r="E998" i="1" s="1"/>
  <c r="H997" i="1"/>
  <c r="E997" i="1" s="1"/>
  <c r="H996" i="1"/>
  <c r="E996" i="1" s="1"/>
  <c r="H995" i="1"/>
  <c r="E995" i="1" s="1"/>
  <c r="H994" i="1"/>
  <c r="E994" i="1" s="1"/>
  <c r="H993" i="1"/>
  <c r="E993" i="1" s="1"/>
  <c r="H992" i="1"/>
  <c r="E992" i="1" s="1"/>
  <c r="H991" i="1"/>
  <c r="E991" i="1" s="1"/>
  <c r="H990" i="1"/>
  <c r="E990" i="1" s="1"/>
  <c r="H989" i="1"/>
  <c r="E989" i="1" s="1"/>
  <c r="H988" i="1"/>
  <c r="E988" i="1" s="1"/>
  <c r="H987" i="1"/>
  <c r="E987" i="1" s="1"/>
  <c r="H986" i="1"/>
  <c r="E986" i="1" s="1"/>
  <c r="H985" i="1"/>
  <c r="E985" i="1" s="1"/>
  <c r="H984" i="1"/>
  <c r="E984" i="1" s="1"/>
  <c r="H983" i="1"/>
  <c r="E983" i="1" s="1"/>
  <c r="H982" i="1"/>
  <c r="E982" i="1" s="1"/>
  <c r="H981" i="1"/>
  <c r="E981" i="1" s="1"/>
  <c r="H980" i="1"/>
  <c r="E980" i="1" s="1"/>
  <c r="H979" i="1"/>
  <c r="E979" i="1" s="1"/>
  <c r="H978" i="1"/>
  <c r="E978" i="1" s="1"/>
  <c r="H977" i="1"/>
  <c r="E977" i="1" s="1"/>
  <c r="H976" i="1"/>
  <c r="E976" i="1" s="1"/>
  <c r="H975" i="1"/>
  <c r="E975" i="1" s="1"/>
  <c r="H974" i="1"/>
  <c r="E974" i="1" s="1"/>
  <c r="H973" i="1"/>
  <c r="E973" i="1" s="1"/>
  <c r="H970" i="1"/>
  <c r="E970" i="1" s="1"/>
  <c r="H969" i="1"/>
  <c r="E969" i="1" s="1"/>
  <c r="H968" i="1"/>
  <c r="E968" i="1" s="1"/>
  <c r="H967" i="1"/>
  <c r="E967" i="1" s="1"/>
  <c r="H966" i="1"/>
  <c r="E966" i="1" s="1"/>
  <c r="H965" i="1"/>
  <c r="E965" i="1" s="1"/>
  <c r="H964" i="1"/>
  <c r="E964" i="1" s="1"/>
  <c r="H963" i="1"/>
  <c r="E963" i="1" s="1"/>
  <c r="H962" i="1"/>
  <c r="E962" i="1" s="1"/>
  <c r="H961" i="1"/>
  <c r="E961" i="1" s="1"/>
  <c r="H960" i="1"/>
  <c r="E960" i="1" s="1"/>
  <c r="H959" i="1"/>
  <c r="E959" i="1" s="1"/>
  <c r="H958" i="1"/>
  <c r="E958" i="1" s="1"/>
  <c r="H957" i="1"/>
  <c r="E957" i="1" s="1"/>
  <c r="H956" i="1"/>
  <c r="E956" i="1" s="1"/>
  <c r="H955" i="1"/>
  <c r="E955" i="1" s="1"/>
  <c r="H954" i="1"/>
  <c r="E954" i="1" s="1"/>
  <c r="H953" i="1"/>
  <c r="E953" i="1" s="1"/>
  <c r="H952" i="1"/>
  <c r="E952" i="1" s="1"/>
  <c r="H951" i="1"/>
  <c r="E951" i="1" s="1"/>
  <c r="H950" i="1"/>
  <c r="E950" i="1" s="1"/>
  <c r="H949" i="1"/>
  <c r="E949" i="1" s="1"/>
  <c r="H948" i="1"/>
  <c r="E948" i="1" s="1"/>
  <c r="H947" i="1"/>
  <c r="E947" i="1" s="1"/>
  <c r="H946" i="1"/>
  <c r="E946" i="1" s="1"/>
  <c r="H945" i="1"/>
  <c r="E945" i="1" s="1"/>
  <c r="H944" i="1"/>
  <c r="E944" i="1" s="1"/>
  <c r="H943" i="1"/>
  <c r="E943" i="1" s="1"/>
  <c r="H942" i="1"/>
  <c r="E942" i="1" s="1"/>
  <c r="H941" i="1"/>
  <c r="E941" i="1" s="1"/>
  <c r="H940" i="1"/>
  <c r="E940" i="1" s="1"/>
  <c r="H939" i="1"/>
  <c r="E939" i="1" s="1"/>
  <c r="H938" i="1"/>
  <c r="E938" i="1" s="1"/>
  <c r="H937" i="1"/>
  <c r="E937" i="1" s="1"/>
  <c r="H936" i="1"/>
  <c r="E936" i="1" s="1"/>
  <c r="H935" i="1"/>
  <c r="E935" i="1" s="1"/>
  <c r="H934" i="1"/>
  <c r="E934" i="1" s="1"/>
  <c r="H933" i="1"/>
  <c r="E933" i="1" s="1"/>
  <c r="H932" i="1"/>
  <c r="E932" i="1" s="1"/>
  <c r="H931" i="1"/>
  <c r="E931" i="1" s="1"/>
  <c r="H930" i="1"/>
  <c r="E930" i="1" s="1"/>
  <c r="H929" i="1"/>
  <c r="E929" i="1" s="1"/>
  <c r="H928" i="1"/>
  <c r="E928" i="1" s="1"/>
  <c r="H927" i="1"/>
  <c r="E927" i="1" s="1"/>
  <c r="H926" i="1"/>
  <c r="E926" i="1" s="1"/>
  <c r="H925" i="1"/>
  <c r="E925" i="1" s="1"/>
  <c r="H924" i="1"/>
  <c r="E924" i="1" s="1"/>
  <c r="H923" i="1"/>
  <c r="E923" i="1" s="1"/>
  <c r="H922" i="1"/>
  <c r="E922" i="1" s="1"/>
  <c r="H921" i="1"/>
  <c r="E921" i="1" s="1"/>
  <c r="H920" i="1"/>
  <c r="E920" i="1" s="1"/>
  <c r="H919" i="1"/>
  <c r="E919" i="1" s="1"/>
  <c r="H918" i="1"/>
  <c r="E918" i="1" s="1"/>
  <c r="H917" i="1"/>
  <c r="E917" i="1" s="1"/>
  <c r="H916" i="1"/>
  <c r="E916" i="1" s="1"/>
  <c r="H915" i="1"/>
  <c r="E915" i="1" s="1"/>
  <c r="H914" i="1"/>
  <c r="E914" i="1" s="1"/>
  <c r="H913" i="1"/>
  <c r="E913" i="1" s="1"/>
  <c r="H912" i="1"/>
  <c r="E912" i="1" s="1"/>
  <c r="H911" i="1"/>
  <c r="E911" i="1" s="1"/>
  <c r="H910" i="1"/>
  <c r="E910" i="1" s="1"/>
  <c r="H909" i="1"/>
  <c r="E909" i="1" s="1"/>
  <c r="H908" i="1"/>
  <c r="E908" i="1" s="1"/>
  <c r="H907" i="1"/>
  <c r="E907" i="1" s="1"/>
  <c r="H906" i="1"/>
  <c r="E906" i="1" s="1"/>
  <c r="H905" i="1"/>
  <c r="E905" i="1" s="1"/>
  <c r="H904" i="1"/>
  <c r="E904" i="1" s="1"/>
  <c r="H903" i="1"/>
  <c r="E903" i="1" s="1"/>
  <c r="H902" i="1"/>
  <c r="E902" i="1" s="1"/>
  <c r="H901" i="1"/>
  <c r="E901" i="1" s="1"/>
  <c r="H900" i="1"/>
  <c r="E900" i="1" s="1"/>
  <c r="H899" i="1"/>
  <c r="E899" i="1" s="1"/>
  <c r="H898" i="1"/>
  <c r="E898" i="1" s="1"/>
  <c r="H897" i="1"/>
  <c r="E897" i="1" s="1"/>
  <c r="H896" i="1"/>
  <c r="E896" i="1" s="1"/>
  <c r="H895" i="1"/>
  <c r="E895" i="1" s="1"/>
  <c r="H894" i="1"/>
  <c r="E894" i="1" s="1"/>
  <c r="H893" i="1"/>
  <c r="E893" i="1" s="1"/>
  <c r="H892" i="1"/>
  <c r="E892" i="1" s="1"/>
  <c r="H891" i="1"/>
  <c r="E891" i="1" s="1"/>
  <c r="H890" i="1"/>
  <c r="E890" i="1" s="1"/>
  <c r="H889" i="1"/>
  <c r="E889" i="1" s="1"/>
  <c r="H888" i="1"/>
  <c r="E888" i="1" s="1"/>
  <c r="H887" i="1"/>
  <c r="E887" i="1" s="1"/>
  <c r="H886" i="1"/>
  <c r="E886" i="1" s="1"/>
  <c r="H885" i="1"/>
  <c r="E885" i="1" s="1"/>
  <c r="H884" i="1"/>
  <c r="E884" i="1" s="1"/>
  <c r="H883" i="1"/>
  <c r="E883" i="1" s="1"/>
  <c r="H882" i="1"/>
  <c r="E882" i="1" s="1"/>
  <c r="H881" i="1"/>
  <c r="E881" i="1" s="1"/>
  <c r="H880" i="1"/>
  <c r="E880" i="1" s="1"/>
  <c r="H879" i="1"/>
  <c r="E879" i="1" s="1"/>
  <c r="H878" i="1"/>
  <c r="E878" i="1" s="1"/>
  <c r="H877" i="1"/>
  <c r="E877" i="1" s="1"/>
  <c r="H876" i="1"/>
  <c r="E876" i="1" s="1"/>
  <c r="H875" i="1"/>
  <c r="E875" i="1" s="1"/>
  <c r="H874" i="1"/>
  <c r="E874" i="1" s="1"/>
  <c r="H873" i="1"/>
  <c r="E873" i="1" s="1"/>
  <c r="H872" i="1"/>
  <c r="E872" i="1" s="1"/>
  <c r="H871" i="1"/>
  <c r="E871" i="1" s="1"/>
  <c r="H870" i="1"/>
  <c r="E870" i="1" s="1"/>
  <c r="H869" i="1"/>
  <c r="E869" i="1" s="1"/>
  <c r="H868" i="1"/>
  <c r="E868" i="1" s="1"/>
  <c r="H867" i="1"/>
  <c r="E867" i="1" s="1"/>
  <c r="H866" i="1"/>
  <c r="E866" i="1" s="1"/>
  <c r="H865" i="1"/>
  <c r="E865" i="1" s="1"/>
  <c r="H864" i="1"/>
  <c r="E864" i="1" s="1"/>
  <c r="H863" i="1"/>
  <c r="E863" i="1" s="1"/>
  <c r="H862" i="1"/>
  <c r="E862" i="1" s="1"/>
  <c r="H861" i="1"/>
  <c r="E861" i="1" s="1"/>
  <c r="H860" i="1"/>
  <c r="E860" i="1" s="1"/>
  <c r="H859" i="1"/>
  <c r="E859" i="1" s="1"/>
  <c r="H858" i="1"/>
  <c r="E858" i="1" s="1"/>
  <c r="H857" i="1"/>
  <c r="E857" i="1" s="1"/>
  <c r="H856" i="1"/>
  <c r="E856" i="1" s="1"/>
  <c r="H855" i="1"/>
  <c r="E855" i="1" s="1"/>
  <c r="H854" i="1"/>
  <c r="E854" i="1" s="1"/>
  <c r="H853" i="1"/>
  <c r="E853" i="1" s="1"/>
  <c r="H852" i="1"/>
  <c r="E852" i="1" s="1"/>
  <c r="H851" i="1"/>
  <c r="E851" i="1" s="1"/>
  <c r="H850" i="1"/>
  <c r="E850" i="1" s="1"/>
  <c r="H849" i="1"/>
  <c r="E849" i="1" s="1"/>
  <c r="H848" i="1"/>
  <c r="E848" i="1" s="1"/>
  <c r="H845" i="1"/>
  <c r="E845" i="1" s="1"/>
  <c r="H844" i="1"/>
  <c r="E844" i="1" s="1"/>
  <c r="H843" i="1"/>
  <c r="E843" i="1" s="1"/>
  <c r="H842" i="1"/>
  <c r="E842" i="1" s="1"/>
  <c r="H841" i="1"/>
  <c r="E841" i="1" s="1"/>
  <c r="H840" i="1"/>
  <c r="E840" i="1" s="1"/>
  <c r="H839" i="1"/>
  <c r="E839" i="1" s="1"/>
  <c r="H838" i="1"/>
  <c r="E838" i="1" s="1"/>
  <c r="H837" i="1"/>
  <c r="E837" i="1" s="1"/>
  <c r="H836" i="1"/>
  <c r="E836" i="1" s="1"/>
  <c r="H835" i="1"/>
  <c r="E835" i="1" s="1"/>
  <c r="H834" i="1"/>
  <c r="E834" i="1" s="1"/>
  <c r="H833" i="1"/>
  <c r="E833" i="1" s="1"/>
  <c r="H832" i="1"/>
  <c r="E832" i="1" s="1"/>
  <c r="H831" i="1"/>
  <c r="E831" i="1" s="1"/>
  <c r="H830" i="1"/>
  <c r="E830" i="1" s="1"/>
  <c r="H829" i="1"/>
  <c r="E829" i="1" s="1"/>
  <c r="H828" i="1"/>
  <c r="E828" i="1" s="1"/>
  <c r="H827" i="1"/>
  <c r="E827" i="1" s="1"/>
  <c r="H826" i="1"/>
  <c r="E826" i="1" s="1"/>
  <c r="H825" i="1"/>
  <c r="E825" i="1" s="1"/>
  <c r="H824" i="1"/>
  <c r="H823" i="1"/>
  <c r="E823" i="1" s="1"/>
  <c r="H822" i="1"/>
  <c r="E822" i="1" s="1"/>
  <c r="H821" i="1"/>
  <c r="E821" i="1" s="1"/>
  <c r="H820" i="1"/>
  <c r="E820" i="1" s="1"/>
  <c r="H819" i="1"/>
  <c r="E819" i="1" s="1"/>
  <c r="H818" i="1"/>
  <c r="E818" i="1" s="1"/>
  <c r="H817" i="1"/>
  <c r="E817" i="1" s="1"/>
  <c r="H816" i="1"/>
  <c r="E816" i="1" s="1"/>
  <c r="H815" i="1"/>
  <c r="E815" i="1" s="1"/>
  <c r="H814" i="1"/>
  <c r="E814" i="1" s="1"/>
  <c r="H813" i="1"/>
  <c r="E813" i="1" s="1"/>
  <c r="H812" i="1"/>
  <c r="E812" i="1" s="1"/>
  <c r="H811" i="1"/>
  <c r="E811" i="1" s="1"/>
  <c r="H808" i="1"/>
  <c r="E808" i="1" s="1"/>
  <c r="H807" i="1"/>
  <c r="E807" i="1" s="1"/>
  <c r="H806" i="1"/>
  <c r="E806" i="1" s="1"/>
  <c r="H805" i="1"/>
  <c r="E805" i="1" s="1"/>
  <c r="H804" i="1"/>
  <c r="E804" i="1" s="1"/>
  <c r="H803" i="1"/>
  <c r="E803" i="1" s="1"/>
  <c r="H802" i="1"/>
  <c r="E802" i="1" s="1"/>
  <c r="H801" i="1"/>
  <c r="E801" i="1" s="1"/>
  <c r="H800" i="1"/>
  <c r="E800" i="1" s="1"/>
  <c r="H799" i="1"/>
  <c r="E799" i="1" s="1"/>
  <c r="H798" i="1"/>
  <c r="E798" i="1" s="1"/>
  <c r="H797" i="1"/>
  <c r="E797" i="1" s="1"/>
  <c r="H796" i="1"/>
  <c r="E796" i="1" s="1"/>
  <c r="H795" i="1"/>
  <c r="E795" i="1" s="1"/>
  <c r="H794" i="1"/>
  <c r="E794" i="1" s="1"/>
  <c r="H793" i="1"/>
  <c r="E793" i="1" s="1"/>
  <c r="H792" i="1"/>
  <c r="E792" i="1" s="1"/>
  <c r="H791" i="1"/>
  <c r="E791" i="1" s="1"/>
  <c r="H790" i="1"/>
  <c r="E790" i="1" s="1"/>
  <c r="H789" i="1"/>
  <c r="E789" i="1" s="1"/>
  <c r="H788" i="1"/>
  <c r="E788" i="1" s="1"/>
  <c r="H787" i="1"/>
  <c r="E787" i="1" s="1"/>
  <c r="H786" i="1"/>
  <c r="E786" i="1" s="1"/>
  <c r="H785" i="1"/>
  <c r="E785" i="1" s="1"/>
  <c r="H784" i="1"/>
  <c r="E784" i="1" s="1"/>
  <c r="H783" i="1"/>
  <c r="E783" i="1" s="1"/>
  <c r="H782" i="1"/>
  <c r="E782" i="1" s="1"/>
  <c r="H781" i="1"/>
  <c r="E781" i="1" s="1"/>
  <c r="H780" i="1"/>
  <c r="E780" i="1" s="1"/>
  <c r="H779" i="1"/>
  <c r="E779" i="1" s="1"/>
  <c r="H778" i="1"/>
  <c r="E778" i="1" s="1"/>
  <c r="H777" i="1"/>
  <c r="E777" i="1" s="1"/>
  <c r="H776" i="1"/>
  <c r="E776" i="1" s="1"/>
  <c r="H775" i="1"/>
  <c r="E775" i="1" s="1"/>
  <c r="H774" i="1"/>
  <c r="E774" i="1" s="1"/>
  <c r="H773" i="1"/>
  <c r="E773" i="1" s="1"/>
  <c r="H772" i="1"/>
  <c r="E772" i="1" s="1"/>
  <c r="H771" i="1"/>
  <c r="E771" i="1" s="1"/>
  <c r="H770" i="1"/>
  <c r="E770" i="1" s="1"/>
  <c r="H769" i="1"/>
  <c r="E769" i="1" s="1"/>
  <c r="H768" i="1"/>
  <c r="E768" i="1" s="1"/>
  <c r="H767" i="1"/>
  <c r="E767" i="1" s="1"/>
  <c r="H766" i="1"/>
  <c r="E766" i="1" s="1"/>
  <c r="H765" i="1"/>
  <c r="E765" i="1" s="1"/>
  <c r="H764" i="1"/>
  <c r="E764" i="1" s="1"/>
  <c r="H763" i="1"/>
  <c r="E763" i="1" s="1"/>
  <c r="H762" i="1"/>
  <c r="E762" i="1" s="1"/>
  <c r="H761" i="1"/>
  <c r="E761" i="1" s="1"/>
  <c r="H760" i="1"/>
  <c r="E760" i="1" s="1"/>
  <c r="H759" i="1"/>
  <c r="E759" i="1" s="1"/>
  <c r="H758" i="1"/>
  <c r="E758" i="1" s="1"/>
  <c r="H757" i="1"/>
  <c r="E757" i="1" s="1"/>
  <c r="H756" i="1"/>
  <c r="E756" i="1" s="1"/>
  <c r="H755" i="1"/>
  <c r="E755" i="1" s="1"/>
  <c r="H754" i="1"/>
  <c r="E754" i="1" s="1"/>
  <c r="H753" i="1"/>
  <c r="E753" i="1" s="1"/>
  <c r="H743" i="1"/>
  <c r="E743" i="1" s="1"/>
  <c r="H742" i="1"/>
  <c r="E742" i="1" s="1"/>
  <c r="H741" i="1"/>
  <c r="E741" i="1" s="1"/>
  <c r="H740" i="1"/>
  <c r="E740" i="1" s="1"/>
  <c r="H739" i="1"/>
  <c r="E739" i="1" s="1"/>
  <c r="H738" i="1"/>
  <c r="E738" i="1" s="1"/>
  <c r="H737" i="1"/>
  <c r="E737" i="1" s="1"/>
  <c r="H736" i="1"/>
  <c r="E736" i="1" s="1"/>
  <c r="H735" i="1"/>
  <c r="E735" i="1" s="1"/>
  <c r="H734" i="1"/>
  <c r="E734" i="1" s="1"/>
  <c r="H733" i="1"/>
  <c r="E733" i="1" s="1"/>
  <c r="H732" i="1"/>
  <c r="E732" i="1" s="1"/>
  <c r="H731" i="1"/>
  <c r="E731" i="1" s="1"/>
  <c r="H730" i="1"/>
  <c r="E730" i="1" s="1"/>
  <c r="H729" i="1"/>
  <c r="E729" i="1" s="1"/>
  <c r="H728" i="1"/>
  <c r="E728" i="1" s="1"/>
  <c r="H727" i="1"/>
  <c r="E727" i="1" s="1"/>
  <c r="H726" i="1"/>
  <c r="E726" i="1" s="1"/>
  <c r="H725" i="1"/>
  <c r="E725" i="1" s="1"/>
  <c r="H724" i="1"/>
  <c r="E724" i="1" s="1"/>
  <c r="H723" i="1"/>
  <c r="E723" i="1" s="1"/>
  <c r="H722" i="1"/>
  <c r="E722" i="1" s="1"/>
  <c r="H721" i="1"/>
  <c r="E721" i="1" s="1"/>
  <c r="H720" i="1"/>
  <c r="E720" i="1" s="1"/>
  <c r="H719" i="1"/>
  <c r="E719" i="1" s="1"/>
  <c r="H718" i="1"/>
  <c r="E718" i="1" s="1"/>
  <c r="H717" i="1"/>
  <c r="E717" i="1" s="1"/>
  <c r="H716" i="1"/>
  <c r="E716" i="1" s="1"/>
  <c r="H715" i="1"/>
  <c r="E715" i="1" s="1"/>
  <c r="H714" i="1"/>
  <c r="E714" i="1" s="1"/>
  <c r="H713" i="1"/>
  <c r="E713" i="1" s="1"/>
  <c r="H712" i="1"/>
  <c r="E712" i="1" s="1"/>
  <c r="H711" i="1"/>
  <c r="E711" i="1" s="1"/>
  <c r="H710" i="1"/>
  <c r="E710" i="1" s="1"/>
  <c r="H709" i="1"/>
  <c r="E709" i="1" s="1"/>
  <c r="H708" i="1"/>
  <c r="E708" i="1" s="1"/>
  <c r="H707" i="1"/>
  <c r="E707" i="1" s="1"/>
  <c r="H706" i="1"/>
  <c r="E706" i="1" s="1"/>
  <c r="H705" i="1"/>
  <c r="E705" i="1" s="1"/>
  <c r="H704" i="1"/>
  <c r="E704" i="1" s="1"/>
  <c r="H703" i="1"/>
  <c r="E703" i="1" s="1"/>
  <c r="H702" i="1"/>
  <c r="E702" i="1" s="1"/>
  <c r="H701" i="1"/>
  <c r="E701" i="1" s="1"/>
  <c r="H700" i="1"/>
  <c r="E700" i="1" s="1"/>
  <c r="H699" i="1"/>
  <c r="E699" i="1" s="1"/>
  <c r="H698" i="1"/>
  <c r="E698" i="1" s="1"/>
  <c r="H697" i="1"/>
  <c r="E697" i="1" s="1"/>
  <c r="H696" i="1"/>
  <c r="E696" i="1" s="1"/>
  <c r="H695" i="1"/>
  <c r="E695" i="1" s="1"/>
  <c r="H694" i="1"/>
  <c r="E694" i="1" s="1"/>
  <c r="H693" i="1"/>
  <c r="E693" i="1" s="1"/>
  <c r="H692" i="1"/>
  <c r="E692" i="1" s="1"/>
  <c r="H691" i="1"/>
  <c r="E691" i="1" s="1"/>
  <c r="H690" i="1"/>
  <c r="E690" i="1" s="1"/>
  <c r="H689" i="1"/>
  <c r="E689" i="1" s="1"/>
  <c r="H688" i="1"/>
  <c r="E688" i="1" s="1"/>
  <c r="H687" i="1"/>
  <c r="E687" i="1" s="1"/>
  <c r="H686" i="1"/>
  <c r="E686" i="1" s="1"/>
  <c r="H685" i="1"/>
  <c r="E685" i="1" s="1"/>
  <c r="H684" i="1"/>
  <c r="E684" i="1" s="1"/>
  <c r="H683" i="1"/>
  <c r="E683" i="1" s="1"/>
  <c r="H682" i="1"/>
  <c r="E682" i="1" s="1"/>
  <c r="H681" i="1"/>
  <c r="E681" i="1" s="1"/>
  <c r="H680" i="1"/>
  <c r="E680" i="1" s="1"/>
  <c r="H679" i="1"/>
  <c r="E679" i="1" s="1"/>
  <c r="H678" i="1"/>
  <c r="E678" i="1" s="1"/>
  <c r="H677" i="1"/>
  <c r="E677" i="1" s="1"/>
  <c r="H676" i="1"/>
  <c r="E676" i="1" s="1"/>
  <c r="H675" i="1"/>
  <c r="E675" i="1" s="1"/>
  <c r="H674" i="1"/>
  <c r="E674" i="1" s="1"/>
  <c r="H673" i="1"/>
  <c r="E673" i="1" s="1"/>
  <c r="H672" i="1"/>
  <c r="E672" i="1" s="1"/>
  <c r="H671" i="1"/>
  <c r="E671" i="1" s="1"/>
  <c r="H670" i="1"/>
  <c r="E670" i="1" s="1"/>
  <c r="H669" i="1"/>
  <c r="E669" i="1" s="1"/>
  <c r="H668" i="1"/>
  <c r="E668" i="1" s="1"/>
  <c r="H667" i="1"/>
  <c r="E667" i="1" s="1"/>
  <c r="H666" i="1"/>
  <c r="E666" i="1" s="1"/>
  <c r="H665" i="1"/>
  <c r="E665" i="1" s="1"/>
  <c r="H664" i="1"/>
  <c r="E664" i="1" s="1"/>
  <c r="H663" i="1"/>
  <c r="E663" i="1" s="1"/>
  <c r="H662" i="1"/>
  <c r="E662" i="1" s="1"/>
  <c r="H661" i="1"/>
  <c r="E661" i="1" s="1"/>
  <c r="H660" i="1"/>
  <c r="E660" i="1" s="1"/>
  <c r="H659" i="1"/>
  <c r="E659" i="1" s="1"/>
  <c r="H658" i="1"/>
  <c r="E658" i="1" s="1"/>
  <c r="H657" i="1"/>
  <c r="E657" i="1" s="1"/>
  <c r="H656" i="1"/>
  <c r="E656" i="1" s="1"/>
  <c r="H655" i="1"/>
  <c r="E655" i="1" s="1"/>
  <c r="H654" i="1"/>
  <c r="E654" i="1" s="1"/>
  <c r="H653" i="1"/>
  <c r="E653" i="1" s="1"/>
  <c r="H652" i="1"/>
  <c r="E652" i="1" s="1"/>
  <c r="H651" i="1"/>
  <c r="E651" i="1" s="1"/>
  <c r="H650" i="1"/>
  <c r="E650" i="1" s="1"/>
  <c r="H649" i="1"/>
  <c r="E649" i="1" s="1"/>
  <c r="H648" i="1"/>
  <c r="E648" i="1" s="1"/>
  <c r="H647" i="1"/>
  <c r="E647" i="1" s="1"/>
  <c r="H646" i="1"/>
  <c r="E646" i="1" s="1"/>
  <c r="H645" i="1"/>
  <c r="E645" i="1" s="1"/>
  <c r="H644" i="1"/>
  <c r="E644" i="1" s="1"/>
  <c r="H643" i="1"/>
  <c r="E643" i="1" s="1"/>
  <c r="H642" i="1"/>
  <c r="E642" i="1" s="1"/>
  <c r="H641" i="1"/>
  <c r="E641" i="1" s="1"/>
  <c r="H640" i="1"/>
  <c r="E640" i="1" s="1"/>
  <c r="H639" i="1"/>
  <c r="E639" i="1" s="1"/>
  <c r="H638" i="1"/>
  <c r="E638" i="1" s="1"/>
  <c r="H637" i="1"/>
  <c r="E637" i="1" s="1"/>
  <c r="H636" i="1"/>
  <c r="E636" i="1" s="1"/>
  <c r="H635" i="1"/>
  <c r="E635" i="1" s="1"/>
  <c r="H634" i="1"/>
  <c r="E634" i="1" s="1"/>
  <c r="H633" i="1"/>
  <c r="E633" i="1" s="1"/>
  <c r="H631" i="1"/>
  <c r="E631" i="1" s="1"/>
  <c r="H630" i="1"/>
  <c r="E630" i="1" s="1"/>
  <c r="H629" i="1"/>
  <c r="E629" i="1" s="1"/>
  <c r="H628" i="1"/>
  <c r="E628" i="1" s="1"/>
  <c r="H627" i="1"/>
  <c r="E627" i="1" s="1"/>
  <c r="H626" i="1"/>
  <c r="E626" i="1" s="1"/>
  <c r="H625" i="1"/>
  <c r="E625" i="1" s="1"/>
  <c r="H624" i="1"/>
  <c r="E624" i="1" s="1"/>
  <c r="H623" i="1"/>
  <c r="E623" i="1" s="1"/>
  <c r="H622" i="1"/>
  <c r="E622" i="1" s="1"/>
  <c r="H621" i="1"/>
  <c r="E621" i="1" s="1"/>
  <c r="H620" i="1"/>
  <c r="E620" i="1" s="1"/>
  <c r="H619" i="1"/>
  <c r="E619" i="1" s="1"/>
  <c r="H618" i="1"/>
  <c r="E618" i="1" s="1"/>
  <c r="H617" i="1"/>
  <c r="E617" i="1" s="1"/>
  <c r="H616" i="1"/>
  <c r="E616" i="1" s="1"/>
  <c r="H615" i="1"/>
  <c r="E615" i="1" s="1"/>
  <c r="H614" i="1"/>
  <c r="E614" i="1" s="1"/>
  <c r="H613" i="1"/>
  <c r="E613" i="1" s="1"/>
  <c r="H612" i="1"/>
  <c r="E612" i="1" s="1"/>
  <c r="H611" i="1"/>
  <c r="E611" i="1" s="1"/>
  <c r="H610" i="1"/>
  <c r="E610" i="1" s="1"/>
  <c r="H609" i="1"/>
  <c r="E609" i="1" s="1"/>
  <c r="H607" i="1"/>
  <c r="E607" i="1" s="1"/>
  <c r="H606" i="1"/>
  <c r="E606" i="1" s="1"/>
  <c r="H605" i="1"/>
  <c r="E605" i="1" s="1"/>
  <c r="H604" i="1"/>
  <c r="E604" i="1" s="1"/>
  <c r="H603" i="1"/>
  <c r="E603" i="1" s="1"/>
  <c r="H602" i="1"/>
  <c r="E602" i="1" s="1"/>
  <c r="H601" i="1"/>
  <c r="E601" i="1" s="1"/>
  <c r="H600" i="1"/>
  <c r="E600" i="1" s="1"/>
  <c r="H599" i="1"/>
  <c r="E599" i="1" s="1"/>
  <c r="H598" i="1"/>
  <c r="E598" i="1" s="1"/>
  <c r="H597" i="1"/>
  <c r="E597" i="1" s="1"/>
  <c r="H596" i="1"/>
  <c r="E596" i="1" s="1"/>
  <c r="H595" i="1"/>
  <c r="E595" i="1" s="1"/>
  <c r="H594" i="1"/>
  <c r="E594" i="1" s="1"/>
  <c r="H593" i="1"/>
  <c r="E593" i="1" s="1"/>
  <c r="H592" i="1"/>
  <c r="E592" i="1" s="1"/>
  <c r="H591" i="1"/>
  <c r="E591" i="1" s="1"/>
  <c r="H590" i="1"/>
  <c r="E590" i="1" s="1"/>
  <c r="H589" i="1"/>
  <c r="E589" i="1" s="1"/>
  <c r="H588" i="1"/>
  <c r="E588" i="1" s="1"/>
  <c r="H587" i="1"/>
  <c r="E587" i="1" s="1"/>
  <c r="H586" i="1"/>
  <c r="E586" i="1" s="1"/>
  <c r="H585" i="1"/>
  <c r="E585" i="1" s="1"/>
  <c r="H584" i="1"/>
  <c r="E584" i="1" s="1"/>
  <c r="H583" i="1"/>
  <c r="E583" i="1" s="1"/>
  <c r="H582" i="1"/>
  <c r="E582" i="1" s="1"/>
  <c r="H581" i="1"/>
  <c r="E581" i="1" s="1"/>
  <c r="H580" i="1"/>
  <c r="E580" i="1" s="1"/>
  <c r="H579" i="1"/>
  <c r="E579" i="1" s="1"/>
  <c r="H578" i="1"/>
  <c r="E578" i="1" s="1"/>
  <c r="H577" i="1"/>
  <c r="E577" i="1" s="1"/>
  <c r="H576" i="1"/>
  <c r="E576" i="1" s="1"/>
  <c r="H575" i="1"/>
  <c r="E575" i="1" s="1"/>
  <c r="H574" i="1"/>
  <c r="E574" i="1" s="1"/>
  <c r="H573" i="1"/>
  <c r="E573" i="1" s="1"/>
  <c r="H572" i="1"/>
  <c r="E572" i="1" s="1"/>
  <c r="H571" i="1"/>
  <c r="E571" i="1" s="1"/>
  <c r="H570" i="1"/>
  <c r="E570" i="1" s="1"/>
  <c r="H569" i="1"/>
  <c r="E569" i="1" s="1"/>
  <c r="H568" i="1"/>
  <c r="E568" i="1" s="1"/>
  <c r="H567" i="1"/>
  <c r="E567" i="1" s="1"/>
  <c r="H566" i="1"/>
  <c r="E566" i="1" s="1"/>
  <c r="H565" i="1"/>
  <c r="E565" i="1" s="1"/>
  <c r="H564" i="1"/>
  <c r="E564" i="1" s="1"/>
  <c r="H563" i="1"/>
  <c r="E563" i="1" s="1"/>
  <c r="H562" i="1"/>
  <c r="E562" i="1" s="1"/>
  <c r="H561" i="1"/>
  <c r="E561" i="1" s="1"/>
  <c r="H560" i="1"/>
  <c r="E560" i="1" s="1"/>
  <c r="H559" i="1"/>
  <c r="E559" i="1" s="1"/>
  <c r="H558" i="1"/>
  <c r="E558" i="1" s="1"/>
  <c r="H557" i="1"/>
  <c r="E557" i="1" s="1"/>
  <c r="H556" i="1"/>
  <c r="E556" i="1" s="1"/>
  <c r="H555" i="1"/>
  <c r="E555" i="1" s="1"/>
  <c r="H554" i="1"/>
  <c r="E554" i="1" s="1"/>
  <c r="H553" i="1"/>
  <c r="E553" i="1" s="1"/>
  <c r="H552" i="1"/>
  <c r="E552" i="1" s="1"/>
  <c r="H551" i="1"/>
  <c r="E551" i="1" s="1"/>
  <c r="H550" i="1"/>
  <c r="E550" i="1" s="1"/>
  <c r="H549" i="1"/>
  <c r="E549" i="1" s="1"/>
  <c r="H548" i="1"/>
  <c r="E548" i="1" s="1"/>
  <c r="H547" i="1"/>
  <c r="E547" i="1" s="1"/>
  <c r="H546" i="1"/>
  <c r="E546" i="1" s="1"/>
  <c r="H545" i="1"/>
  <c r="E545" i="1" s="1"/>
  <c r="H544" i="1"/>
  <c r="E544" i="1" s="1"/>
  <c r="H543" i="1"/>
  <c r="E543" i="1" s="1"/>
  <c r="H542" i="1"/>
  <c r="E542" i="1" s="1"/>
  <c r="H541" i="1"/>
  <c r="E541" i="1" s="1"/>
  <c r="H540" i="1"/>
  <c r="E540" i="1" s="1"/>
  <c r="H539" i="1"/>
  <c r="E539" i="1" s="1"/>
  <c r="H538" i="1"/>
  <c r="E538" i="1" s="1"/>
  <c r="H537" i="1"/>
  <c r="E537" i="1" s="1"/>
  <c r="H536" i="1"/>
  <c r="E536" i="1" s="1"/>
  <c r="H535" i="1"/>
  <c r="E535" i="1" s="1"/>
  <c r="H534" i="1"/>
  <c r="E534" i="1" s="1"/>
  <c r="H533" i="1"/>
  <c r="E533" i="1" s="1"/>
  <c r="H532" i="1"/>
  <c r="E532" i="1" s="1"/>
  <c r="H531" i="1"/>
  <c r="E531" i="1" s="1"/>
  <c r="H530" i="1"/>
  <c r="E530" i="1" s="1"/>
  <c r="H529" i="1"/>
  <c r="E529" i="1" s="1"/>
  <c r="H528" i="1"/>
  <c r="E528" i="1" s="1"/>
  <c r="H527" i="1"/>
  <c r="E527" i="1" s="1"/>
  <c r="H526" i="1"/>
  <c r="E526" i="1" s="1"/>
  <c r="H525" i="1"/>
  <c r="E525" i="1" s="1"/>
  <c r="H524" i="1"/>
  <c r="E524" i="1" s="1"/>
  <c r="H523" i="1"/>
  <c r="E523" i="1" s="1"/>
  <c r="H522" i="1"/>
  <c r="E522" i="1" s="1"/>
  <c r="H521" i="1"/>
  <c r="E521" i="1" s="1"/>
  <c r="H520" i="1"/>
  <c r="E520" i="1" s="1"/>
  <c r="H519" i="1"/>
  <c r="E519" i="1" s="1"/>
  <c r="H518" i="1"/>
  <c r="E518" i="1" s="1"/>
  <c r="H517" i="1"/>
  <c r="E517" i="1" s="1"/>
  <c r="H516" i="1"/>
  <c r="E516" i="1" s="1"/>
  <c r="H515" i="1"/>
  <c r="E515" i="1" s="1"/>
  <c r="H514" i="1"/>
  <c r="E514" i="1" s="1"/>
  <c r="H513" i="1"/>
  <c r="E513" i="1" s="1"/>
  <c r="H512" i="1"/>
  <c r="E512" i="1" s="1"/>
  <c r="H511" i="1"/>
  <c r="E511" i="1" s="1"/>
  <c r="H510" i="1"/>
  <c r="E510" i="1" s="1"/>
  <c r="H509" i="1"/>
  <c r="E509" i="1" s="1"/>
  <c r="H508" i="1"/>
  <c r="E508" i="1" s="1"/>
  <c r="H507" i="1"/>
  <c r="E507" i="1" s="1"/>
  <c r="H506" i="1"/>
  <c r="E506" i="1" s="1"/>
  <c r="H505" i="1"/>
  <c r="E505" i="1" s="1"/>
  <c r="H504" i="1"/>
  <c r="E504" i="1" s="1"/>
  <c r="H503" i="1"/>
  <c r="E503" i="1" s="1"/>
  <c r="H502" i="1"/>
  <c r="E502" i="1" s="1"/>
  <c r="H501" i="1"/>
  <c r="E501" i="1" s="1"/>
  <c r="H500" i="1"/>
  <c r="E500" i="1" s="1"/>
  <c r="H499" i="1"/>
  <c r="E499" i="1" s="1"/>
  <c r="H498" i="1"/>
  <c r="E498" i="1" s="1"/>
  <c r="H497" i="1"/>
  <c r="E497" i="1" s="1"/>
  <c r="H496" i="1"/>
  <c r="E496" i="1" s="1"/>
  <c r="H495" i="1"/>
  <c r="E495" i="1" s="1"/>
  <c r="H494" i="1"/>
  <c r="E494" i="1" s="1"/>
  <c r="H493" i="1"/>
  <c r="E493" i="1" s="1"/>
  <c r="H492" i="1"/>
  <c r="E492" i="1" s="1"/>
  <c r="H491" i="1"/>
  <c r="E491" i="1" s="1"/>
  <c r="H490" i="1"/>
  <c r="E490" i="1" s="1"/>
  <c r="H489" i="1"/>
  <c r="E489" i="1" s="1"/>
  <c r="H488" i="1"/>
  <c r="E488" i="1" s="1"/>
  <c r="H487" i="1"/>
  <c r="E487" i="1" s="1"/>
  <c r="H486" i="1"/>
  <c r="E486" i="1" s="1"/>
  <c r="H485" i="1"/>
  <c r="E485" i="1" s="1"/>
  <c r="H484" i="1"/>
  <c r="E484" i="1" s="1"/>
  <c r="H483" i="1"/>
  <c r="E483" i="1" s="1"/>
  <c r="H482" i="1"/>
  <c r="E482" i="1" s="1"/>
  <c r="H481" i="1"/>
  <c r="E481" i="1" s="1"/>
  <c r="H480" i="1"/>
  <c r="E480" i="1" s="1"/>
  <c r="H477" i="1"/>
  <c r="E477" i="1" s="1"/>
  <c r="H472" i="1"/>
  <c r="E472" i="1" s="1"/>
  <c r="H471" i="1"/>
  <c r="E471" i="1" s="1"/>
  <c r="H466" i="1"/>
  <c r="E466" i="1" s="1"/>
  <c r="H465" i="1"/>
  <c r="E465" i="1" s="1"/>
  <c r="H462" i="1"/>
  <c r="E462" i="1" s="1"/>
  <c r="H461" i="1"/>
  <c r="E461" i="1" s="1"/>
  <c r="H460" i="1"/>
  <c r="E460" i="1" s="1"/>
  <c r="H459" i="1"/>
  <c r="E459" i="1" s="1"/>
  <c r="H458" i="1"/>
  <c r="E458" i="1" s="1"/>
  <c r="H457" i="1"/>
  <c r="E457" i="1" s="1"/>
  <c r="H456" i="1"/>
  <c r="E456" i="1" s="1"/>
  <c r="H455" i="1"/>
  <c r="E455" i="1" s="1"/>
  <c r="H454" i="1"/>
  <c r="E454" i="1" s="1"/>
  <c r="H453" i="1"/>
  <c r="E453" i="1" s="1"/>
  <c r="H450" i="1"/>
  <c r="E450" i="1" s="1"/>
  <c r="H449" i="1"/>
  <c r="E449" i="1" s="1"/>
  <c r="H448" i="1"/>
  <c r="E448" i="1" s="1"/>
  <c r="H447" i="1"/>
  <c r="E447" i="1" s="1"/>
  <c r="H446" i="1"/>
  <c r="E446" i="1" s="1"/>
  <c r="H445" i="1"/>
  <c r="E445" i="1" s="1"/>
  <c r="H444" i="1"/>
  <c r="E444" i="1" s="1"/>
  <c r="H443" i="1"/>
  <c r="E443" i="1" s="1"/>
  <c r="H442" i="1"/>
  <c r="E442" i="1" s="1"/>
  <c r="H441" i="1"/>
  <c r="E441" i="1" s="1"/>
  <c r="H440" i="1"/>
  <c r="E440" i="1" s="1"/>
  <c r="H439" i="1"/>
  <c r="E439" i="1" s="1"/>
  <c r="H438" i="1"/>
  <c r="E438" i="1" s="1"/>
  <c r="H437" i="1"/>
  <c r="E437" i="1" s="1"/>
  <c r="H436" i="1"/>
  <c r="E436" i="1" s="1"/>
  <c r="H435" i="1"/>
  <c r="E435" i="1" s="1"/>
  <c r="H434" i="1"/>
  <c r="E434" i="1" s="1"/>
  <c r="H433" i="1"/>
  <c r="E433" i="1" s="1"/>
  <c r="H432" i="1"/>
  <c r="E432" i="1" s="1"/>
  <c r="H431" i="1"/>
  <c r="E431" i="1" s="1"/>
  <c r="H430" i="1"/>
  <c r="E430" i="1" s="1"/>
  <c r="H429" i="1"/>
  <c r="E429" i="1" s="1"/>
  <c r="H428" i="1"/>
  <c r="E428" i="1" s="1"/>
  <c r="H427" i="1"/>
  <c r="E427" i="1" s="1"/>
  <c r="H426" i="1"/>
  <c r="E426" i="1" s="1"/>
  <c r="H425" i="1"/>
  <c r="E425" i="1" s="1"/>
  <c r="H424" i="1"/>
  <c r="E424" i="1" s="1"/>
  <c r="H423" i="1"/>
  <c r="E423" i="1" s="1"/>
  <c r="H422" i="1"/>
  <c r="E422" i="1" s="1"/>
  <c r="H421" i="1"/>
  <c r="E421" i="1" s="1"/>
  <c r="H420" i="1"/>
  <c r="E420" i="1" s="1"/>
  <c r="H419" i="1"/>
  <c r="E419" i="1" s="1"/>
  <c r="H418" i="1"/>
  <c r="E418" i="1" s="1"/>
  <c r="H417" i="1"/>
  <c r="E417" i="1" s="1"/>
  <c r="H416" i="1"/>
  <c r="E416" i="1" s="1"/>
  <c r="H415" i="1"/>
  <c r="E415" i="1" s="1"/>
  <c r="H414" i="1"/>
  <c r="E414" i="1" s="1"/>
  <c r="H413" i="1"/>
  <c r="E413" i="1" s="1"/>
  <c r="H412" i="1"/>
  <c r="E412" i="1" s="1"/>
  <c r="H411" i="1"/>
  <c r="E411" i="1" s="1"/>
  <c r="H410" i="1"/>
  <c r="E410" i="1" s="1"/>
  <c r="H409" i="1"/>
  <c r="E409" i="1" s="1"/>
  <c r="H408" i="1"/>
  <c r="E408" i="1" s="1"/>
  <c r="H407" i="1"/>
  <c r="E407" i="1" s="1"/>
  <c r="H406" i="1"/>
  <c r="E406" i="1" s="1"/>
  <c r="H405" i="1"/>
  <c r="E405" i="1" s="1"/>
  <c r="H404" i="1"/>
  <c r="E404" i="1" s="1"/>
  <c r="H403" i="1"/>
  <c r="E403" i="1" s="1"/>
  <c r="H402" i="1"/>
  <c r="E402" i="1" s="1"/>
  <c r="H401" i="1"/>
  <c r="E401" i="1" s="1"/>
  <c r="H400" i="1"/>
  <c r="E400" i="1" s="1"/>
  <c r="H399" i="1"/>
  <c r="E399" i="1" s="1"/>
  <c r="H398" i="1"/>
  <c r="E398" i="1" s="1"/>
  <c r="H397" i="1"/>
  <c r="E397" i="1" s="1"/>
  <c r="H396" i="1"/>
  <c r="E396" i="1" s="1"/>
  <c r="H395" i="1"/>
  <c r="E395" i="1" s="1"/>
  <c r="H394" i="1"/>
  <c r="E394" i="1" s="1"/>
  <c r="H393" i="1"/>
  <c r="E393" i="1" s="1"/>
  <c r="H392" i="1"/>
  <c r="E392" i="1" s="1"/>
  <c r="H391" i="1"/>
  <c r="E391" i="1" s="1"/>
  <c r="H390" i="1"/>
  <c r="E390" i="1" s="1"/>
  <c r="H389" i="1"/>
  <c r="E389" i="1" s="1"/>
  <c r="H388" i="1"/>
  <c r="E388" i="1" s="1"/>
  <c r="H387" i="1"/>
  <c r="E387" i="1" s="1"/>
  <c r="H386" i="1"/>
  <c r="E386" i="1" s="1"/>
  <c r="H385" i="1"/>
  <c r="E385" i="1" s="1"/>
  <c r="H384" i="1"/>
  <c r="E384" i="1" s="1"/>
  <c r="H383" i="1"/>
  <c r="E383" i="1" s="1"/>
  <c r="H382" i="1"/>
  <c r="E382" i="1" s="1"/>
  <c r="H381" i="1"/>
  <c r="E381" i="1" s="1"/>
  <c r="H380" i="1"/>
  <c r="E380" i="1" s="1"/>
  <c r="H379" i="1"/>
  <c r="E379" i="1" s="1"/>
  <c r="H378" i="1"/>
  <c r="E378" i="1" s="1"/>
  <c r="H377" i="1"/>
  <c r="E377" i="1" s="1"/>
  <c r="H376" i="1"/>
  <c r="E376" i="1" s="1"/>
  <c r="H375" i="1"/>
  <c r="E375" i="1" s="1"/>
  <c r="H374" i="1"/>
  <c r="E374" i="1" s="1"/>
  <c r="H373" i="1"/>
  <c r="E373" i="1" s="1"/>
  <c r="H372" i="1"/>
  <c r="E372" i="1" s="1"/>
  <c r="H371" i="1"/>
  <c r="E371" i="1" s="1"/>
  <c r="H370" i="1"/>
  <c r="E370" i="1" s="1"/>
  <c r="H369" i="1"/>
  <c r="E369" i="1" s="1"/>
  <c r="H368" i="1"/>
  <c r="E368" i="1" s="1"/>
  <c r="H367" i="1"/>
  <c r="E367" i="1" s="1"/>
  <c r="H366" i="1"/>
  <c r="E366" i="1" s="1"/>
  <c r="H365" i="1"/>
  <c r="E365" i="1" s="1"/>
  <c r="H364" i="1"/>
  <c r="E364" i="1" s="1"/>
  <c r="H363" i="1"/>
  <c r="E363" i="1" s="1"/>
  <c r="H362" i="1"/>
  <c r="E362" i="1" s="1"/>
  <c r="H361" i="1"/>
  <c r="E361" i="1" s="1"/>
  <c r="H360" i="1"/>
  <c r="E360" i="1" s="1"/>
  <c r="H359" i="1"/>
  <c r="E359" i="1" s="1"/>
  <c r="H358" i="1"/>
  <c r="E358" i="1" s="1"/>
  <c r="H357" i="1"/>
  <c r="E357" i="1" s="1"/>
  <c r="H356" i="1"/>
  <c r="E356" i="1" s="1"/>
  <c r="H355" i="1"/>
  <c r="E355" i="1" s="1"/>
  <c r="H354" i="1"/>
  <c r="E354" i="1" s="1"/>
  <c r="H353" i="1"/>
  <c r="E353" i="1" s="1"/>
  <c r="H352" i="1"/>
  <c r="E352" i="1" s="1"/>
  <c r="H351" i="1"/>
  <c r="E351" i="1" s="1"/>
  <c r="H350" i="1"/>
  <c r="E350" i="1" s="1"/>
  <c r="H349" i="1"/>
  <c r="E349" i="1" s="1"/>
  <c r="H348" i="1"/>
  <c r="E348" i="1" s="1"/>
  <c r="H347" i="1"/>
  <c r="E347" i="1" s="1"/>
  <c r="H346" i="1"/>
  <c r="E346" i="1" s="1"/>
  <c r="H345" i="1"/>
  <c r="E345" i="1" s="1"/>
  <c r="H344" i="1"/>
  <c r="E344" i="1" s="1"/>
  <c r="H343" i="1"/>
  <c r="E343" i="1" s="1"/>
  <c r="H342" i="1"/>
  <c r="E342" i="1" s="1"/>
  <c r="H341" i="1"/>
  <c r="E341" i="1" s="1"/>
  <c r="H340" i="1"/>
  <c r="E340" i="1" s="1"/>
  <c r="H339" i="1"/>
  <c r="E339" i="1" s="1"/>
  <c r="H338" i="1"/>
  <c r="E338" i="1" s="1"/>
  <c r="H337" i="1"/>
  <c r="E337" i="1" s="1"/>
  <c r="H336" i="1"/>
  <c r="E336" i="1" s="1"/>
  <c r="H335" i="1"/>
  <c r="E335" i="1" s="1"/>
  <c r="H334" i="1"/>
  <c r="E334" i="1" s="1"/>
  <c r="H333" i="1"/>
  <c r="E333" i="1" s="1"/>
  <c r="H332" i="1"/>
  <c r="E332" i="1" s="1"/>
  <c r="H331" i="1"/>
  <c r="E331" i="1" s="1"/>
  <c r="H330" i="1"/>
  <c r="E330" i="1" s="1"/>
  <c r="H329" i="1"/>
  <c r="E329" i="1" s="1"/>
  <c r="H328" i="1"/>
  <c r="E328" i="1" s="1"/>
  <c r="H327" i="1"/>
  <c r="E327" i="1" s="1"/>
  <c r="H326" i="1"/>
  <c r="E326" i="1" s="1"/>
  <c r="H325" i="1"/>
  <c r="E325" i="1" s="1"/>
  <c r="H324" i="1"/>
  <c r="E324" i="1" s="1"/>
  <c r="H323" i="1"/>
  <c r="E323" i="1" s="1"/>
  <c r="H322" i="1"/>
  <c r="E322" i="1" s="1"/>
  <c r="H321" i="1"/>
  <c r="E321" i="1" s="1"/>
  <c r="H320" i="1"/>
  <c r="E320" i="1" s="1"/>
  <c r="H319" i="1"/>
  <c r="E319" i="1" s="1"/>
  <c r="H318" i="1"/>
  <c r="E318" i="1" s="1"/>
  <c r="H317" i="1"/>
  <c r="E317" i="1" s="1"/>
  <c r="H316" i="1"/>
  <c r="E316" i="1" s="1"/>
  <c r="H315" i="1"/>
  <c r="E315" i="1" s="1"/>
  <c r="H314" i="1"/>
  <c r="E314" i="1" s="1"/>
  <c r="H313" i="1"/>
  <c r="E313" i="1" s="1"/>
  <c r="H312" i="1"/>
  <c r="E312" i="1" s="1"/>
  <c r="H311" i="1"/>
  <c r="E311" i="1" s="1"/>
  <c r="H310" i="1"/>
  <c r="E310" i="1" s="1"/>
  <c r="H309" i="1"/>
  <c r="E309" i="1" s="1"/>
  <c r="H308" i="1"/>
  <c r="E308" i="1" s="1"/>
  <c r="H307" i="1"/>
  <c r="E307" i="1" s="1"/>
  <c r="H306" i="1"/>
  <c r="E306" i="1" s="1"/>
  <c r="H305" i="1"/>
  <c r="E305" i="1" s="1"/>
  <c r="H304" i="1"/>
  <c r="E304" i="1" s="1"/>
  <c r="H303" i="1"/>
  <c r="E303" i="1" s="1"/>
  <c r="H302" i="1"/>
  <c r="E302" i="1" s="1"/>
  <c r="H301" i="1"/>
  <c r="E301" i="1" s="1"/>
  <c r="H300" i="1"/>
  <c r="E300" i="1" s="1"/>
  <c r="H299" i="1"/>
  <c r="E299" i="1" s="1"/>
  <c r="H298" i="1"/>
  <c r="E298" i="1" s="1"/>
  <c r="H297" i="1"/>
  <c r="E297" i="1" s="1"/>
  <c r="H296" i="1"/>
  <c r="E296" i="1" s="1"/>
  <c r="H295" i="1"/>
  <c r="E295" i="1" s="1"/>
  <c r="H294" i="1"/>
  <c r="E294" i="1" s="1"/>
  <c r="H293" i="1"/>
  <c r="E293" i="1" s="1"/>
  <c r="H292" i="1"/>
  <c r="E292" i="1" s="1"/>
  <c r="H291" i="1"/>
  <c r="E291" i="1" s="1"/>
  <c r="H290" i="1"/>
  <c r="E290" i="1" s="1"/>
  <c r="H289" i="1"/>
  <c r="E289" i="1" s="1"/>
  <c r="H288" i="1"/>
  <c r="E288" i="1" s="1"/>
  <c r="H287" i="1"/>
  <c r="E287" i="1" s="1"/>
  <c r="H286" i="1"/>
  <c r="E286" i="1" s="1"/>
  <c r="H285" i="1"/>
  <c r="E285" i="1" s="1"/>
  <c r="H284" i="1"/>
  <c r="E284" i="1" s="1"/>
  <c r="H283" i="1"/>
  <c r="E283" i="1" s="1"/>
  <c r="H282" i="1"/>
  <c r="E282" i="1" s="1"/>
  <c r="H281" i="1"/>
  <c r="E281" i="1" s="1"/>
  <c r="H280" i="1"/>
  <c r="E280" i="1" s="1"/>
  <c r="H279" i="1"/>
  <c r="E279" i="1" s="1"/>
  <c r="H278" i="1"/>
  <c r="E278" i="1" s="1"/>
  <c r="H277" i="1"/>
  <c r="E277" i="1" s="1"/>
  <c r="H276" i="1"/>
  <c r="E276" i="1" s="1"/>
  <c r="H275" i="1"/>
  <c r="E275" i="1" s="1"/>
  <c r="H274" i="1"/>
  <c r="E274" i="1" s="1"/>
  <c r="H273" i="1"/>
  <c r="E273" i="1" s="1"/>
  <c r="H272" i="1"/>
  <c r="E272" i="1" s="1"/>
  <c r="H271" i="1"/>
  <c r="E271" i="1" s="1"/>
  <c r="H270" i="1"/>
  <c r="E270" i="1" s="1"/>
  <c r="H269" i="1"/>
  <c r="E269" i="1" s="1"/>
  <c r="H268" i="1"/>
  <c r="E268" i="1" s="1"/>
  <c r="H267" i="1"/>
  <c r="E267" i="1" s="1"/>
  <c r="H266" i="1"/>
  <c r="E266" i="1" s="1"/>
  <c r="H265" i="1"/>
  <c r="E265" i="1" s="1"/>
  <c r="H264" i="1"/>
  <c r="E264" i="1" s="1"/>
  <c r="H263" i="1"/>
  <c r="E263" i="1" s="1"/>
  <c r="H262" i="1"/>
  <c r="E262" i="1" s="1"/>
  <c r="H261" i="1"/>
  <c r="E261" i="1" s="1"/>
  <c r="H260" i="1"/>
  <c r="E260" i="1" s="1"/>
  <c r="H259" i="1"/>
  <c r="E259" i="1" s="1"/>
  <c r="H258" i="1"/>
  <c r="E258" i="1" s="1"/>
  <c r="H257" i="1"/>
  <c r="E257" i="1" s="1"/>
  <c r="H256" i="1"/>
  <c r="E256" i="1" s="1"/>
  <c r="H255" i="1"/>
  <c r="E255" i="1" s="1"/>
  <c r="H254" i="1"/>
  <c r="E254" i="1" s="1"/>
  <c r="H253" i="1"/>
  <c r="E253" i="1" s="1"/>
  <c r="H252" i="1"/>
  <c r="E252" i="1" s="1"/>
  <c r="H251" i="1"/>
  <c r="E251" i="1" s="1"/>
  <c r="H250" i="1"/>
  <c r="E250" i="1" s="1"/>
  <c r="H249" i="1"/>
  <c r="E249" i="1" s="1"/>
  <c r="H248" i="1"/>
  <c r="E248" i="1" s="1"/>
  <c r="H247" i="1"/>
  <c r="E247" i="1" s="1"/>
  <c r="H246" i="1"/>
  <c r="E246" i="1" s="1"/>
  <c r="H245" i="1"/>
  <c r="E245" i="1" s="1"/>
  <c r="H244" i="1"/>
  <c r="E244" i="1" s="1"/>
  <c r="H243" i="1"/>
  <c r="E243" i="1" s="1"/>
  <c r="H242" i="1"/>
  <c r="E242" i="1" s="1"/>
  <c r="H241" i="1"/>
  <c r="E241" i="1" s="1"/>
  <c r="H240" i="1"/>
  <c r="E240" i="1" s="1"/>
  <c r="H239" i="1"/>
  <c r="E239" i="1" s="1"/>
  <c r="H238" i="1"/>
  <c r="E238" i="1" s="1"/>
  <c r="H237" i="1"/>
  <c r="E237" i="1" s="1"/>
  <c r="H236" i="1"/>
  <c r="E236" i="1" s="1"/>
  <c r="H235" i="1"/>
  <c r="E235" i="1" s="1"/>
  <c r="H234" i="1"/>
  <c r="E234" i="1" s="1"/>
  <c r="H233" i="1"/>
  <c r="E233" i="1" s="1"/>
  <c r="H232" i="1"/>
  <c r="E232" i="1" s="1"/>
  <c r="H231" i="1"/>
  <c r="E231" i="1" s="1"/>
  <c r="H230" i="1"/>
  <c r="E230" i="1" s="1"/>
  <c r="H229" i="1"/>
  <c r="E229" i="1" s="1"/>
  <c r="H228" i="1"/>
  <c r="E228" i="1" s="1"/>
  <c r="H227" i="1"/>
  <c r="E227" i="1" s="1"/>
  <c r="H226" i="1"/>
  <c r="E226" i="1" s="1"/>
  <c r="H225" i="1"/>
  <c r="E225" i="1" s="1"/>
  <c r="H224" i="1"/>
  <c r="E224" i="1" s="1"/>
  <c r="H223" i="1"/>
  <c r="E223" i="1" s="1"/>
  <c r="H222" i="1"/>
  <c r="E222" i="1" s="1"/>
  <c r="H221" i="1"/>
  <c r="E221" i="1" s="1"/>
  <c r="H220" i="1"/>
  <c r="E220" i="1" s="1"/>
  <c r="H219" i="1"/>
  <c r="E219" i="1" s="1"/>
  <c r="H218" i="1"/>
  <c r="E218" i="1" s="1"/>
  <c r="H217" i="1"/>
  <c r="E217" i="1" s="1"/>
  <c r="H216" i="1"/>
  <c r="E216" i="1" s="1"/>
  <c r="H215" i="1"/>
  <c r="E215" i="1" s="1"/>
  <c r="H214" i="1"/>
  <c r="E214" i="1" s="1"/>
  <c r="H213" i="1"/>
  <c r="E213" i="1" s="1"/>
  <c r="H212" i="1"/>
  <c r="E212" i="1" s="1"/>
  <c r="H211" i="1"/>
  <c r="E211" i="1" s="1"/>
  <c r="H210" i="1"/>
  <c r="E210" i="1" s="1"/>
  <c r="H209" i="1"/>
  <c r="E209" i="1" s="1"/>
  <c r="H208" i="1"/>
  <c r="E208" i="1" s="1"/>
  <c r="H207" i="1"/>
  <c r="E207" i="1" s="1"/>
  <c r="H206" i="1"/>
  <c r="E206" i="1" s="1"/>
  <c r="H205" i="1"/>
  <c r="E205" i="1" s="1"/>
  <c r="H204" i="1"/>
  <c r="E204" i="1" s="1"/>
  <c r="H203" i="1"/>
  <c r="E203" i="1" s="1"/>
  <c r="H202" i="1"/>
  <c r="E202" i="1" s="1"/>
  <c r="H201" i="1"/>
  <c r="E201" i="1" s="1"/>
  <c r="H200" i="1"/>
  <c r="E200" i="1" s="1"/>
  <c r="H199" i="1"/>
  <c r="E199" i="1" s="1"/>
  <c r="H198" i="1"/>
  <c r="E198" i="1" s="1"/>
  <c r="H197" i="1"/>
  <c r="E197" i="1" s="1"/>
  <c r="H196" i="1"/>
  <c r="E196" i="1" s="1"/>
  <c r="H195" i="1"/>
  <c r="E195" i="1" s="1"/>
  <c r="H194" i="1"/>
  <c r="E194" i="1" s="1"/>
  <c r="H193" i="1"/>
  <c r="E193" i="1" s="1"/>
  <c r="H192" i="1"/>
  <c r="E192" i="1" s="1"/>
  <c r="H191" i="1"/>
  <c r="E191" i="1" s="1"/>
  <c r="H190" i="1"/>
  <c r="E190" i="1" s="1"/>
  <c r="H189" i="1"/>
  <c r="E189" i="1" s="1"/>
  <c r="H188" i="1"/>
  <c r="E188" i="1" s="1"/>
  <c r="H187" i="1"/>
  <c r="E187" i="1" s="1"/>
  <c r="H186" i="1"/>
  <c r="E186" i="1" s="1"/>
  <c r="H185" i="1"/>
  <c r="E185" i="1" s="1"/>
  <c r="H184" i="1"/>
  <c r="E184" i="1" s="1"/>
  <c r="H183" i="1"/>
  <c r="E183" i="1" s="1"/>
  <c r="H182" i="1"/>
  <c r="E182" i="1" s="1"/>
  <c r="H181" i="1"/>
  <c r="E181" i="1" s="1"/>
  <c r="H180" i="1"/>
  <c r="E180" i="1" s="1"/>
  <c r="H179" i="1"/>
  <c r="E179" i="1" s="1"/>
  <c r="H178" i="1"/>
  <c r="E178" i="1" s="1"/>
  <c r="H177" i="1"/>
  <c r="E177" i="1" s="1"/>
  <c r="H176" i="1"/>
  <c r="E176" i="1" s="1"/>
  <c r="H175" i="1"/>
  <c r="E175" i="1" s="1"/>
  <c r="H174" i="1"/>
  <c r="E174" i="1" s="1"/>
  <c r="H173" i="1"/>
  <c r="E173" i="1" s="1"/>
  <c r="H172" i="1"/>
  <c r="E172" i="1" s="1"/>
  <c r="H171" i="1"/>
  <c r="E171" i="1" s="1"/>
  <c r="H170" i="1"/>
  <c r="E170" i="1" s="1"/>
  <c r="H169" i="1"/>
  <c r="E169" i="1" s="1"/>
  <c r="H168" i="1"/>
  <c r="E168" i="1" s="1"/>
  <c r="H167" i="1"/>
  <c r="E167" i="1" s="1"/>
  <c r="H166" i="1"/>
  <c r="E166" i="1" s="1"/>
  <c r="H165" i="1"/>
  <c r="E165" i="1" s="1"/>
  <c r="H164" i="1"/>
  <c r="E164" i="1" s="1"/>
  <c r="H163" i="1"/>
  <c r="E163" i="1" s="1"/>
  <c r="H162" i="1"/>
  <c r="E162" i="1" s="1"/>
  <c r="H161" i="1"/>
  <c r="E161" i="1" s="1"/>
  <c r="H160" i="1"/>
  <c r="E160" i="1" s="1"/>
  <c r="H159" i="1"/>
  <c r="E159" i="1" s="1"/>
  <c r="H158" i="1"/>
  <c r="E158" i="1" s="1"/>
  <c r="H157" i="1"/>
  <c r="E157" i="1" s="1"/>
  <c r="H156" i="1"/>
  <c r="E156" i="1" s="1"/>
  <c r="H155" i="1"/>
  <c r="E155" i="1" s="1"/>
  <c r="H154" i="1"/>
  <c r="E154" i="1" s="1"/>
  <c r="H153" i="1"/>
  <c r="E153" i="1" s="1"/>
  <c r="H152" i="1"/>
  <c r="E152" i="1" s="1"/>
  <c r="H151" i="1"/>
  <c r="E151" i="1" s="1"/>
  <c r="H150" i="1"/>
  <c r="E150" i="1" s="1"/>
  <c r="H149" i="1"/>
  <c r="E149" i="1" s="1"/>
  <c r="H148" i="1"/>
  <c r="E148" i="1" s="1"/>
  <c r="H147" i="1"/>
  <c r="E147" i="1" s="1"/>
  <c r="H146" i="1"/>
  <c r="E146" i="1" s="1"/>
  <c r="H145" i="1"/>
  <c r="E145" i="1" s="1"/>
  <c r="H144" i="1"/>
  <c r="E144" i="1" s="1"/>
  <c r="H143" i="1"/>
  <c r="E143" i="1" s="1"/>
  <c r="H142" i="1"/>
  <c r="E142" i="1" s="1"/>
  <c r="H141" i="1"/>
  <c r="E141" i="1" s="1"/>
  <c r="H140" i="1"/>
  <c r="E140" i="1" s="1"/>
  <c r="H139" i="1"/>
  <c r="E139" i="1" s="1"/>
  <c r="H138" i="1"/>
  <c r="E138" i="1" s="1"/>
  <c r="H137" i="1"/>
  <c r="E137" i="1" s="1"/>
  <c r="H136" i="1"/>
  <c r="E136" i="1" s="1"/>
  <c r="H135" i="1"/>
  <c r="E135" i="1" s="1"/>
  <c r="H134" i="1"/>
  <c r="E134" i="1" s="1"/>
  <c r="H133" i="1"/>
  <c r="E133" i="1" s="1"/>
  <c r="H132" i="1"/>
  <c r="E132" i="1" s="1"/>
  <c r="H131" i="1"/>
  <c r="E131" i="1" s="1"/>
  <c r="H130" i="1"/>
  <c r="E130" i="1" s="1"/>
  <c r="H129" i="1"/>
  <c r="E129" i="1" s="1"/>
  <c r="H128" i="1"/>
  <c r="E128" i="1" s="1"/>
  <c r="H127" i="1"/>
  <c r="E127" i="1" s="1"/>
  <c r="H126" i="1"/>
  <c r="E126" i="1" s="1"/>
  <c r="H125" i="1"/>
  <c r="E125" i="1" s="1"/>
  <c r="H124" i="1"/>
  <c r="E124" i="1" s="1"/>
  <c r="H123" i="1"/>
  <c r="E123" i="1" s="1"/>
  <c r="H122" i="1"/>
  <c r="E122" i="1" s="1"/>
  <c r="H121" i="1"/>
  <c r="E121" i="1" s="1"/>
  <c r="H120" i="1"/>
  <c r="E120" i="1" s="1"/>
  <c r="H119" i="1"/>
  <c r="E119" i="1" s="1"/>
  <c r="H118" i="1"/>
  <c r="E118" i="1" s="1"/>
  <c r="H117" i="1"/>
  <c r="E117" i="1" s="1"/>
  <c r="H116" i="1"/>
  <c r="E116" i="1" s="1"/>
  <c r="H115" i="1"/>
  <c r="E115" i="1" s="1"/>
  <c r="H114" i="1"/>
  <c r="E114" i="1" s="1"/>
  <c r="H113" i="1"/>
  <c r="E113" i="1" s="1"/>
  <c r="H112" i="1"/>
  <c r="E112" i="1" s="1"/>
  <c r="H111" i="1"/>
  <c r="E111" i="1" s="1"/>
  <c r="H110" i="1"/>
  <c r="E110" i="1" s="1"/>
  <c r="H109" i="1"/>
  <c r="E109" i="1" s="1"/>
  <c r="H108" i="1"/>
  <c r="E108" i="1" s="1"/>
  <c r="H107" i="1"/>
  <c r="E107" i="1" s="1"/>
  <c r="H106" i="1"/>
  <c r="E106" i="1" s="1"/>
  <c r="H105" i="1"/>
  <c r="E105" i="1" s="1"/>
  <c r="H104" i="1"/>
  <c r="E104" i="1" s="1"/>
  <c r="H103" i="1"/>
  <c r="E103" i="1" s="1"/>
  <c r="H102" i="1"/>
  <c r="E102" i="1" s="1"/>
  <c r="H101" i="1"/>
  <c r="E101" i="1" s="1"/>
  <c r="H100" i="1"/>
  <c r="E100" i="1" s="1"/>
  <c r="H99" i="1"/>
  <c r="E99" i="1" s="1"/>
  <c r="H98" i="1"/>
  <c r="E98" i="1" s="1"/>
  <c r="H97" i="1"/>
  <c r="E97" i="1" s="1"/>
  <c r="H96" i="1"/>
  <c r="E96" i="1" s="1"/>
  <c r="H95" i="1"/>
  <c r="E95" i="1" s="1"/>
  <c r="H94" i="1"/>
  <c r="E94" i="1" s="1"/>
  <c r="H93" i="1"/>
  <c r="E93" i="1" s="1"/>
  <c r="H92" i="1"/>
  <c r="E92" i="1" s="1"/>
  <c r="H91" i="1"/>
  <c r="E91" i="1" s="1"/>
  <c r="H90" i="1"/>
  <c r="E90" i="1" s="1"/>
  <c r="H89" i="1"/>
  <c r="E89" i="1" s="1"/>
  <c r="H88" i="1"/>
  <c r="E88" i="1" s="1"/>
  <c r="H87" i="1"/>
  <c r="E87" i="1" s="1"/>
  <c r="H86" i="1"/>
  <c r="E86" i="1" s="1"/>
  <c r="H85" i="1"/>
  <c r="E85" i="1" s="1"/>
  <c r="H84" i="1"/>
  <c r="E84" i="1" s="1"/>
  <c r="H83" i="1"/>
  <c r="E83" i="1" s="1"/>
  <c r="H82" i="1"/>
  <c r="E82" i="1" s="1"/>
  <c r="H81" i="1"/>
  <c r="E81" i="1" s="1"/>
  <c r="H80" i="1"/>
  <c r="E80" i="1" s="1"/>
  <c r="H79" i="1"/>
  <c r="E79" i="1" s="1"/>
  <c r="H78" i="1"/>
  <c r="E78" i="1" s="1"/>
  <c r="H77" i="1"/>
  <c r="E77" i="1" s="1"/>
  <c r="H76" i="1"/>
  <c r="E76" i="1" s="1"/>
  <c r="H75" i="1"/>
  <c r="E75" i="1" s="1"/>
  <c r="H74" i="1"/>
  <c r="E74" i="1" s="1"/>
  <c r="H73" i="1"/>
  <c r="E73" i="1" s="1"/>
  <c r="H72" i="1"/>
  <c r="E72" i="1" s="1"/>
  <c r="H71" i="1"/>
  <c r="E71" i="1" s="1"/>
  <c r="H70" i="1"/>
  <c r="E70" i="1" s="1"/>
  <c r="H69" i="1"/>
  <c r="E69" i="1" s="1"/>
  <c r="H68" i="1"/>
  <c r="E68" i="1" s="1"/>
  <c r="H67" i="1"/>
  <c r="E67" i="1" s="1"/>
  <c r="H66" i="1"/>
  <c r="E66" i="1" s="1"/>
  <c r="H65" i="1"/>
  <c r="E65" i="1" s="1"/>
  <c r="H64" i="1"/>
  <c r="E64" i="1" s="1"/>
  <c r="H63" i="1"/>
  <c r="E63" i="1" s="1"/>
  <c r="H62" i="1"/>
  <c r="E62" i="1" s="1"/>
  <c r="H61" i="1"/>
  <c r="E61" i="1" s="1"/>
  <c r="H60" i="1"/>
  <c r="E60" i="1" s="1"/>
  <c r="H59" i="1"/>
  <c r="E59" i="1" s="1"/>
  <c r="H58" i="1"/>
  <c r="E58" i="1" s="1"/>
  <c r="H57" i="1"/>
  <c r="E57" i="1" s="1"/>
  <c r="H56" i="1"/>
  <c r="E56" i="1" s="1"/>
  <c r="H55" i="1"/>
  <c r="E55" i="1" s="1"/>
  <c r="H54" i="1"/>
  <c r="E54" i="1" s="1"/>
  <c r="H53" i="1"/>
  <c r="E53" i="1" s="1"/>
  <c r="H52" i="1"/>
  <c r="E52" i="1" s="1"/>
  <c r="H51" i="1"/>
  <c r="E51" i="1" s="1"/>
  <c r="H50" i="1"/>
  <c r="E50" i="1" s="1"/>
  <c r="H49" i="1"/>
  <c r="E49" i="1" s="1"/>
  <c r="H48" i="1"/>
  <c r="E48" i="1" s="1"/>
  <c r="H47" i="1"/>
  <c r="E47" i="1" s="1"/>
  <c r="H46" i="1"/>
  <c r="E46" i="1" s="1"/>
  <c r="H45" i="1"/>
  <c r="E45" i="1" s="1"/>
  <c r="H44" i="1"/>
  <c r="E44" i="1" s="1"/>
  <c r="H43" i="1"/>
  <c r="E43" i="1" s="1"/>
  <c r="H42" i="1"/>
  <c r="E42" i="1" s="1"/>
  <c r="H41" i="1"/>
  <c r="E41" i="1" s="1"/>
  <c r="H40" i="1"/>
  <c r="E40" i="1" s="1"/>
  <c r="H39" i="1"/>
  <c r="E39" i="1" s="1"/>
  <c r="H38" i="1"/>
  <c r="E38" i="1" s="1"/>
  <c r="H37" i="1"/>
  <c r="E37" i="1" s="1"/>
  <c r="H36" i="1"/>
  <c r="E36" i="1" s="1"/>
  <c r="H35" i="1"/>
  <c r="E35" i="1" s="1"/>
  <c r="H34" i="1"/>
  <c r="E34" i="1" s="1"/>
  <c r="H33" i="1"/>
  <c r="E33" i="1" s="1"/>
  <c r="H32" i="1"/>
  <c r="E32" i="1" s="1"/>
  <c r="H31" i="1"/>
  <c r="E31" i="1" s="1"/>
  <c r="H30" i="1"/>
  <c r="E30" i="1" s="1"/>
  <c r="H29" i="1"/>
  <c r="E29" i="1" s="1"/>
  <c r="H28" i="1"/>
  <c r="E28" i="1" s="1"/>
  <c r="H27" i="1"/>
  <c r="E27" i="1" s="1"/>
  <c r="H26" i="1"/>
  <c r="E26" i="1" s="1"/>
  <c r="H25" i="1"/>
  <c r="E25" i="1" s="1"/>
  <c r="H24" i="1"/>
  <c r="E24" i="1" s="1"/>
  <c r="H23" i="1"/>
  <c r="E23" i="1" s="1"/>
  <c r="H22" i="1"/>
  <c r="E22" i="1" s="1"/>
  <c r="H21" i="1"/>
  <c r="E21" i="1" s="1"/>
  <c r="H20" i="1"/>
  <c r="E20" i="1" s="1"/>
  <c r="H19" i="1"/>
  <c r="E19" i="1" s="1"/>
  <c r="H18" i="1"/>
  <c r="E18" i="1" s="1"/>
  <c r="H17" i="1"/>
  <c r="E17" i="1" s="1"/>
  <c r="H16" i="1"/>
  <c r="E16" i="1" s="1"/>
  <c r="H15" i="1"/>
  <c r="E15" i="1" s="1"/>
  <c r="H13" i="1"/>
  <c r="E13" i="1" s="1"/>
  <c r="H12" i="1"/>
  <c r="E12" i="1" s="1"/>
  <c r="H11" i="1"/>
  <c r="E11" i="1" s="1"/>
  <c r="H10" i="1"/>
  <c r="E10" i="1" s="1"/>
  <c r="H9" i="1"/>
  <c r="E9" i="1" s="1"/>
  <c r="H8" i="1"/>
  <c r="E8" i="1" s="1"/>
  <c r="H7" i="1"/>
  <c r="E7" i="1" s="1"/>
  <c r="H6" i="1"/>
  <c r="E6" i="1" s="1"/>
  <c r="H5" i="1"/>
  <c r="E5" i="1" s="1"/>
  <c r="H4" i="1"/>
  <c r="E4" i="1" s="1"/>
  <c r="H3" i="1"/>
  <c r="E3" i="1" s="1"/>
  <c r="F2280" i="1"/>
  <c r="F2274" i="1"/>
  <c r="F2273" i="1"/>
  <c r="F2260" i="1"/>
  <c r="F2259" i="1"/>
  <c r="F2258" i="1"/>
  <c r="F2249" i="1"/>
  <c r="F2243" i="1"/>
  <c r="F2242" i="1"/>
  <c r="F2241" i="1"/>
  <c r="F2240" i="1"/>
  <c r="F2236" i="1"/>
  <c r="F2235" i="1"/>
  <c r="F2234" i="1"/>
  <c r="F2228" i="1"/>
  <c r="F2227" i="1"/>
  <c r="F2219" i="1"/>
  <c r="F2215" i="1"/>
  <c r="F2214" i="1"/>
  <c r="F2213" i="1"/>
  <c r="F2212" i="1"/>
  <c r="F2209" i="1"/>
  <c r="F2207" i="1"/>
  <c r="F2206" i="1"/>
  <c r="F2204" i="1"/>
  <c r="F2203" i="1"/>
  <c r="F1597" i="1"/>
  <c r="F1593" i="1"/>
  <c r="F1545" i="1"/>
  <c r="F1471" i="1"/>
  <c r="F1470" i="1"/>
  <c r="F1437" i="1"/>
  <c r="F1436" i="1"/>
  <c r="F1430" i="1"/>
  <c r="F1416" i="1"/>
  <c r="F1412" i="1"/>
  <c r="F1408" i="1"/>
  <c r="F1406" i="1"/>
  <c r="F1405" i="1"/>
  <c r="F1404" i="1"/>
  <c r="F1403" i="1"/>
  <c r="F1402" i="1"/>
  <c r="F1387" i="1"/>
  <c r="F1386" i="1"/>
  <c r="F1385" i="1"/>
  <c r="F1323" i="1"/>
  <c r="F1318" i="1"/>
  <c r="F1313" i="1"/>
  <c r="F1312" i="1"/>
  <c r="F1289" i="1"/>
  <c r="F1275" i="1"/>
  <c r="F1241" i="1"/>
  <c r="F1201" i="1"/>
  <c r="F1200" i="1"/>
  <c r="F1198" i="1"/>
  <c r="F1176" i="1"/>
  <c r="F1161" i="1"/>
  <c r="F1160" i="1"/>
  <c r="F1158" i="1"/>
  <c r="F1150" i="1"/>
  <c r="F1149" i="1"/>
  <c r="F1147" i="1"/>
  <c r="F1146" i="1"/>
  <c r="F1144" i="1"/>
  <c r="F1143" i="1"/>
  <c r="F1089" i="1"/>
  <c r="F1078" i="1"/>
  <c r="F1063" i="1"/>
  <c r="F1062" i="1"/>
  <c r="F1056" i="1"/>
  <c r="F1044" i="1"/>
  <c r="F1043" i="1"/>
  <c r="F1029" i="1"/>
  <c r="F1028" i="1"/>
  <c r="F1027" i="1"/>
  <c r="F1026" i="1"/>
  <c r="F998" i="1"/>
  <c r="F978" i="1"/>
  <c r="F977" i="1"/>
  <c r="F976" i="1"/>
  <c r="F975" i="1"/>
  <c r="F974" i="1"/>
  <c r="F973" i="1"/>
  <c r="F960" i="1"/>
  <c r="F959" i="1"/>
  <c r="F952" i="1"/>
  <c r="F948" i="1"/>
  <c r="F947" i="1"/>
  <c r="F945" i="1"/>
  <c r="F944" i="1"/>
  <c r="F942" i="1"/>
  <c r="F928" i="1"/>
  <c r="F925" i="1"/>
  <c r="F922" i="1"/>
  <c r="F921" i="1"/>
  <c r="F917" i="1"/>
  <c r="F902" i="1"/>
  <c r="F901" i="1"/>
  <c r="F900" i="1"/>
  <c r="F899" i="1"/>
  <c r="F887" i="1"/>
  <c r="F876" i="1"/>
  <c r="F874" i="1"/>
  <c r="F868" i="1"/>
  <c r="F867" i="1"/>
  <c r="F836" i="1"/>
  <c r="F835" i="1"/>
  <c r="F834" i="1"/>
  <c r="F833" i="1"/>
  <c r="F832" i="1"/>
  <c r="F831" i="1"/>
  <c r="F830" i="1"/>
  <c r="F829" i="1"/>
  <c r="F811" i="1"/>
  <c r="F810" i="1"/>
  <c r="F809" i="1"/>
  <c r="F808" i="1"/>
  <c r="F807" i="1"/>
  <c r="F806" i="1"/>
  <c r="F804" i="1"/>
  <c r="F803" i="1"/>
  <c r="F802" i="1"/>
  <c r="F801" i="1"/>
  <c r="F783" i="1"/>
  <c r="F770" i="1"/>
  <c r="F769" i="1"/>
  <c r="F768" i="1"/>
  <c r="F767" i="1"/>
  <c r="F765" i="1"/>
  <c r="F763" i="1"/>
  <c r="F758" i="1"/>
  <c r="F757" i="1"/>
  <c r="F755" i="1"/>
  <c r="F754" i="1"/>
  <c r="F753" i="1"/>
  <c r="F734" i="1"/>
  <c r="F724" i="1"/>
  <c r="F720" i="1"/>
  <c r="F715" i="1"/>
  <c r="F713" i="1"/>
  <c r="F711" i="1"/>
  <c r="F710" i="1"/>
  <c r="F708" i="1"/>
  <c r="F707" i="1"/>
  <c r="F692" i="1"/>
  <c r="F669" i="1"/>
  <c r="F668" i="1"/>
  <c r="F664" i="1"/>
  <c r="F659" i="1"/>
  <c r="F641" i="1"/>
  <c r="F640" i="1"/>
  <c r="F635" i="1"/>
  <c r="F633" i="1"/>
  <c r="F624" i="1"/>
  <c r="F621" i="1"/>
  <c r="F619" i="1"/>
  <c r="F618" i="1"/>
  <c r="F614" i="1"/>
  <c r="F611" i="1"/>
  <c r="F610" i="1"/>
  <c r="F602" i="1"/>
  <c r="F598" i="1"/>
  <c r="F597" i="1"/>
  <c r="F591" i="1"/>
  <c r="F590" i="1"/>
  <c r="F589" i="1"/>
  <c r="F584" i="1"/>
  <c r="F583" i="1"/>
  <c r="F582" i="1"/>
  <c r="F561" i="1"/>
  <c r="F529" i="1"/>
  <c r="F518" i="1"/>
  <c r="F491" i="1"/>
  <c r="F472" i="1"/>
  <c r="F466" i="1"/>
  <c r="F465" i="1"/>
  <c r="F461" i="1"/>
  <c r="F460" i="1"/>
  <c r="F459" i="1"/>
  <c r="F456" i="1"/>
  <c r="F455" i="1"/>
  <c r="F447" i="1"/>
  <c r="F446" i="1"/>
  <c r="F445" i="1"/>
  <c r="F444" i="1"/>
  <c r="F441" i="1"/>
  <c r="F440" i="1"/>
  <c r="F439" i="1"/>
  <c r="F438" i="1"/>
  <c r="F437" i="1"/>
  <c r="F436" i="1"/>
  <c r="F435" i="1"/>
  <c r="F433" i="1"/>
  <c r="F432" i="1"/>
  <c r="F431" i="1"/>
  <c r="F430" i="1"/>
  <c r="F429" i="1"/>
  <c r="F424" i="1"/>
  <c r="F420" i="1"/>
  <c r="F418" i="1"/>
  <c r="F58" i="1"/>
  <c r="F57" i="1"/>
  <c r="F56" i="1"/>
  <c r="F55" i="1"/>
  <c r="F54" i="1"/>
  <c r="F53" i="1"/>
  <c r="F52" i="1"/>
  <c r="F51" i="1"/>
  <c r="F50" i="1"/>
  <c r="F48" i="1"/>
  <c r="F47" i="1"/>
  <c r="F46" i="1"/>
  <c r="F9" i="1"/>
  <c r="F8" i="1"/>
  <c r="F7" i="1"/>
  <c r="F6" i="1"/>
  <c r="F5" i="1"/>
  <c r="F4" i="1"/>
  <c r="E2279" i="1"/>
  <c r="E2278" i="1"/>
  <c r="E2277" i="1"/>
  <c r="E2276" i="1"/>
  <c r="E2156" i="1"/>
  <c r="E2108" i="1"/>
  <c r="E2084" i="1"/>
  <c r="E2000" i="1"/>
  <c r="E1976" i="1"/>
  <c r="E1939" i="1"/>
  <c r="E1842" i="1"/>
  <c r="E1745" i="1"/>
  <c r="E1743" i="1"/>
  <c r="E1662" i="1"/>
  <c r="E1638" i="1"/>
  <c r="E1596" i="1"/>
  <c r="E1550" i="1"/>
  <c r="E1537" i="1"/>
  <c r="E1502" i="1"/>
  <c r="E1479" i="1"/>
  <c r="E1442" i="1"/>
  <c r="E1406" i="1"/>
  <c r="E1394" i="1"/>
  <c r="E1346" i="1"/>
  <c r="E1280" i="1"/>
  <c r="E1231" i="1"/>
  <c r="E1155" i="1"/>
  <c r="E824" i="1"/>
</calcChain>
</file>

<file path=xl/sharedStrings.xml><?xml version="1.0" encoding="utf-8"?>
<sst xmlns="http://schemas.openxmlformats.org/spreadsheetml/2006/main" count="11552" uniqueCount="8772">
  <si>
    <t>Kategori</t>
  </si>
  <si>
    <t>UrunKodu</t>
  </si>
  <si>
    <t>UrunAciklamasi</t>
  </si>
  <si>
    <t>BirimFiyat</t>
  </si>
  <si>
    <t>MaliyetFiyati</t>
  </si>
  <si>
    <t>EklenmeTarihi</t>
  </si>
  <si>
    <t>FiyatTL</t>
  </si>
  <si>
    <t>FiyatUSD</t>
  </si>
  <si>
    <t>FiyatEUR</t>
  </si>
  <si>
    <t>LT-G0200</t>
  </si>
  <si>
    <t>LT-G0201</t>
  </si>
  <si>
    <t>LT-G0202</t>
  </si>
  <si>
    <t>LT-G0202/H</t>
  </si>
  <si>
    <t>LT-G0203</t>
  </si>
  <si>
    <t>LT-G0203/H</t>
  </si>
  <si>
    <t>LT-G0204</t>
  </si>
  <si>
    <t>LT-G0204/H</t>
  </si>
  <si>
    <t>LT-G0205</t>
  </si>
  <si>
    <t>LT-G0205/H</t>
  </si>
  <si>
    <t>LT-G0206</t>
  </si>
  <si>
    <t>LT-G4600</t>
  </si>
  <si>
    <t>LT-G0207</t>
  </si>
  <si>
    <t>LT-G0208</t>
  </si>
  <si>
    <t>LT-G0275</t>
  </si>
  <si>
    <t>LT-G0276</t>
  </si>
  <si>
    <t>LT-G0277</t>
  </si>
  <si>
    <t>LT-G0278</t>
  </si>
  <si>
    <t>LT-G0283</t>
  </si>
  <si>
    <t>LT-G0279</t>
  </si>
  <si>
    <t>LT-G0280</t>
  </si>
  <si>
    <t>LT-G0281</t>
  </si>
  <si>
    <t>LT-G0282</t>
  </si>
  <si>
    <t>LT-G0284</t>
  </si>
  <si>
    <t>LT-G0241</t>
  </si>
  <si>
    <t>LT-G0242</t>
  </si>
  <si>
    <t>LT-G0243</t>
  </si>
  <si>
    <t>LT-G0244</t>
  </si>
  <si>
    <t>LT-G0245</t>
  </si>
  <si>
    <t>LT-G0246</t>
  </si>
  <si>
    <t>LT-G0247</t>
  </si>
  <si>
    <t>LT-G0248</t>
  </si>
  <si>
    <t>LT-G0250</t>
  </si>
  <si>
    <t>LT-G0255</t>
  </si>
  <si>
    <t>LT-G0260</t>
  </si>
  <si>
    <t>LT-A0072</t>
  </si>
  <si>
    <t>LT-G0097</t>
  </si>
  <si>
    <t>LT-G0098</t>
  </si>
  <si>
    <t>LT-G0099</t>
  </si>
  <si>
    <t>LT-G0100</t>
  </si>
  <si>
    <t>LT-G0101</t>
  </si>
  <si>
    <t>LT-G0102</t>
  </si>
  <si>
    <t>LT-G0355</t>
  </si>
  <si>
    <t>LT-A0012/S</t>
  </si>
  <si>
    <t>LT-A0012</t>
  </si>
  <si>
    <t>LT-A0013</t>
  </si>
  <si>
    <t>LT-A0014</t>
  </si>
  <si>
    <t>LT-A0015</t>
  </si>
  <si>
    <t>LT-A0016</t>
  </si>
  <si>
    <t>LT-A0017</t>
  </si>
  <si>
    <t>LT-A0018</t>
  </si>
  <si>
    <t>LT-A0019</t>
  </si>
  <si>
    <t>LT-A0020</t>
  </si>
  <si>
    <t>LT-A0021</t>
  </si>
  <si>
    <t>LT-A0022</t>
  </si>
  <si>
    <t>LT-A0023</t>
  </si>
  <si>
    <t>LT-A0024</t>
  </si>
  <si>
    <t>LT-A0025</t>
  </si>
  <si>
    <t>LT-A0005/S</t>
  </si>
  <si>
    <t>LT-A0005</t>
  </si>
  <si>
    <t>LT-A0006</t>
  </si>
  <si>
    <t>LT-A0007</t>
  </si>
  <si>
    <t>LT-A0008</t>
  </si>
  <si>
    <t>LT-A0009</t>
  </si>
  <si>
    <t>LT-A0010</t>
  </si>
  <si>
    <t>LT-A0011</t>
  </si>
  <si>
    <t>LT-G5007</t>
  </si>
  <si>
    <t>LT-G5008</t>
  </si>
  <si>
    <t>LT-G5009</t>
  </si>
  <si>
    <t>LT-G5010</t>
  </si>
  <si>
    <t>LT-G5011</t>
  </si>
  <si>
    <t>LT-G5012</t>
  </si>
  <si>
    <t>LT-G6007</t>
  </si>
  <si>
    <t>LT-G6008</t>
  </si>
  <si>
    <t>LT-G6009</t>
  </si>
  <si>
    <t>LT-G6010</t>
  </si>
  <si>
    <t>LT-G6011</t>
  </si>
  <si>
    <t>LT-G6012</t>
  </si>
  <si>
    <t>LT-G1001</t>
  </si>
  <si>
    <t>LT-G1002</t>
  </si>
  <si>
    <t>LT-G1003</t>
  </si>
  <si>
    <t>LT-G1004</t>
  </si>
  <si>
    <t>LT-G1005</t>
  </si>
  <si>
    <t>LT-G1006</t>
  </si>
  <si>
    <t>LT-G1007</t>
  </si>
  <si>
    <t>LT-G1008</t>
  </si>
  <si>
    <t>LT-G1009</t>
  </si>
  <si>
    <t>LT-G1010</t>
  </si>
  <si>
    <t>LT-G1011</t>
  </si>
  <si>
    <t>LT-G1012</t>
  </si>
  <si>
    <t>LT-G1013</t>
  </si>
  <si>
    <t>LT-G1014</t>
  </si>
  <si>
    <t>LT-G1015</t>
  </si>
  <si>
    <t>LT-G1016</t>
  </si>
  <si>
    <t>LT-G1017</t>
  </si>
  <si>
    <t>LT-G1018</t>
  </si>
  <si>
    <t>LT-G1019</t>
  </si>
  <si>
    <t>LT-G1020</t>
  </si>
  <si>
    <t>LT-G1021</t>
  </si>
  <si>
    <t>LT-G1022</t>
  </si>
  <si>
    <t>LT-G1023</t>
  </si>
  <si>
    <t>LT-G1024</t>
  </si>
  <si>
    <t>LT-G1025</t>
  </si>
  <si>
    <t>LT-G1026</t>
  </si>
  <si>
    <t>LT-G1027</t>
  </si>
  <si>
    <t>LT-G1028</t>
  </si>
  <si>
    <t>LT-G1029</t>
  </si>
  <si>
    <t>LT-G1030</t>
  </si>
  <si>
    <t>LT-G1031</t>
  </si>
  <si>
    <t>LT-G1032</t>
  </si>
  <si>
    <t>LT-G1033</t>
  </si>
  <si>
    <t>LT-G1034</t>
  </si>
  <si>
    <t>LT-G1035</t>
  </si>
  <si>
    <t>LT-G1036</t>
  </si>
  <si>
    <t>LT-G1037</t>
  </si>
  <si>
    <t>LT-G1038</t>
  </si>
  <si>
    <t>LT-G1039</t>
  </si>
  <si>
    <t>LT-G1040</t>
  </si>
  <si>
    <t>LT-G1041</t>
  </si>
  <si>
    <t>LT-G1042</t>
  </si>
  <si>
    <t>LT-G1043</t>
  </si>
  <si>
    <t>LT-G1044</t>
  </si>
  <si>
    <t>LT-G1045</t>
  </si>
  <si>
    <t>LT-G1046</t>
  </si>
  <si>
    <t>LT-G1047</t>
  </si>
  <si>
    <t>LT-G1048</t>
  </si>
  <si>
    <t>LT-G1049</t>
  </si>
  <si>
    <t>LT-G1050</t>
  </si>
  <si>
    <t>LT-G1051</t>
  </si>
  <si>
    <t>LT-G1052</t>
  </si>
  <si>
    <t>LT-G1053</t>
  </si>
  <si>
    <t>LT-G1054</t>
  </si>
  <si>
    <t>LT-G1055</t>
  </si>
  <si>
    <t>LT-G1056</t>
  </si>
  <si>
    <t>LT-G1057</t>
  </si>
  <si>
    <t>LT-G1058</t>
  </si>
  <si>
    <t>LT-G1059</t>
  </si>
  <si>
    <t>LT-G1060</t>
  </si>
  <si>
    <t>LT-G1061</t>
  </si>
  <si>
    <t>LT-G1062</t>
  </si>
  <si>
    <t>LT-G1063</t>
  </si>
  <si>
    <t>LT-G1064</t>
  </si>
  <si>
    <t>LT-G1065</t>
  </si>
  <si>
    <t>LT-G1066</t>
  </si>
  <si>
    <t>LT-G1067</t>
  </si>
  <si>
    <t>LT-G1068</t>
  </si>
  <si>
    <t>LT-G1069</t>
  </si>
  <si>
    <t>LT-G1070</t>
  </si>
  <si>
    <t>LT-G1071</t>
  </si>
  <si>
    <t>LT-G1072</t>
  </si>
  <si>
    <t>LT-G1073</t>
  </si>
  <si>
    <t>LT-G2101</t>
  </si>
  <si>
    <t>LT-G2102</t>
  </si>
  <si>
    <t>LT-G2103</t>
  </si>
  <si>
    <t>LT-G3001</t>
  </si>
  <si>
    <t>LT-G3002</t>
  </si>
  <si>
    <t>LT-G3003</t>
  </si>
  <si>
    <t>LT-G3004</t>
  </si>
  <si>
    <t>LT-G3005</t>
  </si>
  <si>
    <t>LT-G3006</t>
  </si>
  <si>
    <t>LT-G3007</t>
  </si>
  <si>
    <t>LT-G3008</t>
  </si>
  <si>
    <t>LT-G3009</t>
  </si>
  <si>
    <t>LT-G3010</t>
  </si>
  <si>
    <t>LT-G3011</t>
  </si>
  <si>
    <t>LT-G3012</t>
  </si>
  <si>
    <t>LT-G3013</t>
  </si>
  <si>
    <t>LT-G3014</t>
  </si>
  <si>
    <t>LT-G3015</t>
  </si>
  <si>
    <t>LT-G3016</t>
  </si>
  <si>
    <t>LT-G3018</t>
  </si>
  <si>
    <t>LT-G3019</t>
  </si>
  <si>
    <t>LT-G3020</t>
  </si>
  <si>
    <t>LT-G3021</t>
  </si>
  <si>
    <t>LT-G3022</t>
  </si>
  <si>
    <t>LT-G3023</t>
  </si>
  <si>
    <t>LT-G3024</t>
  </si>
  <si>
    <t>LT-G3025</t>
  </si>
  <si>
    <t>LT-G3026</t>
  </si>
  <si>
    <t>LT-G3027</t>
  </si>
  <si>
    <t>LT-G3028</t>
  </si>
  <si>
    <t>LT-G3029</t>
  </si>
  <si>
    <t>LT-G3030</t>
  </si>
  <si>
    <t>LT-G3031</t>
  </si>
  <si>
    <t>LT-G3032</t>
  </si>
  <si>
    <t>LT-G3033</t>
  </si>
  <si>
    <t>LT-G3034</t>
  </si>
  <si>
    <t>LT-G3035</t>
  </si>
  <si>
    <t>LT-G3036</t>
  </si>
  <si>
    <t>LT-G3037</t>
  </si>
  <si>
    <t>LT-G3038</t>
  </si>
  <si>
    <t>LT-G3039</t>
  </si>
  <si>
    <t>LT-G3040</t>
  </si>
  <si>
    <t>LT-G3041</t>
  </si>
  <si>
    <t>LT-G3042</t>
  </si>
  <si>
    <t>LT-G3043</t>
  </si>
  <si>
    <t>LT-G3044</t>
  </si>
  <si>
    <t>LT-G3045</t>
  </si>
  <si>
    <t>LT-G3046</t>
  </si>
  <si>
    <t>LT-G3047</t>
  </si>
  <si>
    <t>LT-G3048</t>
  </si>
  <si>
    <t>LT-G3049</t>
  </si>
  <si>
    <t>LT-G3050</t>
  </si>
  <si>
    <t>LT-G3051</t>
  </si>
  <si>
    <t>LT-G3052</t>
  </si>
  <si>
    <t>LT-G3053</t>
  </si>
  <si>
    <t>LT-G3054</t>
  </si>
  <si>
    <t>LT-G3055</t>
  </si>
  <si>
    <t>LT-G3056</t>
  </si>
  <si>
    <t>LT-G3057</t>
  </si>
  <si>
    <t>LT-G3058</t>
  </si>
  <si>
    <t>LT-G3059</t>
  </si>
  <si>
    <t>LT-G3060</t>
  </si>
  <si>
    <t>LT-G3061</t>
  </si>
  <si>
    <t>LT-G3062</t>
  </si>
  <si>
    <t>LT-G3063</t>
  </si>
  <si>
    <t>LT-G3064</t>
  </si>
  <si>
    <t>LT-G3065</t>
  </si>
  <si>
    <t>LT-G3066</t>
  </si>
  <si>
    <t>LT-G3067</t>
  </si>
  <si>
    <t>LT-G3068</t>
  </si>
  <si>
    <t>LT-G3069</t>
  </si>
  <si>
    <t>LT-G3070</t>
  </si>
  <si>
    <t>LT-G3071</t>
  </si>
  <si>
    <t>LT-G3072</t>
  </si>
  <si>
    <t>LT-G3073</t>
  </si>
  <si>
    <t>LT-G3101</t>
  </si>
  <si>
    <t>LT-G3102</t>
  </si>
  <si>
    <t>LT-G3103</t>
  </si>
  <si>
    <t>LT-G2001</t>
  </si>
  <si>
    <t>LT-G2002</t>
  </si>
  <si>
    <t>LT-G2003</t>
  </si>
  <si>
    <t>LT-G2004</t>
  </si>
  <si>
    <t>LT-G2005</t>
  </si>
  <si>
    <t>LT-G2006</t>
  </si>
  <si>
    <t>LT-G2007</t>
  </si>
  <si>
    <t>LT-G2008</t>
  </si>
  <si>
    <t>LT-G2009</t>
  </si>
  <si>
    <t>LT-G2010</t>
  </si>
  <si>
    <t>LT-G2011</t>
  </si>
  <si>
    <t>LT-G2012</t>
  </si>
  <si>
    <t>LT-G2013</t>
  </si>
  <si>
    <t>LT-G2014</t>
  </si>
  <si>
    <t>LT-G2015</t>
  </si>
  <si>
    <t>LT-G2016</t>
  </si>
  <si>
    <t>LT-G2017</t>
  </si>
  <si>
    <t>LT-G2018</t>
  </si>
  <si>
    <t>LT-G2019</t>
  </si>
  <si>
    <t>LT-G2020</t>
  </si>
  <si>
    <t>LT-G2021</t>
  </si>
  <si>
    <t>LT-G2022</t>
  </si>
  <si>
    <t>LT-G2023</t>
  </si>
  <si>
    <t>LT-G2024</t>
  </si>
  <si>
    <t>LT-G2025</t>
  </si>
  <si>
    <t>LT-G2026</t>
  </si>
  <si>
    <t>LT-G2027</t>
  </si>
  <si>
    <t>LT-G2028</t>
  </si>
  <si>
    <t>LT-G2029</t>
  </si>
  <si>
    <t>LT-G2030</t>
  </si>
  <si>
    <t>LT-G2031</t>
  </si>
  <si>
    <t>LT-G2032</t>
  </si>
  <si>
    <t>LT-G2033</t>
  </si>
  <si>
    <t>LT-G2034</t>
  </si>
  <si>
    <t>LT-G2035</t>
  </si>
  <si>
    <t>LT-G2036</t>
  </si>
  <si>
    <t>LT-G2037</t>
  </si>
  <si>
    <t>LT-G2038</t>
  </si>
  <si>
    <t>LT-G2039</t>
  </si>
  <si>
    <t>LT-G2040</t>
  </si>
  <si>
    <t>LT-G2041</t>
  </si>
  <si>
    <t>LT-G2042</t>
  </si>
  <si>
    <t>LT-G2043</t>
  </si>
  <si>
    <t>LT-G2044</t>
  </si>
  <si>
    <t>LT-G2045</t>
  </si>
  <si>
    <t>LT-G2046</t>
  </si>
  <si>
    <t>LT-G2047</t>
  </si>
  <si>
    <t>LT-G2048</t>
  </si>
  <si>
    <t>LT-G2049</t>
  </si>
  <si>
    <t>LT-G2050</t>
  </si>
  <si>
    <t>LT-G2051</t>
  </si>
  <si>
    <t>LT-G2052</t>
  </si>
  <si>
    <t>LT-G2053</t>
  </si>
  <si>
    <t>LT-G2054</t>
  </si>
  <si>
    <t>LT-G2055</t>
  </si>
  <si>
    <t>LT-G2056</t>
  </si>
  <si>
    <t>LT-G2057</t>
  </si>
  <si>
    <t>LT-G2058</t>
  </si>
  <si>
    <t>LT-G2059</t>
  </si>
  <si>
    <t>LT-G2060</t>
  </si>
  <si>
    <t>LT-G2061</t>
  </si>
  <si>
    <t>LT-G2062</t>
  </si>
  <si>
    <t>LT-G2063</t>
  </si>
  <si>
    <t>LT-G2064</t>
  </si>
  <si>
    <t>LT-G2065</t>
  </si>
  <si>
    <t>LT-G2066</t>
  </si>
  <si>
    <t>LT-G2067</t>
  </si>
  <si>
    <t>LT-G2068</t>
  </si>
  <si>
    <t>LT-G2069</t>
  </si>
  <si>
    <t>LT-G2070</t>
  </si>
  <si>
    <t>LT-G2071</t>
  </si>
  <si>
    <t>LT-G2072</t>
  </si>
  <si>
    <t>LT-G2073</t>
  </si>
  <si>
    <t>LT-G7001</t>
  </si>
  <si>
    <t>LT-G7002</t>
  </si>
  <si>
    <t>LT-G7003</t>
  </si>
  <si>
    <t>LT-G7004</t>
  </si>
  <si>
    <t>LT-G7005</t>
  </si>
  <si>
    <t>LT-G7006</t>
  </si>
  <si>
    <t>LT-G7007</t>
  </si>
  <si>
    <t>LT-G7008</t>
  </si>
  <si>
    <t>LT-G7009</t>
  </si>
  <si>
    <t>LT-G7010</t>
  </si>
  <si>
    <t>LT-G7011</t>
  </si>
  <si>
    <t>LT-G7012</t>
  </si>
  <si>
    <t>LT-G7013</t>
  </si>
  <si>
    <t>LT-G7014</t>
  </si>
  <si>
    <t>LT-G7015</t>
  </si>
  <si>
    <t>LT-G7016</t>
  </si>
  <si>
    <t>LT-G7017</t>
  </si>
  <si>
    <t>LT-G7018</t>
  </si>
  <si>
    <t>LT-G7019</t>
  </si>
  <si>
    <t>LT-G7020</t>
  </si>
  <si>
    <t>LT-G7021</t>
  </si>
  <si>
    <t>LT-G7022</t>
  </si>
  <si>
    <t>LT-G7023</t>
  </si>
  <si>
    <t>LT-G7024</t>
  </si>
  <si>
    <t>LT-G7025</t>
  </si>
  <si>
    <t>LT-G7026</t>
  </si>
  <si>
    <t>LT-G7027</t>
  </si>
  <si>
    <t>LT-G7028</t>
  </si>
  <si>
    <t>LT-G7029</t>
  </si>
  <si>
    <t>LT-G7030</t>
  </si>
  <si>
    <t>LT-G7031</t>
  </si>
  <si>
    <t>LT-G7032</t>
  </si>
  <si>
    <t>LT-G7033</t>
  </si>
  <si>
    <t>LT-G7034</t>
  </si>
  <si>
    <t>LT-G7035</t>
  </si>
  <si>
    <t>LT-G7036</t>
  </si>
  <si>
    <t>LT-G7037</t>
  </si>
  <si>
    <t>LT-G7038</t>
  </si>
  <si>
    <t>LT-G7039</t>
  </si>
  <si>
    <t>LT-G7040</t>
  </si>
  <si>
    <t>LT-G7041</t>
  </si>
  <si>
    <t>LT-G7042</t>
  </si>
  <si>
    <t>LT-G7043</t>
  </si>
  <si>
    <t>LT-G7044</t>
  </si>
  <si>
    <t>LT-G7045</t>
  </si>
  <si>
    <t>LT-G7046</t>
  </si>
  <si>
    <t>LT-G7047</t>
  </si>
  <si>
    <t>LT-G7048</t>
  </si>
  <si>
    <t>LT-G7049</t>
  </si>
  <si>
    <t>LT-G7050</t>
  </si>
  <si>
    <t>LT-G7051</t>
  </si>
  <si>
    <t>LT-G7052</t>
  </si>
  <si>
    <t>LT-G7053</t>
  </si>
  <si>
    <t>LT-G7054</t>
  </si>
  <si>
    <t>LT-G7055</t>
  </si>
  <si>
    <t>LT-G7056</t>
  </si>
  <si>
    <t>LT-G7057</t>
  </si>
  <si>
    <t>LT-G7058</t>
  </si>
  <si>
    <t>LT-G7059</t>
  </si>
  <si>
    <t>LT-G7060</t>
  </si>
  <si>
    <t>LT-G7061</t>
  </si>
  <si>
    <t>LT-G7062</t>
  </si>
  <si>
    <t>LT-G7063</t>
  </si>
  <si>
    <t>LT-G7064</t>
  </si>
  <si>
    <t>LT-G7065</t>
  </si>
  <si>
    <t>LT-G7066</t>
  </si>
  <si>
    <t>LT-G7067</t>
  </si>
  <si>
    <t>LT-G7068</t>
  </si>
  <si>
    <t>LT-G7069</t>
  </si>
  <si>
    <t>LT-G7070</t>
  </si>
  <si>
    <t>LT-G7071</t>
  </si>
  <si>
    <t>LT-G7072</t>
  </si>
  <si>
    <t>LT-G7073</t>
  </si>
  <si>
    <t>LT-G1000/C</t>
  </si>
  <si>
    <t>LT-G1000/S</t>
  </si>
  <si>
    <t>LT-G1000/AS</t>
  </si>
  <si>
    <t>LT-G3000/C</t>
  </si>
  <si>
    <t>LT-G3000/S</t>
  </si>
  <si>
    <t>LT-G3000/AS</t>
  </si>
  <si>
    <t>LT-G0025</t>
  </si>
  <si>
    <t>LT-G0026</t>
  </si>
  <si>
    <t>LT-G0027</t>
  </si>
  <si>
    <t>LT-G0028</t>
  </si>
  <si>
    <t>LT-G0029</t>
  </si>
  <si>
    <t>LT-G0030</t>
  </si>
  <si>
    <t>LT-G0031</t>
  </si>
  <si>
    <t>LT-G0032</t>
  </si>
  <si>
    <t>LT-G0033</t>
  </si>
  <si>
    <t>LT-G0034</t>
  </si>
  <si>
    <t>LT-G0035</t>
  </si>
  <si>
    <t>LT-G0036</t>
  </si>
  <si>
    <t>LT-G0037</t>
  </si>
  <si>
    <t>LT-G0038</t>
  </si>
  <si>
    <t>LT-G0039</t>
  </si>
  <si>
    <t>LT-G0040</t>
  </si>
  <si>
    <t>LT-G0042</t>
  </si>
  <si>
    <t>LT-G0043</t>
  </si>
  <si>
    <t>LT-G0044</t>
  </si>
  <si>
    <t>LT-G0045</t>
  </si>
  <si>
    <t>LT-G0046</t>
  </si>
  <si>
    <t>LT-G0047</t>
  </si>
  <si>
    <t>LT-G0048</t>
  </si>
  <si>
    <t>LT-G0049</t>
  </si>
  <si>
    <t>LT-G0050</t>
  </si>
  <si>
    <t>LT-G0051</t>
  </si>
  <si>
    <t>LT-G0052</t>
  </si>
  <si>
    <t>LT-G0053</t>
  </si>
  <si>
    <t>LT-G0054</t>
  </si>
  <si>
    <t>LT-G0055</t>
  </si>
  <si>
    <t>LT-G0056</t>
  </si>
  <si>
    <t>LT-G0022</t>
  </si>
  <si>
    <t>LT-G0023</t>
  </si>
  <si>
    <t>LT-G0024</t>
  </si>
  <si>
    <t>LT-G0024/1</t>
  </si>
  <si>
    <t>LT-G0024/2</t>
  </si>
  <si>
    <t>LT-G0024/3</t>
  </si>
  <si>
    <t>LT-G0024/4</t>
  </si>
  <si>
    <t xml:space="preserve">LT-G0021 </t>
  </si>
  <si>
    <t>LT-G0019</t>
  </si>
  <si>
    <t xml:space="preserve">LT-G0020 </t>
  </si>
  <si>
    <t xml:space="preserve">LT-A1044 </t>
  </si>
  <si>
    <t>LT-A0026</t>
  </si>
  <si>
    <t>LT-A0027</t>
  </si>
  <si>
    <t>LT-A0028</t>
  </si>
  <si>
    <t>LT-A0029</t>
  </si>
  <si>
    <t>LT-A0030</t>
  </si>
  <si>
    <t>LT-A0031</t>
  </si>
  <si>
    <t>LT-A0032</t>
  </si>
  <si>
    <t>LT-A0033</t>
  </si>
  <si>
    <t>LT-A0034</t>
  </si>
  <si>
    <t>LT-A0035</t>
  </si>
  <si>
    <t>LT-A0036</t>
  </si>
  <si>
    <t>LT-A0037</t>
  </si>
  <si>
    <t>LT-A0038</t>
  </si>
  <si>
    <t>LT-A0095</t>
  </si>
  <si>
    <t xml:space="preserve">LT-A0096 </t>
  </si>
  <si>
    <t>LT-A0053</t>
  </si>
  <si>
    <t>LT-A0054</t>
  </si>
  <si>
    <t>LT-A0055</t>
  </si>
  <si>
    <t>LT-A0056</t>
  </si>
  <si>
    <t>LT-A0052</t>
  </si>
  <si>
    <t>LT-A0052/1</t>
  </si>
  <si>
    <t>LT-A0052/2</t>
  </si>
  <si>
    <t>LT-A0044</t>
  </si>
  <si>
    <t>LT-A0045</t>
  </si>
  <si>
    <t>LT-A0046</t>
  </si>
  <si>
    <t>LT-A0049</t>
  </si>
  <si>
    <t>LT-A0060</t>
  </si>
  <si>
    <t>LT-A0061</t>
  </si>
  <si>
    <t>LT-A0062</t>
  </si>
  <si>
    <t xml:space="preserve">LT-A0063 </t>
  </si>
  <si>
    <t>LT-A0067</t>
  </si>
  <si>
    <t>LT-A0067/1</t>
  </si>
  <si>
    <t>LT-A0067/2</t>
  </si>
  <si>
    <t>LT-A0200</t>
  </si>
  <si>
    <t>LT-A1071</t>
  </si>
  <si>
    <t>LT-A0139</t>
  </si>
  <si>
    <t>LT-A0066</t>
  </si>
  <si>
    <t>LT-A0064</t>
  </si>
  <si>
    <t>LT-A0064/1</t>
  </si>
  <si>
    <t>LT-A0064/2</t>
  </si>
  <si>
    <t>LT-A0064/3</t>
  </si>
  <si>
    <t>LT-A0064/4</t>
  </si>
  <si>
    <t>LT-G0162</t>
  </si>
  <si>
    <t>LT-A0065</t>
  </si>
  <si>
    <t>LT-A0065/1</t>
  </si>
  <si>
    <t>LT-A0065/2</t>
  </si>
  <si>
    <t>LT-A0065/3</t>
  </si>
  <si>
    <t>LT-A0065/4</t>
  </si>
  <si>
    <t>LT-G0163</t>
  </si>
  <si>
    <t>LT-S0048</t>
  </si>
  <si>
    <t>LT-S0048/1</t>
  </si>
  <si>
    <t>LT-A0001</t>
  </si>
  <si>
    <t>LT-A0001/1</t>
  </si>
  <si>
    <t>LT-A0001/2</t>
  </si>
  <si>
    <t>LT-A0001/3</t>
  </si>
  <si>
    <t>LT-A0002</t>
  </si>
  <si>
    <t>LT-A0002/1</t>
  </si>
  <si>
    <t>LT-G0175</t>
  </si>
  <si>
    <t>LT-G0129</t>
  </si>
  <si>
    <t>LT-G0152</t>
  </si>
  <si>
    <t>LT-S0011</t>
  </si>
  <si>
    <t>LT-A0001/4</t>
  </si>
  <si>
    <t>LT-A0003</t>
  </si>
  <si>
    <t>LT-A0004</t>
  </si>
  <si>
    <t>LT-G0660</t>
  </si>
  <si>
    <t>LT-G0661</t>
  </si>
  <si>
    <t>LT-G0662</t>
  </si>
  <si>
    <t>LT-G0663</t>
  </si>
  <si>
    <t>LT-G0664</t>
  </si>
  <si>
    <t>LT-G0665</t>
  </si>
  <si>
    <t>LT-G0666</t>
  </si>
  <si>
    <t>LT-G0667</t>
  </si>
  <si>
    <t>LT-G0668</t>
  </si>
  <si>
    <t>LT-G0669</t>
  </si>
  <si>
    <t>LT-G0659</t>
  </si>
  <si>
    <t>LT-G0063</t>
  </si>
  <si>
    <t>LT-G0064</t>
  </si>
  <si>
    <t>LT-G0065</t>
  </si>
  <si>
    <t>LT-G0066</t>
  </si>
  <si>
    <t>LT-G0067</t>
  </si>
  <si>
    <t>LT-G0068</t>
  </si>
  <si>
    <t>LT-G0070</t>
  </si>
  <si>
    <t>LT-G0071</t>
  </si>
  <si>
    <t>LT-G0072</t>
  </si>
  <si>
    <t>LT-G0073</t>
  </si>
  <si>
    <t>LT-G0074</t>
  </si>
  <si>
    <t>LT-G0069</t>
  </si>
  <si>
    <t>LT-G0114</t>
  </si>
  <si>
    <t>LT-G0115</t>
  </si>
  <si>
    <t>LT-A0075</t>
  </si>
  <si>
    <t>LT-A0076</t>
  </si>
  <si>
    <t>LT-A0075/1</t>
  </si>
  <si>
    <t>LT-A0075/2</t>
  </si>
  <si>
    <t>LT-A0075/3</t>
  </si>
  <si>
    <t>LT-G0523</t>
  </si>
  <si>
    <t>LT-G0113</t>
  </si>
  <si>
    <t>LT-G0542</t>
  </si>
  <si>
    <t>LT-A0077</t>
  </si>
  <si>
    <t>LT-G0735</t>
  </si>
  <si>
    <t>LT-A0078</t>
  </si>
  <si>
    <t>LT-C0066</t>
  </si>
  <si>
    <t>LT-C0066/1</t>
  </si>
  <si>
    <t>LT-C0066/2</t>
  </si>
  <si>
    <t>LT-C0066/3</t>
  </si>
  <si>
    <t>LT-C0066/4</t>
  </si>
  <si>
    <t>LT-G0270</t>
  </si>
  <si>
    <t>LT-G0270/AW</t>
  </si>
  <si>
    <t>LT-G0271</t>
  </si>
  <si>
    <t>LT-G0271/AW</t>
  </si>
  <si>
    <t>LT-G0271/W</t>
  </si>
  <si>
    <t>LT-G0272</t>
  </si>
  <si>
    <t>LT-G0272/AW</t>
  </si>
  <si>
    <t>LT-G0272/W</t>
  </si>
  <si>
    <t>LT-G0273</t>
  </si>
  <si>
    <t>LT-A0080</t>
  </si>
  <si>
    <t>LT-A0081</t>
  </si>
  <si>
    <t>LT-A0080/1</t>
  </si>
  <si>
    <t>LT-A0080/2</t>
  </si>
  <si>
    <t>LT-A0080/3</t>
  </si>
  <si>
    <t>LT-G0674</t>
  </si>
  <si>
    <t>LT-G0675</t>
  </si>
  <si>
    <t>LT-A0080/4</t>
  </si>
  <si>
    <t>LT-G0721</t>
  </si>
  <si>
    <t>LT-G0749</t>
  </si>
  <si>
    <t>LT-G0749/1</t>
  </si>
  <si>
    <t>LT-G0750</t>
  </si>
  <si>
    <t>LT-A0048/AS</t>
  </si>
  <si>
    <t>LT-A0048/DS</t>
  </si>
  <si>
    <t>LT-A0048</t>
  </si>
  <si>
    <t>LT-A0050</t>
  </si>
  <si>
    <t>LT-A0050/1</t>
  </si>
  <si>
    <t>LT-A0051</t>
  </si>
  <si>
    <t>LT-G8000</t>
  </si>
  <si>
    <t>LT-G8009</t>
  </si>
  <si>
    <t>LT-A0047</t>
  </si>
  <si>
    <t>LT-A0047/1</t>
  </si>
  <si>
    <t>LT-A0047/2</t>
  </si>
  <si>
    <t>LT-G0717</t>
  </si>
  <si>
    <t>LT-A0047/3</t>
  </si>
  <si>
    <t>LT-A0047/4</t>
  </si>
  <si>
    <t>LT-A0047/5</t>
  </si>
  <si>
    <t>LT-CE0606</t>
  </si>
  <si>
    <t>LT-A0086</t>
  </si>
  <si>
    <t>LT-A0085</t>
  </si>
  <si>
    <t>LT-CE0038</t>
  </si>
  <si>
    <t>LT-CE0038/2</t>
  </si>
  <si>
    <t>LT-CE0038/3</t>
  </si>
  <si>
    <t>LT-R0060</t>
  </si>
  <si>
    <t>LT-R0060/1</t>
  </si>
  <si>
    <t>LT-C0225</t>
  </si>
  <si>
    <t>LT-C0226</t>
  </si>
  <si>
    <t>LT-C0227</t>
  </si>
  <si>
    <t>LT-C0228</t>
  </si>
  <si>
    <t>LT-C0229</t>
  </si>
  <si>
    <t>LT-C0235</t>
  </si>
  <si>
    <t>LT-C0236</t>
  </si>
  <si>
    <t>LT-C0237</t>
  </si>
  <si>
    <t>LT-G0800</t>
  </si>
  <si>
    <t>LT-R0065</t>
  </si>
  <si>
    <t>LT-R0005</t>
  </si>
  <si>
    <t>LT-R0006</t>
  </si>
  <si>
    <t>LT-C0091</t>
  </si>
  <si>
    <t>LT-R0001</t>
  </si>
  <si>
    <t>LT-R0003</t>
  </si>
  <si>
    <t>LT-R0002</t>
  </si>
  <si>
    <t>LT-R0002/1</t>
  </si>
  <si>
    <t>LT-R0070</t>
  </si>
  <si>
    <t>LT-C0200</t>
  </si>
  <si>
    <t>LT-R0070/1</t>
  </si>
  <si>
    <t>LT-R0070/2</t>
  </si>
  <si>
    <t>LT-R0070/3</t>
  </si>
  <si>
    <t>LT-R0070/4</t>
  </si>
  <si>
    <t>LT-R0070/5</t>
  </si>
  <si>
    <t>LT-R1147</t>
  </si>
  <si>
    <t>LT- R0080</t>
  </si>
  <si>
    <t>LT-S0147</t>
  </si>
  <si>
    <t>LT-AS0004/1</t>
  </si>
  <si>
    <t>LT-AS0004/2</t>
  </si>
  <si>
    <t>LT-AS0005</t>
  </si>
  <si>
    <t>LT-AS0005/1</t>
  </si>
  <si>
    <t>LT-AS0005/2</t>
  </si>
  <si>
    <t>LT-AS0001</t>
  </si>
  <si>
    <t>LT-AS0001/1</t>
  </si>
  <si>
    <t>LT-AS0001/2</t>
  </si>
  <si>
    <t>LT-AS0001/3</t>
  </si>
  <si>
    <t>LT-AS0001/4</t>
  </si>
  <si>
    <t>LT-AS0001/5</t>
  </si>
  <si>
    <t>LT-AS0002</t>
  </si>
  <si>
    <t>LT-AS0002/1</t>
  </si>
  <si>
    <t>LT-AS0002/2</t>
  </si>
  <si>
    <t>LT-AS0002/3</t>
  </si>
  <si>
    <t xml:space="preserve"> LT-AS0002/4</t>
  </si>
  <si>
    <t>LT-AS0002/5</t>
  </si>
  <si>
    <t>LT-AS0110</t>
  </si>
  <si>
    <t>LT-AS0069</t>
  </si>
  <si>
    <t>LT-AS0125</t>
  </si>
  <si>
    <t>LT-AS0125/1</t>
  </si>
  <si>
    <t>LT-G0209</t>
  </si>
  <si>
    <t>LT-G0210/1</t>
  </si>
  <si>
    <t>LT-G0210/2</t>
  </si>
  <si>
    <t>LT-G0093</t>
  </si>
  <si>
    <t>LT-AS0013</t>
  </si>
  <si>
    <t>LT-AS0016</t>
  </si>
  <si>
    <t>LT-AS0020</t>
  </si>
  <si>
    <t>LT-AS0021</t>
  </si>
  <si>
    <t>LT-AS0022</t>
  </si>
  <si>
    <t>LT-AS0023</t>
  </si>
  <si>
    <t>LT-AS0024</t>
  </si>
  <si>
    <t>LT-AS0008</t>
  </si>
  <si>
    <t>LT-AS0008/1</t>
  </si>
  <si>
    <t>LT-AS0008/2</t>
  </si>
  <si>
    <t>LT-AS0008/3</t>
  </si>
  <si>
    <t>LT-AS0009</t>
  </si>
  <si>
    <t>LT-AS0009/1</t>
  </si>
  <si>
    <t>LT-AS0009/2</t>
  </si>
  <si>
    <t>LT-AS0009/3</t>
  </si>
  <si>
    <t>LT-AS0010</t>
  </si>
  <si>
    <t>LT-AS00010/1</t>
  </si>
  <si>
    <t>LT-AS00010/2</t>
  </si>
  <si>
    <t>LT-AS00010/3</t>
  </si>
  <si>
    <t>LT-AS0043</t>
  </si>
  <si>
    <t>LT-AS0043/1</t>
  </si>
  <si>
    <t>LT-AS0043/2</t>
  </si>
  <si>
    <t>LT-AS0045</t>
  </si>
  <si>
    <t>LT-AS0046</t>
  </si>
  <si>
    <t>LT-AS0042</t>
  </si>
  <si>
    <t>LT-AS0042/1</t>
  </si>
  <si>
    <t>LT-AS0042/2</t>
  </si>
  <si>
    <t>LT-AS0042/3</t>
  </si>
  <si>
    <t>LT-U0035</t>
  </si>
  <si>
    <t>LT-AS0050</t>
  </si>
  <si>
    <t>LT-AS0050/1</t>
  </si>
  <si>
    <t>LT-AS0050/2</t>
  </si>
  <si>
    <t>LT-G8035</t>
  </si>
  <si>
    <t>LT-G8040</t>
  </si>
  <si>
    <t>LT-AS0050/4</t>
  </si>
  <si>
    <t>LT-AS0050/5</t>
  </si>
  <si>
    <t>LT-AS0050/6</t>
  </si>
  <si>
    <t>LT-AS0050/7</t>
  </si>
  <si>
    <t>LT-AS0050/8</t>
  </si>
  <si>
    <t>LT-AS0025</t>
  </si>
  <si>
    <t>LT-AS0025/1</t>
  </si>
  <si>
    <t>LT-AS0025/2</t>
  </si>
  <si>
    <t>LT-AS0025/3</t>
  </si>
  <si>
    <t>LT-AS0026</t>
  </si>
  <si>
    <t>LT-AS0027</t>
  </si>
  <si>
    <t>LT-AS0028</t>
  </si>
  <si>
    <t>LT-AS0029</t>
  </si>
  <si>
    <t>LT-AS0030</t>
  </si>
  <si>
    <t>LT-AS0031</t>
  </si>
  <si>
    <t>LT-AS0032</t>
  </si>
  <si>
    <t>LT-G0151</t>
  </si>
  <si>
    <t>LT-AS0035</t>
  </si>
  <si>
    <t>LT-G0001</t>
  </si>
  <si>
    <t>LT-G0002</t>
  </si>
  <si>
    <t>LT-G0003</t>
  </si>
  <si>
    <t>LT-G0004</t>
  </si>
  <si>
    <t>LT-G0005</t>
  </si>
  <si>
    <t>LT-G0006</t>
  </si>
  <si>
    <t>LT-AS0107</t>
  </si>
  <si>
    <t>LT-AS0107/1</t>
  </si>
  <si>
    <t>LT-G0225</t>
  </si>
  <si>
    <t>LT-AS0041</t>
  </si>
  <si>
    <t>LT-AS0041/1</t>
  </si>
  <si>
    <t>LT-AS0041/2</t>
  </si>
  <si>
    <t>LT-G0157</t>
  </si>
  <si>
    <t>LT-AS0033</t>
  </si>
  <si>
    <t>LT-AS0034</t>
  </si>
  <si>
    <t>LT-AS0038</t>
  </si>
  <si>
    <t>LT-AS0033/1</t>
  </si>
  <si>
    <t>LT-AS0033/2</t>
  </si>
  <si>
    <t>LT-AS0033/3</t>
  </si>
  <si>
    <t>LT-AS0036</t>
  </si>
  <si>
    <t>LT-AS0036/1</t>
  </si>
  <si>
    <t>LT-AS0036/2</t>
  </si>
  <si>
    <t>LT-AS0036/3</t>
  </si>
  <si>
    <t>LT-G0404</t>
  </si>
  <si>
    <t>LT-G0182</t>
  </si>
  <si>
    <t>LT-AS0037</t>
  </si>
  <si>
    <t>LT-AS0105</t>
  </si>
  <si>
    <t>LT-AS0105/1</t>
  </si>
  <si>
    <t>LT-AS0105/2</t>
  </si>
  <si>
    <t>LT-AS0060</t>
  </si>
  <si>
    <t>LT-AS0060/1</t>
  </si>
  <si>
    <t>LT-AS0060/2</t>
  </si>
  <si>
    <t>LT-AS0060/3</t>
  </si>
  <si>
    <t>LT-AS0060/4</t>
  </si>
  <si>
    <t>LT-G0185</t>
  </si>
  <si>
    <t>LT-AS0112</t>
  </si>
  <si>
    <t>LT-AS0113</t>
  </si>
  <si>
    <t>LT-AS0102</t>
  </si>
  <si>
    <t>LT-AS0102/1</t>
  </si>
  <si>
    <t>LT-AS0111</t>
  </si>
  <si>
    <t>LT-AS0111/1</t>
  </si>
  <si>
    <t>LT-AS0111/2</t>
  </si>
  <si>
    <t>LT-AS0111/3</t>
  </si>
  <si>
    <t>LT-AS0111/4</t>
  </si>
  <si>
    <t>LT-AS0111/5</t>
  </si>
  <si>
    <t>LT-AS0111/6</t>
  </si>
  <si>
    <t>LT-AS0106</t>
  </si>
  <si>
    <t>LT-AS0071</t>
  </si>
  <si>
    <t>LT-AS0072</t>
  </si>
  <si>
    <t>LT-M0614</t>
  </si>
  <si>
    <t>LT-M0615/1</t>
  </si>
  <si>
    <t>LT-M0615/2</t>
  </si>
  <si>
    <t>LT-M0615/3</t>
  </si>
  <si>
    <t>LT-AS0300</t>
  </si>
  <si>
    <t>LT-AS1510</t>
  </si>
  <si>
    <t>LT-AS1520</t>
  </si>
  <si>
    <t>LT-AS0120</t>
  </si>
  <si>
    <t>LT-AS0900</t>
  </si>
  <si>
    <t>LT-C0210</t>
  </si>
  <si>
    <t>LT-C0300</t>
  </si>
  <si>
    <t>LT-C0310</t>
  </si>
  <si>
    <t>LT-C0250</t>
  </si>
  <si>
    <t>LT-C0350</t>
  </si>
  <si>
    <t>LT-C0450</t>
  </si>
  <si>
    <t>LT-C0550</t>
  </si>
  <si>
    <t>LT-C1200</t>
  </si>
  <si>
    <t>LT-C0200 + 
LT-C0601/1</t>
  </si>
  <si>
    <t>LT-C0200/1</t>
  </si>
  <si>
    <t>LT-C0210/1</t>
  </si>
  <si>
    <t>LT-C0300/1</t>
  </si>
  <si>
    <t>LT-C0310/1</t>
  </si>
  <si>
    <t>LT-C0250/1</t>
  </si>
  <si>
    <t>LT-C0350/1</t>
  </si>
  <si>
    <t>LT-C0450/1</t>
  </si>
  <si>
    <t>LT-C0550/1</t>
  </si>
  <si>
    <t>LT-C1200/1</t>
  </si>
  <si>
    <t>LT-C0214</t>
  </si>
  <si>
    <t>LT-C0215</t>
  </si>
  <si>
    <t>LT-C0216</t>
  </si>
  <si>
    <t>LT-C0217</t>
  </si>
  <si>
    <t>LT-C0218</t>
  </si>
  <si>
    <t>LT-C0219</t>
  </si>
  <si>
    <t>LT-C0238</t>
  </si>
  <si>
    <t>LT-C0239</t>
  </si>
  <si>
    <t>LT-C0240</t>
  </si>
  <si>
    <t>LT-C0241</t>
  </si>
  <si>
    <t>LT-C0242</t>
  </si>
  <si>
    <t>LT-C0255</t>
  </si>
  <si>
    <t>LT-C0260</t>
  </si>
  <si>
    <t>LT-C0265</t>
  </si>
  <si>
    <t>LT-C0275</t>
  </si>
  <si>
    <t>LT-C0365</t>
  </si>
  <si>
    <t>LT-C0375</t>
  </si>
  <si>
    <t>LT-C0325</t>
  </si>
  <si>
    <t>LT-C0326</t>
  </si>
  <si>
    <t>LT-C0327</t>
  </si>
  <si>
    <t>LT-C0600</t>
  </si>
  <si>
    <t>LT-C0601</t>
  </si>
  <si>
    <t>LT-C0602</t>
  </si>
  <si>
    <t>LT-C0610</t>
  </si>
  <si>
    <t>LT-C0611</t>
  </si>
  <si>
    <t>LT-C0620</t>
  </si>
  <si>
    <t>LT-C0621</t>
  </si>
  <si>
    <t>LT-C0622</t>
  </si>
  <si>
    <t>LT-C2200</t>
  </si>
  <si>
    <t>LT-0300/E</t>
  </si>
  <si>
    <t>LT-C0600/1</t>
  </si>
  <si>
    <t>LT-G8031</t>
  </si>
  <si>
    <t>LT-C0601/1</t>
  </si>
  <si>
    <t>LT-G8032</t>
  </si>
  <si>
    <t>LT-C0602/1</t>
  </si>
  <si>
    <t>LT-G8033</t>
  </si>
  <si>
    <t>LT-C0610/1</t>
  </si>
  <si>
    <t>LT-C0611/1</t>
  </si>
  <si>
    <t>LT-G8034</t>
  </si>
  <si>
    <t>LT-C0620/1</t>
  </si>
  <si>
    <t>LT-C0621/1</t>
  </si>
  <si>
    <t>LT-C0622/1</t>
  </si>
  <si>
    <t>LT-C0650</t>
  </si>
  <si>
    <t>LT-C0651</t>
  </si>
  <si>
    <t>LT-C0652</t>
  </si>
  <si>
    <t>LT-C0653</t>
  </si>
  <si>
    <t>LT-C0654</t>
  </si>
  <si>
    <t>LT-C0655</t>
  </si>
  <si>
    <t>LT-C0656</t>
  </si>
  <si>
    <t>LT-C0095</t>
  </si>
  <si>
    <t>LT-C0099</t>
  </si>
  <si>
    <t>LT-C0095/SE</t>
  </si>
  <si>
    <t>LT-C0096</t>
  </si>
  <si>
    <t>LT-C0097</t>
  </si>
  <si>
    <t>LT-C0098</t>
  </si>
  <si>
    <t>LT-C0100</t>
  </si>
  <si>
    <t>LT-C0101</t>
  </si>
  <si>
    <t>LT-C0102</t>
  </si>
  <si>
    <t>LT-C0103</t>
  </si>
  <si>
    <t>LT-C0104</t>
  </si>
  <si>
    <t>LT-C0094</t>
  </si>
  <si>
    <t>LT-M1923</t>
  </si>
  <si>
    <t>LT-C0055</t>
  </si>
  <si>
    <t>LT-C0056</t>
  </si>
  <si>
    <t>LT-C0057</t>
  </si>
  <si>
    <t>LT-C0058</t>
  </si>
  <si>
    <t>LT-C0058/1</t>
  </si>
  <si>
    <t>LT-C0058/2</t>
  </si>
  <si>
    <t>LT-C0058/3</t>
  </si>
  <si>
    <t>LT-C0038/1</t>
  </si>
  <si>
    <t>LT-C1150</t>
  </si>
  <si>
    <t>LT-C0038</t>
  </si>
  <si>
    <t>LT-C0038/2</t>
  </si>
  <si>
    <t>LT-C0038/3</t>
  </si>
  <si>
    <t>LT-G0161</t>
  </si>
  <si>
    <t>LT-G0141</t>
  </si>
  <si>
    <t>LT-C0039</t>
  </si>
  <si>
    <t>LT-C0040</t>
  </si>
  <si>
    <t>LT-C0041</t>
  </si>
  <si>
    <t>LT-C0042/E</t>
  </si>
  <si>
    <t>LT-C0042/1</t>
  </si>
  <si>
    <t>LT-C0042/2</t>
  </si>
  <si>
    <t>LT-C0042/3</t>
  </si>
  <si>
    <t>LT-C0042/A</t>
  </si>
  <si>
    <t>LT-C0044</t>
  </si>
  <si>
    <t>LT-C0023</t>
  </si>
  <si>
    <t>LT-C0023/1</t>
  </si>
  <si>
    <t>LT-C0023/2</t>
  </si>
  <si>
    <t>LT-C0023/3</t>
  </si>
  <si>
    <t>LT-C0023/4</t>
  </si>
  <si>
    <t>LT-C0065</t>
  </si>
  <si>
    <t>LT-C0033</t>
  </si>
  <si>
    <t>LT-C0025</t>
  </si>
  <si>
    <t>LT-C0025/1</t>
  </si>
  <si>
    <t>LT-C0028</t>
  </si>
  <si>
    <t>LT-C0028/1</t>
  </si>
  <si>
    <t>LT-C0070</t>
  </si>
  <si>
    <t>LT-C0070/1</t>
  </si>
  <si>
    <t>LT-C0070/2</t>
  </si>
  <si>
    <t>LT-C0070/3</t>
  </si>
  <si>
    <t>LT-C0070/4</t>
  </si>
  <si>
    <t>LT-C0072</t>
  </si>
  <si>
    <t>LT-C0072/1</t>
  </si>
  <si>
    <t>LT-C0072/2</t>
  </si>
  <si>
    <t>LT-C0072/3</t>
  </si>
  <si>
    <t>LT-C0072/4</t>
  </si>
  <si>
    <t>LT-C0070/F</t>
  </si>
  <si>
    <t>LT-C0075</t>
  </si>
  <si>
    <t>LT-C0076</t>
  </si>
  <si>
    <t>LT-C0077</t>
  </si>
  <si>
    <t>LT-C0078</t>
  </si>
  <si>
    <t>LT-C0079</t>
  </si>
  <si>
    <t>LT-G0290</t>
  </si>
  <si>
    <t>LT-G0291</t>
  </si>
  <si>
    <t>LT-G0292</t>
  </si>
  <si>
    <t>LT-G0293</t>
  </si>
  <si>
    <t>LT-G0295/1</t>
  </si>
  <si>
    <t>LT-G0295/2</t>
  </si>
  <si>
    <t>LT-C0001</t>
  </si>
  <si>
    <t>LT-C00001/Z</t>
  </si>
  <si>
    <t>LT-C0002</t>
  </si>
  <si>
    <t>LT-C0003</t>
  </si>
  <si>
    <t>LT-C0004</t>
  </si>
  <si>
    <t>LT-C0003/M</t>
  </si>
  <si>
    <t>LT-C0005</t>
  </si>
  <si>
    <t>LT-C0006</t>
  </si>
  <si>
    <t>LT-C0007</t>
  </si>
  <si>
    <t>LT-C0010</t>
  </si>
  <si>
    <t>LT-C0011</t>
  </si>
  <si>
    <t>LT-C0012</t>
  </si>
  <si>
    <t>LT-C0013</t>
  </si>
  <si>
    <t>LT-C0014</t>
  </si>
  <si>
    <t>LT-C0015</t>
  </si>
  <si>
    <t>LT-C0016</t>
  </si>
  <si>
    <t>LT-C0018</t>
  </si>
  <si>
    <t>LT-C0019</t>
  </si>
  <si>
    <t>LT-C0020</t>
  </si>
  <si>
    <t>LT-C0021</t>
  </si>
  <si>
    <t>LT-C0044/1</t>
  </si>
  <si>
    <t>LT-C0045</t>
  </si>
  <si>
    <t>LT-C0046</t>
  </si>
  <si>
    <t>LT-C0047</t>
  </si>
  <si>
    <t>LT-C0048</t>
  </si>
  <si>
    <t>LT-C0049</t>
  </si>
  <si>
    <t>LT-C0049/1</t>
  </si>
  <si>
    <t>LT-C0085</t>
  </si>
  <si>
    <t>LT-C0086</t>
  </si>
  <si>
    <t>LT-C0089</t>
  </si>
  <si>
    <t>LT-C0087</t>
  </si>
  <si>
    <t>LT-C0088</t>
  </si>
  <si>
    <t>LT-C0110</t>
  </si>
  <si>
    <t>LT-C0111</t>
  </si>
  <si>
    <t>LT-C0112</t>
  </si>
  <si>
    <t>LT-C0113</t>
  </si>
  <si>
    <t>LT-C0114</t>
  </si>
  <si>
    <t>LT-C0115</t>
  </si>
  <si>
    <t>LT-C0116</t>
  </si>
  <si>
    <t>LT-C0008</t>
  </si>
  <si>
    <t>LT-C0009</t>
  </si>
  <si>
    <t>LT-C0008/1</t>
  </si>
  <si>
    <t>LT-C0117</t>
  </si>
  <si>
    <t>LT-C0061</t>
  </si>
  <si>
    <t>LT-C0060</t>
  </si>
  <si>
    <t>LT-C0060/1</t>
  </si>
  <si>
    <t>LT-C0060/2</t>
  </si>
  <si>
    <t>LT-C0060/3</t>
  </si>
  <si>
    <t>LT-C0060/4</t>
  </si>
  <si>
    <t>LT-C0060/5</t>
  </si>
  <si>
    <t>LT-C0120</t>
  </si>
  <si>
    <t>LT-C0121</t>
  </si>
  <si>
    <t>LT-C0122</t>
  </si>
  <si>
    <t>LT-C6000</t>
  </si>
  <si>
    <t xml:space="preserve">LT-C1254 </t>
  </si>
  <si>
    <t>LT-CE0610</t>
  </si>
  <si>
    <t>LT-U0600</t>
  </si>
  <si>
    <t>LT-U1000</t>
  </si>
  <si>
    <t>LT-U0600S</t>
  </si>
  <si>
    <t>LT-U1000S</t>
  </si>
  <si>
    <t>LT-U0660</t>
  </si>
  <si>
    <t>LT-U1100</t>
  </si>
  <si>
    <t>LT-R0061</t>
  </si>
  <si>
    <t>LT-R0061/1</t>
  </si>
  <si>
    <t>LT-C0031</t>
  </si>
  <si>
    <t>LT-C0031/1</t>
  </si>
  <si>
    <t>LT-C0031/2</t>
  </si>
  <si>
    <t>LT-C0031/3</t>
  </si>
  <si>
    <t>LT-C0031/4</t>
  </si>
  <si>
    <t>LT-C0030</t>
  </si>
  <si>
    <t>LT-G0715</t>
  </si>
  <si>
    <t>LT-G0715/1</t>
  </si>
  <si>
    <t>LT-G0716</t>
  </si>
  <si>
    <t>LT-G0716/1</t>
  </si>
  <si>
    <t>LT-G0165</t>
  </si>
  <si>
    <t>LT-C0050</t>
  </si>
  <si>
    <t>LT-C0050/1</t>
  </si>
  <si>
    <t>LT-C0051</t>
  </si>
  <si>
    <t>LT-C0051/1</t>
  </si>
  <si>
    <t>LT-C0130</t>
  </si>
  <si>
    <t>LT-C0130/1</t>
  </si>
  <si>
    <t>LT-C0130/2</t>
  </si>
  <si>
    <t>LT-C0131</t>
  </si>
  <si>
    <t>LT-C0131/1</t>
  </si>
  <si>
    <t>LT-C0131/2</t>
  </si>
  <si>
    <t>LT-C0132</t>
  </si>
  <si>
    <t>LT-C0132/1</t>
  </si>
  <si>
    <t>LT-C0133</t>
  </si>
  <si>
    <t>LT-C0133/1</t>
  </si>
  <si>
    <t>LT-C0134</t>
  </si>
  <si>
    <t>LT-G0600</t>
  </si>
  <si>
    <t>LT-G0603</t>
  </si>
  <si>
    <t>LT-G0604</t>
  </si>
  <si>
    <t>LT-G0605</t>
  </si>
  <si>
    <t>LT-G0606</t>
  </si>
  <si>
    <t>LT-G0606/1</t>
  </si>
  <si>
    <t>LT-G0606/2</t>
  </si>
  <si>
    <t>LT-G0606/3</t>
  </si>
  <si>
    <t>LT-G0606/4</t>
  </si>
  <si>
    <t>LT-G0606/5</t>
  </si>
  <si>
    <t>LT-G0606/6</t>
  </si>
  <si>
    <t>LT-G0610</t>
  </si>
  <si>
    <t>LT-G0615</t>
  </si>
  <si>
    <t>LT-G0611</t>
  </si>
  <si>
    <t>LT-G0612</t>
  </si>
  <si>
    <t>LT-G0613</t>
  </si>
  <si>
    <t>LT-G0614</t>
  </si>
  <si>
    <t>LT-C0140</t>
  </si>
  <si>
    <t>LT-C0140/1</t>
  </si>
  <si>
    <t>LT-C0141</t>
  </si>
  <si>
    <t>LT-C0141/1</t>
  </si>
  <si>
    <t>LT-C0143</t>
  </si>
  <si>
    <t>LT-C0144</t>
  </si>
  <si>
    <t>LT-C0142</t>
  </si>
  <si>
    <t>LT-C03278</t>
  </si>
  <si>
    <t>LT-C0142/1</t>
  </si>
  <si>
    <t>LT-C0142/2</t>
  </si>
  <si>
    <t>LT-C0142/3</t>
  </si>
  <si>
    <t>LT-C0142/4</t>
  </si>
  <si>
    <t>LT-C0142/5</t>
  </si>
  <si>
    <t>LT-C0142/6</t>
  </si>
  <si>
    <t>LT-C0142/7</t>
  </si>
  <si>
    <t>LT-C0142/8</t>
  </si>
  <si>
    <t>LT-C0170</t>
  </si>
  <si>
    <t>LT-C0171</t>
  </si>
  <si>
    <t>LT-C0180</t>
  </si>
  <si>
    <t>LT-C0180/1</t>
  </si>
  <si>
    <t>LT-C0180/2</t>
  </si>
  <si>
    <t>LT-C0180/3</t>
  </si>
  <si>
    <t>LT-C0180/4</t>
  </si>
  <si>
    <t>LT-C0180/5</t>
  </si>
  <si>
    <t>LT-C0180/6</t>
  </si>
  <si>
    <t>LT-C0180/7</t>
  </si>
  <si>
    <t>LT-C0180/8</t>
  </si>
  <si>
    <t>LT-C0180/9</t>
  </si>
  <si>
    <t>LT-C0150</t>
  </si>
  <si>
    <t>LT-C0150/1</t>
  </si>
  <si>
    <t>LT-C0151</t>
  </si>
  <si>
    <t>LT-C0151/1</t>
  </si>
  <si>
    <t xml:space="preserve">LT-C0153 </t>
  </si>
  <si>
    <t>LT-C0152</t>
  </si>
  <si>
    <t>LT-C0155</t>
  </si>
  <si>
    <t>LT-C0092</t>
  </si>
  <si>
    <t>LT-C0185</t>
  </si>
  <si>
    <t>LT-C0186</t>
  </si>
  <si>
    <t>LT-C0159</t>
  </si>
  <si>
    <t>LT-C0160</t>
  </si>
  <si>
    <t>PM-600</t>
  </si>
  <si>
    <t>PM-630</t>
  </si>
  <si>
    <t>PM-650</t>
  </si>
  <si>
    <t>PS250</t>
  </si>
  <si>
    <t>PS200</t>
  </si>
  <si>
    <t>PS1000</t>
  </si>
  <si>
    <t>PSA 100</t>
  </si>
  <si>
    <t>LT-C0165</t>
  </si>
  <si>
    <t>LT-CE0005</t>
  </si>
  <si>
    <t>LT-CE0005/1</t>
  </si>
  <si>
    <t>LT-CE0005/2</t>
  </si>
  <si>
    <t>LT-CE0005/3</t>
  </si>
  <si>
    <t>LT-CE0005/4</t>
  </si>
  <si>
    <t>LT-CE0005/5</t>
  </si>
  <si>
    <t>LT-CE0005/6</t>
  </si>
  <si>
    <t>LT-CE0010</t>
  </si>
  <si>
    <t>LT-CE0006</t>
  </si>
  <si>
    <t>LT-CE0007</t>
  </si>
  <si>
    <t>LT-CE0035/S</t>
  </si>
  <si>
    <t>LT-CE0035/2</t>
  </si>
  <si>
    <t>LT-CE0035/3</t>
  </si>
  <si>
    <t>LT-A0043</t>
  </si>
  <si>
    <t>LT-CE0046</t>
  </si>
  <si>
    <t>LT-CE0090</t>
  </si>
  <si>
    <t>LT-CE0048</t>
  </si>
  <si>
    <t>LT-CE0049</t>
  </si>
  <si>
    <t>LT-CE0047</t>
  </si>
  <si>
    <t>LT-CE0047/1</t>
  </si>
  <si>
    <t>LT-CE0047/2</t>
  </si>
  <si>
    <t>LT-CE0047/3</t>
  </si>
  <si>
    <t>LT-CE0047/4</t>
  </si>
  <si>
    <t>LT-CE0047/5</t>
  </si>
  <si>
    <t>LT-CE0047/6</t>
  </si>
  <si>
    <t>LT-CE0047/7</t>
  </si>
  <si>
    <t>LT-CE0047/8</t>
  </si>
  <si>
    <t>LT-G0514</t>
  </si>
  <si>
    <t>LT-CE0044</t>
  </si>
  <si>
    <t>LT-CE0042</t>
  </si>
  <si>
    <t>LT-CE0042/1</t>
  </si>
  <si>
    <t>LT-CE0042/2</t>
  </si>
  <si>
    <t>LT-CE0017</t>
  </si>
  <si>
    <t>LT-CE0014</t>
  </si>
  <si>
    <t>LT-CE0014/1</t>
  </si>
  <si>
    <t>LT-CE0014/2</t>
  </si>
  <si>
    <t>LT-CE0014/3</t>
  </si>
  <si>
    <t>LT-CE0014/4</t>
  </si>
  <si>
    <t>LT-CE0014/5</t>
  </si>
  <si>
    <t>LT-CE0014/6</t>
  </si>
  <si>
    <t>LT-CE0014/7</t>
  </si>
  <si>
    <t>LT-CE0015</t>
  </si>
  <si>
    <t>LT-CE0015/1</t>
  </si>
  <si>
    <t>LT-CE0015/2</t>
  </si>
  <si>
    <t>LT-CE0016</t>
  </si>
  <si>
    <t>LT-CE0061</t>
  </si>
  <si>
    <t>LT-CE0062</t>
  </si>
  <si>
    <t>LT-CE0063</t>
  </si>
  <si>
    <t>LT-CE0063/1</t>
  </si>
  <si>
    <t>LT-CE0063/2</t>
  </si>
  <si>
    <t>LT-CE0063/3</t>
  </si>
  <si>
    <t>LT-CE0063/4</t>
  </si>
  <si>
    <t>LT-CE0060</t>
  </si>
  <si>
    <t>LT-CE0050</t>
  </si>
  <si>
    <t>LT-CE0050/1</t>
  </si>
  <si>
    <t>LT-CE0050/2</t>
  </si>
  <si>
    <t>LT-CE0051</t>
  </si>
  <si>
    <t>LT-CE0051/1</t>
  </si>
  <si>
    <t>LT-CE0051/2</t>
  </si>
  <si>
    <t>LT-CE0052</t>
  </si>
  <si>
    <t>LT-CE0053</t>
  </si>
  <si>
    <t>LT-CE0065</t>
  </si>
  <si>
    <t>LT-CE0065/1</t>
  </si>
  <si>
    <t>LT-CE0065/2</t>
  </si>
  <si>
    <t>LT-CE0029</t>
  </si>
  <si>
    <t>LT-CE0030</t>
  </si>
  <si>
    <t>LT-CE0029/1</t>
  </si>
  <si>
    <t>LT-CE0029/2</t>
  </si>
  <si>
    <t>LT-CE0035</t>
  </si>
  <si>
    <t>LT-CE0035/1</t>
  </si>
  <si>
    <t>LT-CE0036</t>
  </si>
  <si>
    <t>LT-CE0037</t>
  </si>
  <si>
    <t>LT-CE0070</t>
  </si>
  <si>
    <t>LT-CE0075</t>
  </si>
  <si>
    <t>LT-CE0080/G</t>
  </si>
  <si>
    <t>LT-CE0080</t>
  </si>
  <si>
    <t>LT-CE0081/G</t>
  </si>
  <si>
    <t>LT-CE0081</t>
  </si>
  <si>
    <t>LT-CE0082/G</t>
  </si>
  <si>
    <t>LT-CE0082</t>
  </si>
  <si>
    <t>LT-CE0083/G</t>
  </si>
  <si>
    <t>LT-CE0083</t>
  </si>
  <si>
    <t>LT-CE0084</t>
  </si>
  <si>
    <t>LT-CE0100</t>
  </si>
  <si>
    <t>LT-CE0100/1</t>
  </si>
  <si>
    <t>LT-CE0250</t>
  </si>
  <si>
    <t>LT-CE0250/1</t>
  </si>
  <si>
    <t>LT-CE9500</t>
  </si>
  <si>
    <t>LT-CE0100/2</t>
  </si>
  <si>
    <t>LT-CE0100/3</t>
  </si>
  <si>
    <t>LT-CE0100/4</t>
  </si>
  <si>
    <t>LT-CE0100/5</t>
  </si>
  <si>
    <t xml:space="preserve">LT-CE0101 </t>
  </si>
  <si>
    <t>LT-CE0102</t>
  </si>
  <si>
    <t>LT-CE0103</t>
  </si>
  <si>
    <t>LT-CE0104</t>
  </si>
  <si>
    <t>LT-CE0150</t>
  </si>
  <si>
    <t>LT-CE0151</t>
  </si>
  <si>
    <t>LT-CE0152</t>
  </si>
  <si>
    <t>LT-CE0153</t>
  </si>
  <si>
    <t>LT-CE0100/6</t>
  </si>
  <si>
    <t>LT-CE0100/7</t>
  </si>
  <si>
    <t>LT-CE0100/8</t>
  </si>
  <si>
    <t>LT-CE0100/9</t>
  </si>
  <si>
    <t>LT-CE0022</t>
  </si>
  <si>
    <t>LT-CE0025</t>
  </si>
  <si>
    <t>LT-CE0022/1</t>
  </si>
  <si>
    <t>LT-S0047</t>
  </si>
  <si>
    <t>LT-S0047/1</t>
  </si>
  <si>
    <t>LT-S0047/2</t>
  </si>
  <si>
    <t>LT-S0047/3</t>
  </si>
  <si>
    <t>LT-S0047/4</t>
  </si>
  <si>
    <t>LT-S0047/5</t>
  </si>
  <si>
    <t>LT-S0047/6</t>
  </si>
  <si>
    <t xml:space="preserve">LT-S0080 </t>
  </si>
  <si>
    <t>LT-S0175</t>
  </si>
  <si>
    <t>LT-S0018</t>
  </si>
  <si>
    <t>LT-S0019</t>
  </si>
  <si>
    <t>LT-S0500/4</t>
  </si>
  <si>
    <t>LT-S0020</t>
  </si>
  <si>
    <t>LT-S0021</t>
  </si>
  <si>
    <t>LT-S0022</t>
  </si>
  <si>
    <t xml:space="preserve">LT-S0100 </t>
  </si>
  <si>
    <t>LT-S0101</t>
  </si>
  <si>
    <t>LT-S0085</t>
  </si>
  <si>
    <t>LT-S0085/1</t>
  </si>
  <si>
    <t>LT-S0086</t>
  </si>
  <si>
    <t>LT-S0086/1</t>
  </si>
  <si>
    <t>LT-S0087</t>
  </si>
  <si>
    <t>LT-S0087/1</t>
  </si>
  <si>
    <t>LT-S0090</t>
  </si>
  <si>
    <t>LT-S0090/1</t>
  </si>
  <si>
    <t>LT-S0091</t>
  </si>
  <si>
    <t>LT-S0091/1</t>
  </si>
  <si>
    <t>LT-S0145</t>
  </si>
  <si>
    <t>LT-S0101/1</t>
  </si>
  <si>
    <t>LT-S0101/2</t>
  </si>
  <si>
    <t>LT-S0101/3</t>
  </si>
  <si>
    <t>LT-S0101/4</t>
  </si>
  <si>
    <t>LT-S0101/5</t>
  </si>
  <si>
    <t>LT-S0101/6</t>
  </si>
  <si>
    <t>LT-S0101/7</t>
  </si>
  <si>
    <t>LT-S0101/8</t>
  </si>
  <si>
    <t>LT-S0101/9</t>
  </si>
  <si>
    <t>LT-S0105</t>
  </si>
  <si>
    <t>LT-S0105/1</t>
  </si>
  <si>
    <t>LT-S0120</t>
  </si>
  <si>
    <t>LT-S0115</t>
  </si>
  <si>
    <t>LT-S0120/1</t>
  </si>
  <si>
    <t>LT-S0120/2</t>
  </si>
  <si>
    <t>LT-S0120/3</t>
  </si>
  <si>
    <t>LT-S0120/4</t>
  </si>
  <si>
    <t>LT-S0120/5</t>
  </si>
  <si>
    <t>LT-S0125</t>
  </si>
  <si>
    <t>LT-S0125/1</t>
  </si>
  <si>
    <t>LT-S0125/2</t>
  </si>
  <si>
    <t>LT-S0125/3</t>
  </si>
  <si>
    <t>LT-S0125/4</t>
  </si>
  <si>
    <t>LT-S0125/5</t>
  </si>
  <si>
    <t>LT-S0025</t>
  </si>
  <si>
    <t>LT-G0170</t>
  </si>
  <si>
    <t>LT-G0170/1</t>
  </si>
  <si>
    <t>LT-G0171</t>
  </si>
  <si>
    <t>LT-S0006</t>
  </si>
  <si>
    <t>LT-S0007</t>
  </si>
  <si>
    <t>LT-S0005/5</t>
  </si>
  <si>
    <t>LT-S0006/1</t>
  </si>
  <si>
    <t>LT-S0006/2</t>
  </si>
  <si>
    <t>LT-S0005</t>
  </si>
  <si>
    <t>LT-S0008</t>
  </si>
  <si>
    <t>LT-S0003</t>
  </si>
  <si>
    <t>LT-S0004</t>
  </si>
  <si>
    <t>LT-S0005/2</t>
  </si>
  <si>
    <t>LT-S0005/3</t>
  </si>
  <si>
    <t>LT-S0005/4</t>
  </si>
  <si>
    <t>LT-S0005/6</t>
  </si>
  <si>
    <t>LT-G0718</t>
  </si>
  <si>
    <t>LT-S1803</t>
  </si>
  <si>
    <t>LT-S0030</t>
  </si>
  <si>
    <t>LT-S0030/1</t>
  </si>
  <si>
    <t>LT-S0030/2</t>
  </si>
  <si>
    <t>LT-S0030/3</t>
  </si>
  <si>
    <t>LT-S0030/4</t>
  </si>
  <si>
    <t>LT-S0040</t>
  </si>
  <si>
    <t>LT-S0040/1</t>
  </si>
  <si>
    <t>LT-G0153</t>
  </si>
  <si>
    <t>LT-G0761</t>
  </si>
  <si>
    <t>LT-G0311</t>
  </si>
  <si>
    <t>LT-G0415</t>
  </si>
  <si>
    <t>LT-S0041</t>
  </si>
  <si>
    <t>LT-S0035</t>
  </si>
  <si>
    <t>LT-S0036</t>
  </si>
  <si>
    <t>LT-S0037</t>
  </si>
  <si>
    <t>LT-S0038</t>
  </si>
  <si>
    <t>LT-S0036/1</t>
  </si>
  <si>
    <t>LT-S0036/2</t>
  </si>
  <si>
    <t>LT-S0035/1</t>
  </si>
  <si>
    <t>LT-S0036/3</t>
  </si>
  <si>
    <t>LT-S0045</t>
  </si>
  <si>
    <t>LT-S0045/1</t>
  </si>
  <si>
    <t>LT-S0045/2</t>
  </si>
  <si>
    <t>LT-G0310</t>
  </si>
  <si>
    <t>LT-S0055</t>
  </si>
  <si>
    <t>LT-S0056</t>
  </si>
  <si>
    <t>LT-S0060</t>
  </si>
  <si>
    <t>LT-S0060/1</t>
  </si>
  <si>
    <t>LT-S0061</t>
  </si>
  <si>
    <t>LT-S0061/1</t>
  </si>
  <si>
    <t>LT-S0065</t>
  </si>
  <si>
    <t>LT-G0172</t>
  </si>
  <si>
    <t>LT-S0057</t>
  </si>
  <si>
    <t>LT-S0058</t>
  </si>
  <si>
    <t>LT-S0062</t>
  </si>
  <si>
    <t>LT-S0063</t>
  </si>
  <si>
    <t>LT-S0066</t>
  </si>
  <si>
    <t>LT-S0067</t>
  </si>
  <si>
    <t>LT-S0075</t>
  </si>
  <si>
    <t>LT-S0075/1</t>
  </si>
  <si>
    <t>LT-S0075/2</t>
  </si>
  <si>
    <t>LT-S0075/3</t>
  </si>
  <si>
    <t>LT-S0076</t>
  </si>
  <si>
    <t>LT-S0150</t>
  </si>
  <si>
    <t>LT-S0150/1</t>
  </si>
  <si>
    <t>LT-AZ0050</t>
  </si>
  <si>
    <t>LT-S0151</t>
  </si>
  <si>
    <t>LT-G0590</t>
  </si>
  <si>
    <t>LT-G0537</t>
  </si>
  <si>
    <t>LT-G0538</t>
  </si>
  <si>
    <t>LT-G0539</t>
  </si>
  <si>
    <t>LT-S0160</t>
  </si>
  <si>
    <t>LT-S0160/1</t>
  </si>
  <si>
    <t>LT-S0160/2</t>
  </si>
  <si>
    <t>LT-S0160/3</t>
  </si>
  <si>
    <t>LT-S0161</t>
  </si>
  <si>
    <t>LT-S0162</t>
  </si>
  <si>
    <t>LT-S0163</t>
  </si>
  <si>
    <t>LT-S0164</t>
  </si>
  <si>
    <t>LT-S0165</t>
  </si>
  <si>
    <t>LT-S0166</t>
  </si>
  <si>
    <t>LT-S0167</t>
  </si>
  <si>
    <t>LT-S0170</t>
  </si>
  <si>
    <t>LT-S0170/2</t>
  </si>
  <si>
    <t>LT-S0170/3</t>
  </si>
  <si>
    <t>LT-S0171</t>
  </si>
  <si>
    <t>LT-S0172</t>
  </si>
  <si>
    <t>LT-S0173</t>
  </si>
  <si>
    <t>LT-S0174</t>
  </si>
  <si>
    <t>LT-S0176</t>
  </si>
  <si>
    <t>LT-S0180</t>
  </si>
  <si>
    <t>LT-S0180/1</t>
  </si>
  <si>
    <t>LT-S0180/2</t>
  </si>
  <si>
    <t>LT-S0180/3</t>
  </si>
  <si>
    <t>LT-S0181</t>
  </si>
  <si>
    <t>LT-S0182</t>
  </si>
  <si>
    <t>LT-S0186</t>
  </si>
  <si>
    <t>LT-S0188</t>
  </si>
  <si>
    <t>LT-S0189</t>
  </si>
  <si>
    <t>LT-S0155</t>
  </si>
  <si>
    <t>LT-S0156</t>
  </si>
  <si>
    <t>LT-S0157</t>
  </si>
  <si>
    <t>LT-S0158</t>
  </si>
  <si>
    <t>LT-G8001</t>
  </si>
  <si>
    <t>LT-G8007</t>
  </si>
  <si>
    <t>LT-S0185</t>
  </si>
  <si>
    <t>LT-S0185/1</t>
  </si>
  <si>
    <t>LT-G8015</t>
  </si>
  <si>
    <t>LT-G8001/1</t>
  </si>
  <si>
    <t>LT-S0185/2</t>
  </si>
  <si>
    <t>LT-S0185/3</t>
  </si>
  <si>
    <t>LT-S0185/4</t>
  </si>
  <si>
    <t>LT-S0185/5</t>
  </si>
  <si>
    <t>LT-S0185/6</t>
  </si>
  <si>
    <t>LT-S0185/7</t>
  </si>
  <si>
    <t>LT-S0190</t>
  </si>
  <si>
    <t>LT-S0191</t>
  </si>
  <si>
    <t>LT-S0192</t>
  </si>
  <si>
    <t>LT-S0193</t>
  </si>
  <si>
    <t>LT-S0190/1</t>
  </si>
  <si>
    <t>LT-S0191/1</t>
  </si>
  <si>
    <t>LT-S0189/1</t>
  </si>
  <si>
    <t>LT-G9000</t>
  </si>
  <si>
    <t>LT-G9005</t>
  </si>
  <si>
    <t>LT-S0194</t>
  </si>
  <si>
    <t>LT-S0195</t>
  </si>
  <si>
    <t>LT-S0196</t>
  </si>
  <si>
    <t>LT-S0197</t>
  </si>
  <si>
    <t>LT-S0198</t>
  </si>
  <si>
    <t>LT-S0009</t>
  </si>
  <si>
    <t>LT-S0009/1</t>
  </si>
  <si>
    <t>LT-S0009/2</t>
  </si>
  <si>
    <t>LT-S0010</t>
  </si>
  <si>
    <t>LT-S0012</t>
  </si>
  <si>
    <t>LT-S0015</t>
  </si>
  <si>
    <t>LT-S0015/1</t>
  </si>
  <si>
    <t>LT-S0015/2</t>
  </si>
  <si>
    <t>LT-S0015/3</t>
  </si>
  <si>
    <t>LT-S0016</t>
  </si>
  <si>
    <t>LT-S0016/1</t>
  </si>
  <si>
    <t>LT-S0016/2</t>
  </si>
  <si>
    <t>LT-S0016/3</t>
  </si>
  <si>
    <t>LT-S0017</t>
  </si>
  <si>
    <t>LT-S0017/1</t>
  </si>
  <si>
    <t>LT-S0017/2</t>
  </si>
  <si>
    <t>LT-S0017/3</t>
  </si>
  <si>
    <t>LT-S0135</t>
  </si>
  <si>
    <t>LT-S0135/1</t>
  </si>
  <si>
    <t>LT-S0136</t>
  </si>
  <si>
    <t>LT-S0136/1</t>
  </si>
  <si>
    <t>LT-S0135/2</t>
  </si>
  <si>
    <t>LT-S0135/3</t>
  </si>
  <si>
    <t>LT-G0212</t>
  </si>
  <si>
    <t>LT-G0177</t>
  </si>
  <si>
    <t>LT-S0135/5</t>
  </si>
  <si>
    <t>LT-S0140</t>
  </si>
  <si>
    <t>LT-S0140/1</t>
  </si>
  <si>
    <t>LT-S0140/2</t>
  </si>
  <si>
    <t>LT-S0140/3</t>
  </si>
  <si>
    <t>LT-S0251</t>
  </si>
  <si>
    <t>LT-S0252</t>
  </si>
  <si>
    <t>LT-S0253</t>
  </si>
  <si>
    <t>LT-S0254</t>
  </si>
  <si>
    <t>LT-S0250/1</t>
  </si>
  <si>
    <t>LT-S0250/2</t>
  </si>
  <si>
    <t>LT-S0251/1</t>
  </si>
  <si>
    <t>LT-S0251/2</t>
  </si>
  <si>
    <t>LT-S0251/3</t>
  </si>
  <si>
    <t>LT-S0251/4</t>
  </si>
  <si>
    <t>LT-S0251/5</t>
  </si>
  <si>
    <t>LT-S0251/6</t>
  </si>
  <si>
    <t>LT-S0252/1</t>
  </si>
  <si>
    <t>LT-S0252/2</t>
  </si>
  <si>
    <t>LT-S0252/3</t>
  </si>
  <si>
    <t>LT-S0252/4</t>
  </si>
  <si>
    <t>LT-S0252/5</t>
  </si>
  <si>
    <t>LT-S0252/6</t>
  </si>
  <si>
    <t>LT-S0253/1</t>
  </si>
  <si>
    <t>LT-S0253/2</t>
  </si>
  <si>
    <t>LT-S0253/3</t>
  </si>
  <si>
    <t>LT-S0253/4</t>
  </si>
  <si>
    <t>LT-S0253/5</t>
  </si>
  <si>
    <t>LT-S0253/6</t>
  </si>
  <si>
    <t>LT-G8006</t>
  </si>
  <si>
    <t>LT-G8010</t>
  </si>
  <si>
    <t>LT-G8020</t>
  </si>
  <si>
    <t>LT-G8021</t>
  </si>
  <si>
    <t>LT-G8022</t>
  </si>
  <si>
    <t>LT-G8023</t>
  </si>
  <si>
    <t>LT-G8024</t>
  </si>
  <si>
    <t>LT-S0255</t>
  </si>
  <si>
    <t>LT-E0450</t>
  </si>
  <si>
    <t>LT-S0500</t>
  </si>
  <si>
    <t>LT-E0450/TX</t>
  </si>
  <si>
    <t>LT-S0500/10</t>
  </si>
  <si>
    <t>LT-G8030</t>
  </si>
  <si>
    <t>LT-S0320</t>
  </si>
  <si>
    <t>LT-S0325</t>
  </si>
  <si>
    <t>LT-G9010</t>
  </si>
  <si>
    <t>LT-S0500/1</t>
  </si>
  <si>
    <t>LT-S0500/2</t>
  </si>
  <si>
    <t>LT-S0500/3</t>
  </si>
  <si>
    <t>LT-S0500/5</t>
  </si>
  <si>
    <t>LT-S0300</t>
  </si>
  <si>
    <t>LT-S0301</t>
  </si>
  <si>
    <t>LT-S0302</t>
  </si>
  <si>
    <t>LT-S0303</t>
  </si>
  <si>
    <t>LT-S0305</t>
  </si>
  <si>
    <t>LT-S0306</t>
  </si>
  <si>
    <t>LT-S0307</t>
  </si>
  <si>
    <t>LT-S0308</t>
  </si>
  <si>
    <t>LT-S0310</t>
  </si>
  <si>
    <t>LT-S0311</t>
  </si>
  <si>
    <t>LT-S0312</t>
  </si>
  <si>
    <t>LT-S0313</t>
  </si>
  <si>
    <t>LT-S0315</t>
  </si>
  <si>
    <t>LT-S0316</t>
  </si>
  <si>
    <t>LT-S0317</t>
  </si>
  <si>
    <t>LT-S0318</t>
  </si>
  <si>
    <t>LT-S0330</t>
  </si>
  <si>
    <t>LT-S0331</t>
  </si>
  <si>
    <t>LT-S0332</t>
  </si>
  <si>
    <t>LT-S0333</t>
  </si>
  <si>
    <t>LT-S0334</t>
  </si>
  <si>
    <t>LT-S0335</t>
  </si>
  <si>
    <t>LT-S0336</t>
  </si>
  <si>
    <t>LT-S0337</t>
  </si>
  <si>
    <t>LT-S0338</t>
  </si>
  <si>
    <t>LT-S0339</t>
  </si>
  <si>
    <t>LT-S0340</t>
  </si>
  <si>
    <t>LT-S0350</t>
  </si>
  <si>
    <t>LT-S0351</t>
  </si>
  <si>
    <t>LT-S0352</t>
  </si>
  <si>
    <t>LT-S0353</t>
  </si>
  <si>
    <t>LT-S0354</t>
  </si>
  <si>
    <t>LT-S0355</t>
  </si>
  <si>
    <t>LT-S0356</t>
  </si>
  <si>
    <t>LT-S0357</t>
  </si>
  <si>
    <t>LT-S0358</t>
  </si>
  <si>
    <t>LT-S0359</t>
  </si>
  <si>
    <t>LT-S0360</t>
  </si>
  <si>
    <t>LT-S0370</t>
  </si>
  <si>
    <t>LT-S0371</t>
  </si>
  <si>
    <t>LT-S0372</t>
  </si>
  <si>
    <t>LT-S0373</t>
  </si>
  <si>
    <t>LT-S0374</t>
  </si>
  <si>
    <t>LT-S0375</t>
  </si>
  <si>
    <t>LT-S0376</t>
  </si>
  <si>
    <t>LT-S0377</t>
  </si>
  <si>
    <t>LT-S0378</t>
  </si>
  <si>
    <t>LT-S0379</t>
  </si>
  <si>
    <t>LT-S0380</t>
  </si>
  <si>
    <t>LT-S0390</t>
  </si>
  <si>
    <t>LT-S0391</t>
  </si>
  <si>
    <t>LT-S0392</t>
  </si>
  <si>
    <t>LT-S0393</t>
  </si>
  <si>
    <t>LT-S0394</t>
  </si>
  <si>
    <t>LT-S0395</t>
  </si>
  <si>
    <t>LT-S0396</t>
  </si>
  <si>
    <t>LT-S0397</t>
  </si>
  <si>
    <t>LT-S0398</t>
  </si>
  <si>
    <t>LT-S0399</t>
  </si>
  <si>
    <t>LT-S0400</t>
  </si>
  <si>
    <t>LT-S0260</t>
  </si>
  <si>
    <t>LT-G8025</t>
  </si>
  <si>
    <t>LT-S0265</t>
  </si>
  <si>
    <t>LT-S0265/1</t>
  </si>
  <si>
    <t>LT-S0265/2</t>
  </si>
  <si>
    <t>LT-S0265/3</t>
  </si>
  <si>
    <t>LT-S0265/4</t>
  </si>
  <si>
    <t>LT-S0265/5</t>
  </si>
  <si>
    <t>LT-S0265/6</t>
  </si>
  <si>
    <t>LT-S0265/7</t>
  </si>
  <si>
    <t>LT-S0265/8</t>
  </si>
  <si>
    <t>LT-S0270</t>
  </si>
  <si>
    <t>LT-S0270/1</t>
  </si>
  <si>
    <t>LT-S0270/2</t>
  </si>
  <si>
    <t>LT-S0270/3</t>
  </si>
  <si>
    <t>LT-S0270/4</t>
  </si>
  <si>
    <t>LT-S0270/5</t>
  </si>
  <si>
    <t>LT-S0270/6</t>
  </si>
  <si>
    <t>LT-S0270/7</t>
  </si>
  <si>
    <t>LT-S0270/8</t>
  </si>
  <si>
    <t>LT-S0275</t>
  </si>
  <si>
    <t>LT-S0275/1</t>
  </si>
  <si>
    <t>LT-S0275/2</t>
  </si>
  <si>
    <t>LT-S0275/3</t>
  </si>
  <si>
    <t>LT-S0275/4</t>
  </si>
  <si>
    <t>LT-S0275/5</t>
  </si>
  <si>
    <t>LT-S0275/6</t>
  </si>
  <si>
    <t>LT-S0275/7</t>
  </si>
  <si>
    <t>LT-S0275/8</t>
  </si>
  <si>
    <t>LT-S0280</t>
  </si>
  <si>
    <t>LT-S0280/1</t>
  </si>
  <si>
    <t>LT-S0280/2</t>
  </si>
  <si>
    <t>LT-S0280/3</t>
  </si>
  <si>
    <t>LT-S0280/4</t>
  </si>
  <si>
    <t>LT-S0280/5</t>
  </si>
  <si>
    <t>LT-S0280/6</t>
  </si>
  <si>
    <t>LT-S0280/7</t>
  </si>
  <si>
    <t>LT-S0280/8</t>
  </si>
  <si>
    <t>LT-S0285</t>
  </si>
  <si>
    <t>LT-S0285/1</t>
  </si>
  <si>
    <t>LT-S0285/2</t>
  </si>
  <si>
    <t>LT-S0285/3</t>
  </si>
  <si>
    <t>LT-S0285/4</t>
  </si>
  <si>
    <t>LT-S0285/5</t>
  </si>
  <si>
    <t>LT-S0285/6</t>
  </si>
  <si>
    <t>LT-S0285/7</t>
  </si>
  <si>
    <t>LT-S0285/8</t>
  </si>
  <si>
    <t>LT-S1261</t>
  </si>
  <si>
    <t>LT-S0262</t>
  </si>
  <si>
    <t>LT-S0600</t>
  </si>
  <si>
    <t>LT-S0600/1</t>
  </si>
  <si>
    <t>LT-S0700</t>
  </si>
  <si>
    <t>LT-S4253</t>
  </si>
  <si>
    <t>LT-S4253/1</t>
  </si>
  <si>
    <t>LT-S4253/2</t>
  </si>
  <si>
    <t>LT-S4253/3</t>
  </si>
  <si>
    <t>LT-S4253/4</t>
  </si>
  <si>
    <t>LT-G4000</t>
  </si>
  <si>
    <t>LT-G4001</t>
  </si>
  <si>
    <t>LT-G4006</t>
  </si>
  <si>
    <t>LT-G4010</t>
  </si>
  <si>
    <t>LT-G4015</t>
  </si>
  <si>
    <t>LT-G4016</t>
  </si>
  <si>
    <t>LT-G4017</t>
  </si>
  <si>
    <t>LT-G4018</t>
  </si>
  <si>
    <t>LT-G4027/1</t>
  </si>
  <si>
    <t>LT-G4027</t>
  </si>
  <si>
    <t>LT-G4028</t>
  </si>
  <si>
    <t>LT-G4037</t>
  </si>
  <si>
    <t>LT-G4038/1</t>
  </si>
  <si>
    <t>LT-G4038</t>
  </si>
  <si>
    <t>LT-G4039</t>
  </si>
  <si>
    <t>LT-G4045</t>
  </si>
  <si>
    <t>LT-G4046</t>
  </si>
  <si>
    <t>LT-G4047</t>
  </si>
  <si>
    <t>LT-G4048</t>
  </si>
  <si>
    <t>LT-G4049</t>
  </si>
  <si>
    <t>LT-G4050</t>
  </si>
  <si>
    <t>LT-G4060</t>
  </si>
  <si>
    <t>LT-G4061</t>
  </si>
  <si>
    <t>LT-G4062</t>
  </si>
  <si>
    <t>LT-G4063</t>
  </si>
  <si>
    <t>LT-G4064</t>
  </si>
  <si>
    <t>LT-G4065</t>
  </si>
  <si>
    <t>LT-G4075</t>
  </si>
  <si>
    <t>LT-G4076</t>
  </si>
  <si>
    <t>LT-G4077</t>
  </si>
  <si>
    <t>LT-G4078</t>
  </si>
  <si>
    <t>XM 50 Halojen</t>
  </si>
  <si>
    <t>XM 60 Halojen</t>
  </si>
  <si>
    <t>XM 60 HR 
Halojen</t>
  </si>
  <si>
    <t>XM 66 Halojen</t>
  </si>
  <si>
    <t>EM 120 HR 
Halojen</t>
  </si>
  <si>
    <t>LT-G9050</t>
  </si>
  <si>
    <t>LT-G9051</t>
  </si>
  <si>
    <t>LT-G9052</t>
  </si>
  <si>
    <t>LT-G9053</t>
  </si>
  <si>
    <t>LT-G9054</t>
  </si>
  <si>
    <t>LT-G9055</t>
  </si>
  <si>
    <t>LT-G9056</t>
  </si>
  <si>
    <t>LT-G9057</t>
  </si>
  <si>
    <t>LT-G9058</t>
  </si>
  <si>
    <t>LT-G9059</t>
  </si>
  <si>
    <t>LT-G9060</t>
  </si>
  <si>
    <t>LT-G9061</t>
  </si>
  <si>
    <t>LT-G9062</t>
  </si>
  <si>
    <t>LT-G9063</t>
  </si>
  <si>
    <t>LT-G9064</t>
  </si>
  <si>
    <t>LT-G9065</t>
  </si>
  <si>
    <t>LT-G9066</t>
  </si>
  <si>
    <t>LT-G9067</t>
  </si>
  <si>
    <t>LT-G9068</t>
  </si>
  <si>
    <t>LT-G9068/1</t>
  </si>
  <si>
    <t>LT-G9069</t>
  </si>
  <si>
    <t>LT-G9069/1</t>
  </si>
  <si>
    <t>LT-G9070</t>
  </si>
  <si>
    <t>LT-G9071</t>
  </si>
  <si>
    <t>LT-G9071/1</t>
  </si>
  <si>
    <t>LT-G9072</t>
  </si>
  <si>
    <t>LT-G9073</t>
  </si>
  <si>
    <t>LT-G9073/1</t>
  </si>
  <si>
    <t>LT-G9074</t>
  </si>
  <si>
    <t>LT-G9074/1</t>
  </si>
  <si>
    <t>LT-G9075</t>
  </si>
  <si>
    <t>LT-G9075/1</t>
  </si>
  <si>
    <t>LT-G9076</t>
  </si>
  <si>
    <t>LT-G9076/1</t>
  </si>
  <si>
    <t>LT-G9077</t>
  </si>
  <si>
    <t>LT-G9077/1</t>
  </si>
  <si>
    <t>LT-G9078</t>
  </si>
  <si>
    <t>LT-G9078/1</t>
  </si>
  <si>
    <t>LT-G9079</t>
  </si>
  <si>
    <t>LT-G9080</t>
  </si>
  <si>
    <t>LT-G9081</t>
  </si>
  <si>
    <t>LT-G9082</t>
  </si>
  <si>
    <t>LT-G9083</t>
  </si>
  <si>
    <t>LT-G9084</t>
  </si>
  <si>
    <t>LT-G9085</t>
  </si>
  <si>
    <t>LT-G9086</t>
  </si>
  <si>
    <t>LT-G9100</t>
  </si>
  <si>
    <t>LT-G9101</t>
  </si>
  <si>
    <t>LT-G9102</t>
  </si>
  <si>
    <t>LT-G9103</t>
  </si>
  <si>
    <t>LT-G9104</t>
  </si>
  <si>
    <t>LT-G9105</t>
  </si>
  <si>
    <t>LT-G9106</t>
  </si>
  <si>
    <t>LT-G9107</t>
  </si>
  <si>
    <t>LT-G9108</t>
  </si>
  <si>
    <t>LT-G9109</t>
  </si>
  <si>
    <t>LT-G9110</t>
  </si>
  <si>
    <t>LT-G9111</t>
  </si>
  <si>
    <t>LT-G9112</t>
  </si>
  <si>
    <t>LT-G9113</t>
  </si>
  <si>
    <t>LT-G9114</t>
  </si>
  <si>
    <t>LT-G9115</t>
  </si>
  <si>
    <t>LT-G9116</t>
  </si>
  <si>
    <t>LT-G9117</t>
  </si>
  <si>
    <t>LT-G9118</t>
  </si>
  <si>
    <t>LT-G9119</t>
  </si>
  <si>
    <t>LT-G9120</t>
  </si>
  <si>
    <t>LT-G9121</t>
  </si>
  <si>
    <t>LT-G9122</t>
  </si>
  <si>
    <t>LT-G9123</t>
  </si>
  <si>
    <t>LT-G9124</t>
  </si>
  <si>
    <t>LT-G9125</t>
  </si>
  <si>
    <t>LT-G9126</t>
  </si>
  <si>
    <t>LT-G9127</t>
  </si>
  <si>
    <t>LT-G9128</t>
  </si>
  <si>
    <t>LT-G9129</t>
  </si>
  <si>
    <t>LT-G9130</t>
  </si>
  <si>
    <t>LT-G9131</t>
  </si>
  <si>
    <t>LT-G9132</t>
  </si>
  <si>
    <t>LT-G9133</t>
  </si>
  <si>
    <t>LT-G9150</t>
  </si>
  <si>
    <t>LT-G9151</t>
  </si>
  <si>
    <t>LT-G9152</t>
  </si>
  <si>
    <t>LT-G9153</t>
  </si>
  <si>
    <t>LT-G9154</t>
  </si>
  <si>
    <t>LT-G9155</t>
  </si>
  <si>
    <t>LT-G9156</t>
  </si>
  <si>
    <t>LT-G9157</t>
  </si>
  <si>
    <t>LT-G9158</t>
  </si>
  <si>
    <t>LT-G9159</t>
  </si>
  <si>
    <t>LT-G9160</t>
  </si>
  <si>
    <t>LT-G9161</t>
  </si>
  <si>
    <t>LT-G9162</t>
  </si>
  <si>
    <t>LT-G9163</t>
  </si>
  <si>
    <t>LT-G9164</t>
  </si>
  <si>
    <t>LT-G9165</t>
  </si>
  <si>
    <t>LT-G9166</t>
  </si>
  <si>
    <t>LT-G9167</t>
  </si>
  <si>
    <t>LT-G9168</t>
  </si>
  <si>
    <t>LT-G9169</t>
  </si>
  <si>
    <t>LT-G9170</t>
  </si>
  <si>
    <t>LT-G9171</t>
  </si>
  <si>
    <t>LT-G9172</t>
  </si>
  <si>
    <t>LT-G9173</t>
  </si>
  <si>
    <t>LT-G0398</t>
  </si>
  <si>
    <t>LT-G0399</t>
  </si>
  <si>
    <t>LT-G0400</t>
  </si>
  <si>
    <t>LT-G0401</t>
  </si>
  <si>
    <t>LT-G0402</t>
  </si>
  <si>
    <t>LT-G0403</t>
  </si>
  <si>
    <t>LT-G0405</t>
  </si>
  <si>
    <t>LT-G0406</t>
  </si>
  <si>
    <t>LT-G0407</t>
  </si>
  <si>
    <t>LT-G0408</t>
  </si>
  <si>
    <t>LT-G0409</t>
  </si>
  <si>
    <t>LT-G0414</t>
  </si>
  <si>
    <t>LT-G0416</t>
  </si>
  <si>
    <t>LT-G0417</t>
  </si>
  <si>
    <t>LT-G0418</t>
  </si>
  <si>
    <t>LT-G0419</t>
  </si>
  <si>
    <t>LT-G0420</t>
  </si>
  <si>
    <t>LT-G0421</t>
  </si>
  <si>
    <t>LT-G0080</t>
  </si>
  <si>
    <t>LT-G0081</t>
  </si>
  <si>
    <t>LT-G0082</t>
  </si>
  <si>
    <t>LT-G0083</t>
  </si>
  <si>
    <t>LT-G0084</t>
  </si>
  <si>
    <t>LT-G0085</t>
  </si>
  <si>
    <t>LT-G0086</t>
  </si>
  <si>
    <t>LT-G0087</t>
  </si>
  <si>
    <t>LT-G0088</t>
  </si>
  <si>
    <t>LT-G0094</t>
  </si>
  <si>
    <t>LT-G0095</t>
  </si>
  <si>
    <t>LT-G0096</t>
  </si>
  <si>
    <t>LT-G0092</t>
  </si>
  <si>
    <t>LT-G0425</t>
  </si>
  <si>
    <t>LT-G0426</t>
  </si>
  <si>
    <t>LT-G0427</t>
  </si>
  <si>
    <t>LT-G0428</t>
  </si>
  <si>
    <t>LT-G0429</t>
  </si>
  <si>
    <t>LT-G0430</t>
  </si>
  <si>
    <t>LT-G0431</t>
  </si>
  <si>
    <t>LT-G0432</t>
  </si>
  <si>
    <t>LT-G0433</t>
  </si>
  <si>
    <t>LT-G0434</t>
  </si>
  <si>
    <t>LT-G0435</t>
  </si>
  <si>
    <t>LT-G0440</t>
  </si>
  <si>
    <t>LT-G0441</t>
  </si>
  <si>
    <t>LT-G0442</t>
  </si>
  <si>
    <t>LT-G0443</t>
  </si>
  <si>
    <t>LT-G0445</t>
  </si>
  <si>
    <t>LT-G0446</t>
  </si>
  <si>
    <t>LT-G0447</t>
  </si>
  <si>
    <t>LT-G0448</t>
  </si>
  <si>
    <t>LT-G0449</t>
  </si>
  <si>
    <t>LT-G0450</t>
  </si>
  <si>
    <t>LT-G0455</t>
  </si>
  <si>
    <t>LT-G0456</t>
  </si>
  <si>
    <t>LT-G0457</t>
  </si>
  <si>
    <t>LT-G0458</t>
  </si>
  <si>
    <t>LT-G0460</t>
  </si>
  <si>
    <t>LT-G0461</t>
  </si>
  <si>
    <t>LT-G0465</t>
  </si>
  <si>
    <t>LT-G0466</t>
  </si>
  <si>
    <t>LT-G0467</t>
  </si>
  <si>
    <t>LT-G0468</t>
  </si>
  <si>
    <t>LT-G0469</t>
  </si>
  <si>
    <t>LT-G0464</t>
  </si>
  <si>
    <t>LT-G0470</t>
  </si>
  <si>
    <t>LT-G0471</t>
  </si>
  <si>
    <t>LT-G0540</t>
  </si>
  <si>
    <t>LT-G0541</t>
  </si>
  <si>
    <t>LT-G0543</t>
  </si>
  <si>
    <t>LT-G0544</t>
  </si>
  <si>
    <t>LT-G0545</t>
  </si>
  <si>
    <t>LT-G0546</t>
  </si>
  <si>
    <t>LT-G0547</t>
  </si>
  <si>
    <t>LT-G0548</t>
  </si>
  <si>
    <t>LT-G0549</t>
  </si>
  <si>
    <t>LT-G0550</t>
  </si>
  <si>
    <t>LT-G0551</t>
  </si>
  <si>
    <t>LT-G0552</t>
  </si>
  <si>
    <t>LT-G0553</t>
  </si>
  <si>
    <t>LT-G0554</t>
  </si>
  <si>
    <t>LT-G0555</t>
  </si>
  <si>
    <t>LT-G0556</t>
  </si>
  <si>
    <t>LT-G0557</t>
  </si>
  <si>
    <t>LT-G0558</t>
  </si>
  <si>
    <t>LT-G0452</t>
  </si>
  <si>
    <t>LT-G0453</t>
  </si>
  <si>
    <t>LT-G0103</t>
  </si>
  <si>
    <t>LT-G0670</t>
  </si>
  <si>
    <t>LT-G0671</t>
  </si>
  <si>
    <t>LT-G0672</t>
  </si>
  <si>
    <t>LT-G0673</t>
  </si>
  <si>
    <t>LT-G0676</t>
  </si>
  <si>
    <t>LT-G0677</t>
  </si>
  <si>
    <t>LT-G0678</t>
  </si>
  <si>
    <t>LT-G0679</t>
  </si>
  <si>
    <t>LT-G0680</t>
  </si>
  <si>
    <t>LT-G0681</t>
  </si>
  <si>
    <t>LT-G0682</t>
  </si>
  <si>
    <t>LT-G0560</t>
  </si>
  <si>
    <t>LT-G0561</t>
  </si>
  <si>
    <t>LT-G0562</t>
  </si>
  <si>
    <t>LT-G0563</t>
  </si>
  <si>
    <t>LT-G0564</t>
  </si>
  <si>
    <t>LT-G0565</t>
  </si>
  <si>
    <t>LT-G0566</t>
  </si>
  <si>
    <t>LT-G0567</t>
  </si>
  <si>
    <t>LT-G0630</t>
  </si>
  <si>
    <t>LT-G0631</t>
  </si>
  <si>
    <t>LT-G0632</t>
  </si>
  <si>
    <t>LT-G0633</t>
  </si>
  <si>
    <t>LT-G0509</t>
  </si>
  <si>
    <t>LT-G0510</t>
  </si>
  <si>
    <t>LT-G0511</t>
  </si>
  <si>
    <t>LT-G0512</t>
  </si>
  <si>
    <t>LT-G0513</t>
  </si>
  <si>
    <t>LT-G0515</t>
  </si>
  <si>
    <t>LT-G0520</t>
  </si>
  <si>
    <t>LT-G0521</t>
  </si>
  <si>
    <t>LT-G0522</t>
  </si>
  <si>
    <t>LT-G0524</t>
  </si>
  <si>
    <t>LT-G0525</t>
  </si>
  <si>
    <t>LT-G0570</t>
  </si>
  <si>
    <t>LT-G0571</t>
  </si>
  <si>
    <t>LT-G0572</t>
  </si>
  <si>
    <t>LT-G0573</t>
  </si>
  <si>
    <t>LT-G0574</t>
  </si>
  <si>
    <t>LT-G0575</t>
  </si>
  <si>
    <t>LT-G0126</t>
  </si>
  <si>
    <t>LT-G0127</t>
  </si>
  <si>
    <t>LT-G0128</t>
  </si>
  <si>
    <t>LT-G0130</t>
  </si>
  <si>
    <t>LT-G0131</t>
  </si>
  <si>
    <t>LT-G0635</t>
  </si>
  <si>
    <t>LT-G0636</t>
  </si>
  <si>
    <t>LT-G0637</t>
  </si>
  <si>
    <t>LT-G0638</t>
  </si>
  <si>
    <t>LT-G0645</t>
  </si>
  <si>
    <t>LT-G0646</t>
  </si>
  <si>
    <t>LT-G0647</t>
  </si>
  <si>
    <t>LT-G0648</t>
  </si>
  <si>
    <t>LT-G0649</t>
  </si>
  <si>
    <t>LT-G0650</t>
  </si>
  <si>
    <t>LT-G0651</t>
  </si>
  <si>
    <t>LT-G0652</t>
  </si>
  <si>
    <t>LT-G0654</t>
  </si>
  <si>
    <t>LT-G0653</t>
  </si>
  <si>
    <t>LT-G0685</t>
  </si>
  <si>
    <t>LT-G0686</t>
  </si>
  <si>
    <t>LT-G0687</t>
  </si>
  <si>
    <t>LT-G0688</t>
  </si>
  <si>
    <t>LT-G0765</t>
  </si>
  <si>
    <t>LT-G0766</t>
  </si>
  <si>
    <t>LT-G0767</t>
  </si>
  <si>
    <t>LT-G0768</t>
  </si>
  <si>
    <t>LT-G0769</t>
  </si>
  <si>
    <t>LT-G0757</t>
  </si>
  <si>
    <t>LT-G0758</t>
  </si>
  <si>
    <t>LT-G0759</t>
  </si>
  <si>
    <t>LT-G0760</t>
  </si>
  <si>
    <t>LT-G0775</t>
  </si>
  <si>
    <t>LT-G0776</t>
  </si>
  <si>
    <t>LT-G0777</t>
  </si>
  <si>
    <t>LT-G0780</t>
  </si>
  <si>
    <t>LT-G0781</t>
  </si>
  <si>
    <t>LT-G0186</t>
  </si>
  <si>
    <t>LT-G0187</t>
  </si>
  <si>
    <t>LT-G0188</t>
  </si>
  <si>
    <t>LT-G0189</t>
  </si>
  <si>
    <t>LT-G0197</t>
  </si>
  <si>
    <t>LT-G0198</t>
  </si>
  <si>
    <t>LT-G0183</t>
  </si>
  <si>
    <t>LT-G0191</t>
  </si>
  <si>
    <t>LT-G0192</t>
  </si>
  <si>
    <t>LT-G0320</t>
  </si>
  <si>
    <t>LT-G0321</t>
  </si>
  <si>
    <t>LT-G0322</t>
  </si>
  <si>
    <t>LT-G0323</t>
  </si>
  <si>
    <t>LT-G0324</t>
  </si>
  <si>
    <t>LT-G0325</t>
  </si>
  <si>
    <t>LT-G0326</t>
  </si>
  <si>
    <t>LT-G0327</t>
  </si>
  <si>
    <t>LT-G0328</t>
  </si>
  <si>
    <t>LT-G0694</t>
  </si>
  <si>
    <t>LT-G0695</t>
  </si>
  <si>
    <t>LT-G0696</t>
  </si>
  <si>
    <t>LT-G0697</t>
  </si>
  <si>
    <t>LT-G0698</t>
  </si>
  <si>
    <t>LT-G0699</t>
  </si>
  <si>
    <t>LT-G0700</t>
  </si>
  <si>
    <t>LT-G0300</t>
  </si>
  <si>
    <t>LT-G0301</t>
  </si>
  <si>
    <t>LT-G0302</t>
  </si>
  <si>
    <t>LT-G0303</t>
  </si>
  <si>
    <t>LT-G0304</t>
  </si>
  <si>
    <t>LT-G0305</t>
  </si>
  <si>
    <t>LT-G0306</t>
  </si>
  <si>
    <t>LT-G0850</t>
  </si>
  <si>
    <t>LT-G0851</t>
  </si>
  <si>
    <t>LT-G0852</t>
  </si>
  <si>
    <t>LT-G0809</t>
  </si>
  <si>
    <t>LT-G0810</t>
  </si>
  <si>
    <t>LT-G0813</t>
  </si>
  <si>
    <t>LT-G0811</t>
  </si>
  <si>
    <t>LT-G0815</t>
  </si>
  <si>
    <t>LT-G0812</t>
  </si>
  <si>
    <t>LT-G0174</t>
  </si>
  <si>
    <t>LT-G0176</t>
  </si>
  <si>
    <t>LT-G0816</t>
  </si>
  <si>
    <t>LT-G0817</t>
  </si>
  <si>
    <t>LT-G0818</t>
  </si>
  <si>
    <t>LT-G0819</t>
  </si>
  <si>
    <t>LT-G0820</t>
  </si>
  <si>
    <t>LT-G0821</t>
  </si>
  <si>
    <t>LT-G0822</t>
  </si>
  <si>
    <t>LT-G0823</t>
  </si>
  <si>
    <t>LT-G0824</t>
  </si>
  <si>
    <t>LT-G0825</t>
  </si>
  <si>
    <t>LT-G0826</t>
  </si>
  <si>
    <t>LT-G0827</t>
  </si>
  <si>
    <t>LT-G0828</t>
  </si>
  <si>
    <t>LT-G0829</t>
  </si>
  <si>
    <t>LT-G0830</t>
  </si>
  <si>
    <t>LT-G0831</t>
  </si>
  <si>
    <t>LT-G0832</t>
  </si>
  <si>
    <t>LT-G0833</t>
  </si>
  <si>
    <t>LT-G0834</t>
  </si>
  <si>
    <t>LT-G0835</t>
  </si>
  <si>
    <t>LT-G0836</t>
  </si>
  <si>
    <t>LT-G0837</t>
  </si>
  <si>
    <t>LT-G0838</t>
  </si>
  <si>
    <t>LT-G0839</t>
  </si>
  <si>
    <t>LT-G0840</t>
  </si>
  <si>
    <t>LT-G0158</t>
  </si>
  <si>
    <t>LT-G0156</t>
  </si>
  <si>
    <t>LT-G0155</t>
  </si>
  <si>
    <t>LT-G0150</t>
  </si>
  <si>
    <t>LT-G0149</t>
  </si>
  <si>
    <t>LT-G0148</t>
  </si>
  <si>
    <t>LT-G0147</t>
  </si>
  <si>
    <t>LT-G0154</t>
  </si>
  <si>
    <t>LT-G0140</t>
  </si>
  <si>
    <t>LT-G0142</t>
  </si>
  <si>
    <t>LT-G0143</t>
  </si>
  <si>
    <t>LT-G0144</t>
  </si>
  <si>
    <t>LT-G0880</t>
  </si>
  <si>
    <t>LT-G0881</t>
  </si>
  <si>
    <t>LT-G0882</t>
  </si>
  <si>
    <t>LT-G0883</t>
  </si>
  <si>
    <t>LT-G0884</t>
  </si>
  <si>
    <t>LT-G0885</t>
  </si>
  <si>
    <t>LT-G0886</t>
  </si>
  <si>
    <t>LT-G0887</t>
  </si>
  <si>
    <t>LT-G0888</t>
  </si>
  <si>
    <t>LT-G0889</t>
  </si>
  <si>
    <t>LT-G0890</t>
  </si>
  <si>
    <t>LT-G0891</t>
  </si>
  <si>
    <t>LT-G0892</t>
  </si>
  <si>
    <t>LT-G0893</t>
  </si>
  <si>
    <t>LT-G0894</t>
  </si>
  <si>
    <t>LT-G0895</t>
  </si>
  <si>
    <t>LT-G0896</t>
  </si>
  <si>
    <t>LT-G0897</t>
  </si>
  <si>
    <t>LT-G0898</t>
  </si>
  <si>
    <t>LT-G0899</t>
  </si>
  <si>
    <t>LT-G0900</t>
  </si>
  <si>
    <t>LT-G0901</t>
  </si>
  <si>
    <t>LT-G0902</t>
  </si>
  <si>
    <t>LT-G0903</t>
  </si>
  <si>
    <t>LT-G0904</t>
  </si>
  <si>
    <t>LT-G0920</t>
  </si>
  <si>
    <t>LT-G0921</t>
  </si>
  <si>
    <t>LT-G0922</t>
  </si>
  <si>
    <t>LT-G0925</t>
  </si>
  <si>
    <t>LT-G0926</t>
  </si>
  <si>
    <t>LT-G0927</t>
  </si>
  <si>
    <t>LT-G0935</t>
  </si>
  <si>
    <t>LT-G0936</t>
  </si>
  <si>
    <t>LT-G0937</t>
  </si>
  <si>
    <t>LT-G0938</t>
  </si>
  <si>
    <t>LT-G0939</t>
  </si>
  <si>
    <t>LT-G0940</t>
  </si>
  <si>
    <t>LT-G0941</t>
  </si>
  <si>
    <t>LT-G0942</t>
  </si>
  <si>
    <t>LT-G0943</t>
  </si>
  <si>
    <t>LT-G0944</t>
  </si>
  <si>
    <t>LT-G0945</t>
  </si>
  <si>
    <t>LT-G0946</t>
  </si>
  <si>
    <t>LT-G0947</t>
  </si>
  <si>
    <t>LT-G0948</t>
  </si>
  <si>
    <t>LT-G0949</t>
  </si>
  <si>
    <t>LT-G0951</t>
  </si>
  <si>
    <t>LT-G0952</t>
  </si>
  <si>
    <t>LT-G0959</t>
  </si>
  <si>
    <t>LT-G0953</t>
  </si>
  <si>
    <t>LT-G0954</t>
  </si>
  <si>
    <t>LT-G0955</t>
  </si>
  <si>
    <t>LT-G0956</t>
  </si>
  <si>
    <t>LT-G0957</t>
  </si>
  <si>
    <t>LT-G0958</t>
  </si>
  <si>
    <t>LT-G0960</t>
  </si>
  <si>
    <t>LT-G0961</t>
  </si>
  <si>
    <t>LT-G0962</t>
  </si>
  <si>
    <t>LT-G0964</t>
  </si>
  <si>
    <t>LT-G0967</t>
  </si>
  <si>
    <t>LT-G0970</t>
  </si>
  <si>
    <t>LT-G0971</t>
  </si>
  <si>
    <t>LT-G0972</t>
  </si>
  <si>
    <t>LT-G0210</t>
  </si>
  <si>
    <t>LT-G0215</t>
  </si>
  <si>
    <t>LT-G0216</t>
  </si>
  <si>
    <t>LT-G0217</t>
  </si>
  <si>
    <t>LT-G0218</t>
  </si>
  <si>
    <t>LT-G0219</t>
  </si>
  <si>
    <t>LT-G0220</t>
  </si>
  <si>
    <t>LT-G0221</t>
  </si>
  <si>
    <t>LT-G0222</t>
  </si>
  <si>
    <t>LT-G0226</t>
  </si>
  <si>
    <t>LT-G0224</t>
  </si>
  <si>
    <t>LT-G0227</t>
  </si>
  <si>
    <t>LT-G0228</t>
  </si>
  <si>
    <t>LT-G0229</t>
  </si>
  <si>
    <t>LT-G9500</t>
  </si>
  <si>
    <t>LT-G9501</t>
  </si>
  <si>
    <t>LT-G0870</t>
  </si>
  <si>
    <t>LT-G0871</t>
  </si>
  <si>
    <t>LT-G0860</t>
  </si>
  <si>
    <t>LT-G0860/A</t>
  </si>
  <si>
    <t>LT-G0861</t>
  </si>
  <si>
    <t>LT-G0861/A</t>
  </si>
  <si>
    <t>LT-G0862</t>
  </si>
  <si>
    <t>LT-G0862/A</t>
  </si>
  <si>
    <t>LT-G0867</t>
  </si>
  <si>
    <t>LT-G0863</t>
  </si>
  <si>
    <t>LT-G0864</t>
  </si>
  <si>
    <t>LT-G0865</t>
  </si>
  <si>
    <t>LT-G0866</t>
  </si>
  <si>
    <t>LT-G0719</t>
  </si>
  <si>
    <t>LT-G0722</t>
  </si>
  <si>
    <t>LT-G0722/1</t>
  </si>
  <si>
    <t>LT-G0722/4</t>
  </si>
  <si>
    <t>LT-G0722/2</t>
  </si>
  <si>
    <t>LT-G0722/3</t>
  </si>
  <si>
    <t>LT-G0723</t>
  </si>
  <si>
    <t>LT-G0720</t>
  </si>
  <si>
    <t>LT-G0724</t>
  </si>
  <si>
    <t>LT-G0725</t>
  </si>
  <si>
    <t>LT-G0733</t>
  </si>
  <si>
    <t>LT-G0721/1</t>
  </si>
  <si>
    <t>LT-G0731</t>
  </si>
  <si>
    <t>LT-G0726</t>
  </si>
  <si>
    <t>LT-G0727</t>
  </si>
  <si>
    <t>LT-G0728</t>
  </si>
  <si>
    <t>LT-G0729</t>
  </si>
  <si>
    <t>LT-G0736</t>
  </si>
  <si>
    <t>LT-G0737</t>
  </si>
  <si>
    <t>LT-G0737/1</t>
  </si>
  <si>
    <t>LT-G0738</t>
  </si>
  <si>
    <t>LT-G0739</t>
  </si>
  <si>
    <t>LT-G0740</t>
  </si>
  <si>
    <t>LT-G0732</t>
  </si>
  <si>
    <t>LT-G0230</t>
  </si>
  <si>
    <t>LT-G0231</t>
  </si>
  <si>
    <t>LT-G0232</t>
  </si>
  <si>
    <t>LT-G0233</t>
  </si>
  <si>
    <t>LT-G0234</t>
  </si>
  <si>
    <t>LT-G0235</t>
  </si>
  <si>
    <t>LT-G0526</t>
  </si>
  <si>
    <t>LT-G0527</t>
  </si>
  <si>
    <t>LT-G0528</t>
  </si>
  <si>
    <t>LT-G0529</t>
  </si>
  <si>
    <t>LT-G0530</t>
  </si>
  <si>
    <t>LT-G0531</t>
  </si>
  <si>
    <t>LT-G0532</t>
  </si>
  <si>
    <t>LT-G0533</t>
  </si>
  <si>
    <t>LT-G0534</t>
  </si>
  <si>
    <t>LT-G0535</t>
  </si>
  <si>
    <t>LT-G0580</t>
  </si>
  <si>
    <t>LT-E6000</t>
  </si>
  <si>
    <t>LT-E0005</t>
  </si>
  <si>
    <t>LT-E0010</t>
  </si>
  <si>
    <t>LT-E0020</t>
  </si>
  <si>
    <t>LT-E0050</t>
  </si>
  <si>
    <t>LT-E0100</t>
  </si>
  <si>
    <t>LT-E0200</t>
  </si>
  <si>
    <t>LT-U0020</t>
  </si>
  <si>
    <t xml:space="preserve">LT-U0150 </t>
  </si>
  <si>
    <t xml:space="preserve">LT-U0300 </t>
  </si>
  <si>
    <t xml:space="preserve">LT-U0450 </t>
  </si>
  <si>
    <t>LT-M6000</t>
  </si>
  <si>
    <t>LT-C0900</t>
  </si>
  <si>
    <t>LT-C0135</t>
  </si>
  <si>
    <t>LT-A0090</t>
  </si>
  <si>
    <t>LT-A0090/1</t>
  </si>
  <si>
    <t>LT-A0091</t>
  </si>
  <si>
    <t>LT-A0092</t>
  </si>
  <si>
    <t>LT-A0094</t>
  </si>
  <si>
    <t>LT-A0099</t>
  </si>
  <si>
    <t>LT-A0099-8</t>
  </si>
  <si>
    <t>LT-A0099/09.00</t>
  </si>
  <si>
    <t>LT-A0099/10.00</t>
  </si>
  <si>
    <t>LT-A0099/11.00</t>
  </si>
  <si>
    <t>LT-A0099/12.00</t>
  </si>
  <si>
    <t>LT-A9600</t>
  </si>
  <si>
    <t>LT-A9650</t>
  </si>
  <si>
    <t>LT-A0068</t>
  </si>
  <si>
    <t>LT-A0068/1</t>
  </si>
  <si>
    <t>LT-A0074</t>
  </si>
  <si>
    <t>LT-A0058</t>
  </si>
  <si>
    <t>LT-A0058/1</t>
  </si>
  <si>
    <t>LT-A0058/3</t>
  </si>
  <si>
    <t>LT-A0058/2</t>
  </si>
  <si>
    <t>LT-A0069</t>
  </si>
  <si>
    <t>LT-A0069/1</t>
  </si>
  <si>
    <t>LT-A0073</t>
  </si>
  <si>
    <t>LT-A0071</t>
  </si>
  <si>
    <t>LT-A0071/1</t>
  </si>
  <si>
    <t>LT-A0071/2</t>
  </si>
  <si>
    <t>LT-A0071/3</t>
  </si>
  <si>
    <t>LT-A0071/4</t>
  </si>
  <si>
    <t>LT-A0607</t>
  </si>
  <si>
    <t>LT-M0606</t>
  </si>
  <si>
    <t>LT-M0606/1</t>
  </si>
  <si>
    <t>LT-M0606/2</t>
  </si>
  <si>
    <t>LT-M0607</t>
  </si>
  <si>
    <t>LT-M0608</t>
  </si>
  <si>
    <t>LT-M0610</t>
  </si>
  <si>
    <t>LT-A1020</t>
  </si>
  <si>
    <t>LT-A1021</t>
  </si>
  <si>
    <t>LT-M1020</t>
  </si>
  <si>
    <t xml:space="preserve">LT-A9900 </t>
  </si>
  <si>
    <t>LT-M0611</t>
  </si>
  <si>
    <t>LT-M0611/1</t>
  </si>
  <si>
    <t>LT-M0611/2</t>
  </si>
  <si>
    <t>LT-A0340</t>
  </si>
  <si>
    <t>LT-M0613</t>
  </si>
  <si>
    <t>LT-A0610</t>
  </si>
  <si>
    <t>LT-M0615</t>
  </si>
  <si>
    <t>LT-M0616</t>
  </si>
  <si>
    <t>LT-M0617</t>
  </si>
  <si>
    <t>LT-M0618</t>
  </si>
  <si>
    <t>LT-M0660</t>
  </si>
  <si>
    <t xml:space="preserve">LT-A0093 </t>
  </si>
  <si>
    <t>LT-M1566</t>
  </si>
  <si>
    <t>LT-A0999</t>
  </si>
  <si>
    <t>LT-M0075</t>
  </si>
  <si>
    <t>LT-M0100</t>
  </si>
  <si>
    <t>LT-U0200</t>
  </si>
  <si>
    <t>LT-M0026</t>
  </si>
  <si>
    <t>LT-M0028</t>
  </si>
  <si>
    <t>LT-M0029</t>
  </si>
  <si>
    <t>LT-M0030</t>
  </si>
  <si>
    <t>LT-M0032</t>
  </si>
  <si>
    <t>LT-M0033</t>
  </si>
  <si>
    <t>LT-M0034</t>
  </si>
  <si>
    <t>LT-M0035</t>
  </si>
  <si>
    <t>LT-M0036</t>
  </si>
  <si>
    <t>LT-M0037</t>
  </si>
  <si>
    <t>LT-M0038</t>
  </si>
  <si>
    <t>LT-M0256</t>
  </si>
  <si>
    <t>LT-A9750</t>
  </si>
  <si>
    <t>LT-A9760</t>
  </si>
  <si>
    <t>LT-A9780</t>
  </si>
  <si>
    <t>LT-A9781</t>
  </si>
  <si>
    <t>LT-A9782</t>
  </si>
  <si>
    <t>LT-A9783</t>
  </si>
  <si>
    <t>LT-A1606</t>
  </si>
  <si>
    <t>LT-M1975</t>
  </si>
  <si>
    <t>LT-M3350</t>
  </si>
  <si>
    <t>LT-M3351</t>
  </si>
  <si>
    <t>LT-M3352</t>
  </si>
  <si>
    <t>LT-M3353</t>
  </si>
  <si>
    <t>LT-M3354</t>
  </si>
  <si>
    <t>LT-M0055</t>
  </si>
  <si>
    <t>LT-M0350</t>
  </si>
  <si>
    <t>LT-M1297</t>
  </si>
  <si>
    <t>LT-M1298</t>
  </si>
  <si>
    <t>LT-M1299</t>
  </si>
  <si>
    <t>LT-A0615</t>
  </si>
  <si>
    <t>LT-A0620</t>
  </si>
  <si>
    <t>LT-M1520</t>
  </si>
  <si>
    <t>LT-M1525</t>
  </si>
  <si>
    <t>LT-M0257</t>
  </si>
  <si>
    <t>LT-M0258</t>
  </si>
  <si>
    <t>LT-M0259</t>
  </si>
  <si>
    <t>LT-M0260</t>
  </si>
  <si>
    <t>LT-M0261</t>
  </si>
  <si>
    <t>LT-M0262</t>
  </si>
  <si>
    <t>LT-M0263</t>
  </si>
  <si>
    <t>LT-M0264</t>
  </si>
  <si>
    <t>LT-M0265</t>
  </si>
  <si>
    <t>LT-M0266</t>
  </si>
  <si>
    <t>LT-M0267</t>
  </si>
  <si>
    <t>LT-M0268</t>
  </si>
  <si>
    <t>LT-M0269</t>
  </si>
  <si>
    <t>LT-M0270</t>
  </si>
  <si>
    <t>LT-M0271</t>
  </si>
  <si>
    <t>LT-M0272</t>
  </si>
  <si>
    <t>LT-M0273</t>
  </si>
  <si>
    <t>LT-M0274</t>
  </si>
  <si>
    <t>LT-M0275</t>
  </si>
  <si>
    <t>Belli Değil</t>
  </si>
  <si>
    <t>Laboratuar Etüvü, 30 litre kapasiteli, 
ortam sıcaklığı ile 200°C  ±2°C arasında, PID dijital kontrol sistemli, Güvenlik termostatlı, Dahili Hava Sirkülasyon Sistemli, İç Yüzey Yapısı : Paslanmaz Çelik İç Hazne, Dış Yüzey Yapısı : Elektrostatik Toz Boyalı Çelik, 2 adet ayarlanabilir raf ile birlikte verilmektedir. 220 V, 50-60 Hz, 1 ph</t>
  </si>
  <si>
    <t>Laboratuar Etüvü, 50 litre kapasiteli, 
ortam sıcaklığı ile 200°C  ±2°C arasında, PID dijital kontrol sistemli, Güvenlik termostatlı, Dahili Hava Sirkülasyon Sistemli, İç Yüzey Yapısı : Paslanmaz Çelik İç Hazne, Dış Yüzey Yapısı : Elektrostatik Toz Boyalı Çelik, 2 adet ayarlanabilir raf ile birlikte verilmektedir. 220 V, 50-60 Hz, 1 ph</t>
  </si>
  <si>
    <t>Laboratuar Etüvü, 120 litre kapasiteli, 
ortam sıcaklığı ile 200°C  ±2°C arasında, PID dijital kontrol sistemli, Güvenlik termostatlı, Dahili Hava Sirkülasyon Sistemli, İç Yüzey Yapısı : Paslanmaz Çelik İç Hazne, Dış Yüzey Yapısı : Elektrostatik Toz Boyalı Çelik, 2 adet ayarlanabilir raf ile birlikte verilmektedir. 
220 V, 50-60 Hz, 1 ph</t>
  </si>
  <si>
    <t>Laboratuar Etüvü, 120 litre kapasiteli, 
ortam sıcaklığı ile 300°C  ±2°C arasında, PID dijital kontrol sistemli, Güvenlik termostatlı, Dahili Hava Sirkülasyon Sistemli, İç Yüzey Yapısı : Paslanmaz Çelik İç Hazne, Dış Yüzey Yapısı : Elektrostatik Toz Boyalı Çelik, 2 adet ayarlanabilir raf ile birlikte verilmektedir. 220 V, 50-60 Hz, 1 ph</t>
  </si>
  <si>
    <t>Laboratuar Etüvü, 250 litre kapasiteli, 
ortam sıcaklığı ile 200°C  ±2°C arasında, PID dijital kontrol sistemli, Güvenlik termostatlı, Dahili Hava Sirkülasyon Sistemli, İç Yüzey Yapısı : Paslanmaz Çelik İç Hazne, Dış Yüzey Yapısı : Elektrostatik Toz Boyalı Çelik, 3 adet ayarlanabilir raf ile birlikte verilmektedir. 220 V, 50-60 Hz, 1 ph</t>
  </si>
  <si>
    <t>Laboratuar Etüvü, 250 litre kapasiteli, 
ortam sıcaklığı ile 300°C  ±2°C arasında, PID dijital kontrol sistemli, Güvenlik termostatlı, Dahili Hava Sirkülasyon Sistemli, İç Yüzey Yapısı : Paslanmaz Çelik İç Hazne, Dış Yüzey Yapısı : Elektrostatik Toz Boyalı Çelik, 3 adet ayarlanabilir raf ile birlikte verilmektedir. 220 V, 50-60 Hz, 1 ph</t>
  </si>
  <si>
    <t>Laboratuar Etüvü, 500 litre kapasiteli, 
ortam sıcaklığı ile 200°C  ±2°C arasında, PID dijital kontrol sistemli, Güvenlik termostatlı, Dahili Hava Sirkülasyon Sistemli, İç Yüzey Yapısı : Paslanmaz Çelik İç Hazne, Dış Yüzey Yapısı : Elektrostatik Toz Boyalı Çelik, 4 adet ayarlanabilir raf ile birlikte verilmektedir. 380 V, 50-60 Hz, 3 ph</t>
  </si>
  <si>
    <t>Laboratuar Etüvü, 500 litre kapasiteli, 
ortam sıcaklığı ile 300°C  ±2°C arasında, PID dijital kontrol sistemli, Güvenlik termostatlı, Dahili Hava Sirkülasyon Sistemli, İç Yüzey Yapısı : Paslanmaz Çelik İç Hazne, Dış Yüzey Yapısı : Elektrostatik Toz Boyalı Çelik, 4 adet ayarlanabilir raf ile birlikte verilmektedir. 380 V, 50-60 Hz, 3 ph</t>
  </si>
  <si>
    <t>Laboratuar Etüvü, 700 litre kapasiteli, 
ortam sıcaklığı ile 200°C  ±2°C arasında, PID dijital kontrol sistemli, Güvenlik termostatlı, Dahili Hava Sirkülasyon Sistemli, İç Yüzey Yapısı : Paslanmaz Çelik İç Hazne, Dış Yüzey Yapısı : Elektrostatik Toz Boyalı Çelik, 4 adet ayarlanabilir raf ile birlikte verilmektedir. 380 V, 50-60 Hz, 3 ph</t>
  </si>
  <si>
    <t>Laboratuar Etüvü, 700 litre kapasiteli, 
ortam sıcaklığı ile 300°C  ±2°C arasında, PID dijital kontrol sistemli, Güvenlik termostatlı, Dahili Hava Sirkülasyon Sistemli, İç Yüzey Yapısı : Paslanmaz Çelik İç Hazne, Dış Yüzey Yapısı : Elektrostatik Toz Boyalı Çelik, 4 adet ayarlanabilir raf ile birlikte verilmektedir. 380 V, 50-60 Hz, 3 ph</t>
  </si>
  <si>
    <t>Laboratuar Etüvü, 1000 litre kapasiteli, 
ortam sıcaklığı ile 200°C  ±2°C arasında, PID dijital kontrol sistemli, Güvenlik termostatlı, Dahili Hava Sirkülasyon Sistemli, İç Yüzey Yapısı : Paslanmaz Çelik İç Hazne, Dış Yüzey Yapısı : Elektrostatik Toz Boyalı Çelik, 5 adet ayarlanabilir raf ile birlikte verilmektedir. 380 V, 50-60 Hz, 3 ph</t>
  </si>
  <si>
    <t>Laboratuar Etüvü, 4600 litre kapasiteli, 
ortam sıcaklığı ile 200°C  ±2°C arasında, PID dijital kontrol sistemli, Güvenlik termostatlı, Dahili Hava Sirkülasyon Sistemli, İç Yüzey Yapısı : Paslanmaz Çelik İç Hazne, Dış Yüzey Yapısı : Elektrostatik Toz Boyalı Çelik, 2 adet etüv arabası ile birlikte verilmektedir. 380 V, 50-60 Hz, 3 ph</t>
  </si>
  <si>
    <t>Etüv Resiztans</t>
  </si>
  <si>
    <t>Etüv Fan Motoru</t>
  </si>
  <si>
    <t>Kül Fırını;
Kullanılır hacim: 4 litre
Sıcaklık Çalısma Aralığı : 1100 ºC
Kontrol Sistemi : PID &amp; MP
Sıcaklık Hassasiyeti : ± 2 ºC
İç yüzey Yapısı : Fiber Plaka ve Ates Tuğlası
Dış Yüzey Yapısı : Elektrostatik Toz Boyalı Çelik
220 V, 50-60 Hz, 1 ph</t>
  </si>
  <si>
    <t>Kül Fırını;
Kullanılır hacim: 7 litre
Sıcaklık Çalısma Aralığı : 1100 ºC
Kontrol Sistemi : PID &amp; MP
Sıcaklık Hassasiyeti : ± 2 ºC
İç yüzey Yapısı : Fiber Plaka ve Ates Tuğlası
Dış Yüzey Yapısı : Elektrostatik Toz Boyalı Çelik
220 V, 50-60 Hz, 1 ph</t>
  </si>
  <si>
    <t>Kül Fırını;
Kullanılır hacim: 10 litre
Sıcaklık Çalısma Aralığı : 1100 ºC
Kontrol Sistemi : PID &amp; MP
Sıcaklık Hassasiyeti : ± 2 ºC
İç yüzey Yapısı : Fiber Plaka ve Ates Tuğlası
Dış Yüzey Yapısı : Elektrostatik Toz Boyalı Çelik
380 V, 50-60 Hz, 3 ph</t>
  </si>
  <si>
    <t>Kül Fırını;
Kullanılır hacim: 20 litre
Sıcaklık Çalısma Aralığı : 1100 ºC
Kontrol Sistemi : PID &amp; MP
Sıcaklık Hassasiyeti : ± 2 ºC
İç yüzey Yapısı : Fiber Plaka ve Ates Tuğlası
Dış Yüzey Yapısı : Elektrostatik Toz Boyalı Çelik
380 V, 50-60 Hz, 3 ph</t>
  </si>
  <si>
    <t>Kül Fırını;
Kullanılır hacim: 45 litre
Sıcaklık Çalısma Aralığı : 1100 ºC
Kontrol Sistemi : PID &amp; MP
Sıcaklık Hassasiyeti : ± 2 ºC
İç yüzey Yapısı : Fiber Plaka ve Ates Tuğlası
Dış Yüzey Yapısı : Elektrostatik Toz Boyalı Çelik
380 V, 50-60 Hz, 3 ph</t>
  </si>
  <si>
    <t>Kül Fırını;
Kullanılır hacim: 4 litre
Sıcaklık Çalısma Aralığı : 1200 ºC
Kontrol Sistemi : PID &amp; MP
Sıcaklık Hassasiyeti : ± 2 ºC
İç yüzey Yapısı : Fiber Plaka ve Ates Tuğlası
Dış Yüzey Yapısı : Elektrostatik Toz Boyalı Çelik
220 V, 50-60 Hz, 1 ph</t>
  </si>
  <si>
    <t>Kül Fırını;
Kullanılır hacim: 7 litre
Sıcaklık Çalısma Aralığı : 1200 ºC
Kontrol Sistemi : PID &amp; MP
Sıcaklık Hassasiyeti : ± 2 ºC
İç yüzey Yapısı : Fiber Plaka ve Ates Tuğlası
Dış Yüzey Yapısı : Elektrostatik Toz Boyalı Çelik
220 V, 50-60 Hz, 1 ph</t>
  </si>
  <si>
    <t>Kül Fırını;
Kullanılır hacim: 10 litre
Sıcaklık Çalısma Aralığı : 1200 ºC
Kontrol Sistemi : PID &amp; MP
Sıcaklık Hassasiyeti : ± 2 ºC
İç yüzey Yapısı : Fiber Plaka ve Ates Tuğlası
Dış Yüzey Yapısı : Elektrostatik Toz Boyalı Çelik
220 V, 50-60 Hz, 1 ph</t>
  </si>
  <si>
    <t>Kül Fırını;
Kullanılır hacim: 20 litre
Sıcaklık Çalısma Aralığı : 1200 ºC
Kontrol Sistemi : PID &amp; MP
Sıcaklık Hassasiyeti : ± 2 ºC
İç yüzey Yapısı : Fiber Plaka ve Ates Tuğlası
Dış Yüzey Yapısı : Elektrostatik Toz Boyalı Çelik
220 V, 50-60 Hz, 1 ph</t>
  </si>
  <si>
    <t>Kül Fırını;
Kullanılır hacim: 45 litre
Sıcaklık Çalısma Aralığı : 1200 ºC
Kontrol Sistemi : PID &amp; MP
Sıcaklık Hassasiyeti : ± 2 ºC
İç yüzey Yapısı : Fiber Plaka ve Ates Tuğlası
Dış Yüzey Yapısı : Elektrostatik Toz Boyalı Çelik
380 V, 50-60 Hz, 3 ph</t>
  </si>
  <si>
    <t>Dijital Elektrikli Ocak– Hot Plate
Dış Yüzey Ölçüleri : 30x30
Sıcaklık Çalışma Aralığı : Ortam sıcaklıgı ile 350°C
Kontrol Sistemi : PID Dijital Termostat
Sıcaklık Hassasiyeti : ± 2 ºC
Isıtma Tablası : Döküm / Kumlama Sac
Dış Yüzey Yapısı : Elektrostatik Toz Boyalı Çelik
Güç Değerleri : 220 V, 50 Hz, 1 ph</t>
  </si>
  <si>
    <t>Dijital Elektrikli Ocak– Hot Plate
Dış Yüzey Ölçüleri : 30x60
Sıcaklık Çalışma Aralığı : Ortam sıcaklıgı ile 350°C
Kontrol Sistemi : PID Dijital Termostat
Sıcaklık Hassasiyeti : ± 2 ºC
Isıtma Tablası : Döküm / Kumlama Sac
Dış Yüzey Yapısı : Elektrostatik Toz Boyalı Çelik
Güç Değerleri : 220 V, 50 Hz, 1 ph</t>
  </si>
  <si>
    <t>Dijital Elektrikli Ocak– Hot Plate
Dış Yüzey Ölçüleri : 40x40
Sıcaklık Çalışma Aralığı : Ortam sıcaklıgı ile 350°C
Kontrol Sistemi : PID Dijital Termostat
Sıcaklık Hassasiyeti : ± 2 ºC
Isıtma Tablası : Döküm / Kumlama Sac
Dış Yüzey Yapısı : Elektrostatik Toz Boyalı Çelik
Güç Değerleri : 220 V, 50 Hz, 1 ph</t>
  </si>
  <si>
    <t>Tekli Elektrikli Ocak, 1500 Watt, Analog Termostatlı</t>
  </si>
  <si>
    <t>Çift Gözlü Elektrikli Ocak, 1000+1500 Watt, Analog Termostatlı</t>
  </si>
  <si>
    <t>Analog Isıtıcılı Manyetik Karıştırıcı. 
380°C'ye kadar ısıtma özelliği, 80-1500 devir/dakika hız. 20 litre karıştırma kapasiteli, Hız ve Sıcaklık Ayarı Analog. Seramik kaplı tabla, 190 x 190 mm tabla boyutu, , 600 W, 2 adet manyetik balık ile birlikte.</t>
  </si>
  <si>
    <t>Dijital Isıtıcılı Manyetik Karıştırıcı. 
380°C'ye kadar ısıtma özelliği, 80-1500 devir/dakika hız. 20 litre karıştırma kapasiteli, Hız ve Sıcaklık Ayarı Analog. Seramik kaplı tabla, 190 x 190 mm tabla boyutu, , 600 W, 2 adet manyetik balık ile birlikte.</t>
  </si>
  <si>
    <t xml:space="preserve">ÇEKER OCAK </t>
  </si>
  <si>
    <t>Kurutma Makinası, 220 V, 50-60 Hz, 1 ph</t>
  </si>
  <si>
    <t>Sıcak Hava Tabancası, 250/500 lt/dak - 350/550°C 
230 V, 50-60 Hz, 1 ph</t>
  </si>
  <si>
    <t>Mikrodalga Fırın, 17 L kapasiteli, max 250 °C, 100 dakikaya ayarlanabilir mekanik program saati, döner cam tepsi ve döner destek aparatı. 220 V, 50-60 Hz, 1 ph</t>
  </si>
  <si>
    <t>Hızlı Nem Tayin Cihazı(Speedy Moisture Test), Arazi koşullarında toz, karışım ve hamur haldeki toprak, kum, kil, agrega ve diğer granüler malzemelerin nem içeriklerini hızlı ve doğru tespit eder. Kapasite: 20 gr. Hassas Terazisi, ölçüm kaşığı ve kabı, 1 kutu kalsiyum karpit tepkileyici, temizleme fırçası, ahşap muhafazası ile birlikte set olarak verilmektedir.</t>
  </si>
  <si>
    <t>Desikatör; 210 mm çapında</t>
  </si>
  <si>
    <t>Desikatör; 240 mm çapında</t>
  </si>
  <si>
    <t>Desikatör; 300 mm çapında</t>
  </si>
  <si>
    <t>Desikatör; 210 mm çapında, vakum tip</t>
  </si>
  <si>
    <t>Desikatör; 240 mm çapında, vakum tip</t>
  </si>
  <si>
    <t>Desikatör; 300 mm çapında, vakum tip</t>
  </si>
  <si>
    <t>Dijital Agrega Rutubet Ölçer. 1 m ölçüm probu. Ölçüm Süresi: 2 saniye, Sıcaklık Aralığı: -20 to 60 C. Sıcaklık Kararlılığı: 0.1°C, Sıcaklık Hassasiyeti: &lt;0.5°C, Nem Aralığı:  0-25%, Nem Kararlılığı: ±0.1%, Nem Hassasiyeti:  Okumanın ±0.5%,'i. Batarya: 4x1.5V AA alkali pil. Ağırlık: 1500 g</t>
  </si>
  <si>
    <t>Tel Çubuklu Yassılık Elek Seti,  EN 933-3 standardında, sac çerçeve, paslanmaz çelik çubuklu, çubuklar arası 2,50, 3,15, 4,00, 5,00, 6,30, 8,00, 10,00, 12,50, 16,00, 20,00, 25,00, 31,50, 40,00 mm açıklık</t>
  </si>
  <si>
    <t>Tel Çubuklu Yassılık Eleği , metal çerçeve, çelik çubuklu 2,5 mm açıklığında</t>
  </si>
  <si>
    <t>Tel Çubuklu Yassılık Eleği , metal çerçeve, çelik çubuklu 3,15 mm açıklığında</t>
  </si>
  <si>
    <t>Tel Çubuklu Yassılık Eleği , metal çerçeve, çelik çubuklu 4 mm açıklığında</t>
  </si>
  <si>
    <t>Tel Çubuklu Yassılık Eleği , metal çerçeve, çelik çubuklu 5 mm açıklığında</t>
  </si>
  <si>
    <t>Tel Çubuklu Yassılık Eleği , metal çerçeve, çelik çubuklu 6,3 mm açıklığında</t>
  </si>
  <si>
    <t>Tel Çubuklu Yassılık Eleği , metal çerçeve, çelik çubuklu 8 mm açıklığında</t>
  </si>
  <si>
    <t>Tel Çubuklu Yassılık Eleği , metal çerçeve, çelik çubuklu 10 mm açıklığında</t>
  </si>
  <si>
    <t>Tel Çubuklu Yassılık Eleği , metal çerçeve, çelik çubuklu 12,5 mm açıklığında</t>
  </si>
  <si>
    <t>Tel Çubuklu Yassılık Eleği , metal çerçeve, çelik çubuklu 16 mm açıklığında</t>
  </si>
  <si>
    <t xml:space="preserve">Tel Çubuklu Yassılık Eleği , metal çerçeve, çelik çubuklu 20 mm açıklığında </t>
  </si>
  <si>
    <t xml:space="preserve">Tel Çubuklu Yassılık Eleği , metal çerçeve, çelik çubuklu 25 mm açıklığında </t>
  </si>
  <si>
    <t>Tel Çubuklu Yassılık Eleği , metal çerçeve, çelik çubuklu 31,5 mm açıklığında</t>
  </si>
  <si>
    <t>Tel Çubuklu Yassılık Eleği , metal çerçeve, çelik çubuklu 40 mm açıklığında</t>
  </si>
  <si>
    <t>Tel Çubuklu Yassılık Eleği , metal çerçeve, çelik çubuklu 50 mm açıklığında</t>
  </si>
  <si>
    <t>Yassılık Elek Seti, BS 812 standardında, dikdörtgen tepsi şekilli, 4,9x30, 7,2x40, 10,2x50 , 14,4x60, 19,7x70,  26,3x80, 33,9x100 mm. yarıklı ölçülerden oluşan 7 adet elek</t>
  </si>
  <si>
    <t>Yassılık Eleği 4,9x30mm göz açıklığında</t>
  </si>
  <si>
    <t>Yassılık Eleği 7,2x40mm göz açıklığında</t>
  </si>
  <si>
    <t>Yassılık Eleği 10,2x50mm göz açıklığında</t>
  </si>
  <si>
    <t>Yassılık Eleği 14,4x60mm göz açıklığında</t>
  </si>
  <si>
    <t>Yassılık Eleği 19,7x70mm göz açıklığında</t>
  </si>
  <si>
    <t>Yassılık Eleği 26,3x80mm göz açıklığında</t>
  </si>
  <si>
    <t>Yassılık Eleği 33,9x100mm göz açıklığında</t>
  </si>
  <si>
    <t>Yıkama Eleği, Ø200x100mm derinlik, paslanmaz çelik kasnak ve elek teli, örgü tel, 6.3 mm göz açıklığı</t>
  </si>
  <si>
    <t>Yıkama Eleği, Ø200x100mm derinlik, paslanmaz çelik kasnak ve elek teli, örgü tel, 4,75 mm (#4) göz açıklığı</t>
  </si>
  <si>
    <t>Yıkama Eleği, Ø200x100mm derinlik, paslanmaz çelik kasnak ve elek teli, örgü tel, 2 mm (#10) göz açıklığı</t>
  </si>
  <si>
    <t>Yıkama Eleği, Ø200x100mm derinlik, paslanmaz çelik kasnak ve elek teli, örgü tel, 425µm (#40) göz açıklığı</t>
  </si>
  <si>
    <t>Yıkama Eleği, Ø200x100mm derinlik, paslanmaz çelik kasnak ve elek teli, örgü tel, 75µm (#200) göz açıklığı</t>
  </si>
  <si>
    <t>Yıkama Eleği, Ø200x100mm derinlik, paslanmaz çelik kasnak ve elek teli, örgü tel, 63µm (#230) göz açıklığı</t>
  </si>
  <si>
    <t>Yıkama Eleği, Ø300x100mm derinlik, paslanmaz çelik kasnak ve elek teli, örgü tel, 6.3 mm göz açıklığı</t>
  </si>
  <si>
    <t>Yıkama Eleği, Ø300x100mm derinlik, paslanmaz çelik kasnak ve elek teli, örgü tel, 4,75 mm (#4) göz açıklığı</t>
  </si>
  <si>
    <t>Yıkama Eleği, Ø300x100mm derinlik, paslanmaz çelik kasnak ve elek teli, örgü tel, 2 mm (#10) göz açıklığı</t>
  </si>
  <si>
    <t>Yıkama Eleği, Ø300x100mm derinlik, paslanmaz çelik kasnak ve elek teli, örgü tel, 425µm (#40) göz açıklığı</t>
  </si>
  <si>
    <t>Yıkama Eleği, Ø300x100mm derinlik, paslanmaz çelik kasnak ve elek teli, örgü tel, 75µm (#200) göz açıklığı</t>
  </si>
  <si>
    <t>Yıkama Eleği, Ø300x100mm derinlik, paslanmaz çelik kasnak ve elek teli, örgü tel, 63µm (#230) göz açıklığı</t>
  </si>
  <si>
    <t>Elek, Ø200x50mm derinlik, paslanmaz çelik kasnak ve elek teli, örgü tel, 125mm göz açıklığı</t>
  </si>
  <si>
    <t>Elek, Ø200x50mm derinlik, paslanmaz çelik kasnak ve elek teli, örgü tel, 100mm (4") göz açıklığı</t>
  </si>
  <si>
    <t>Elek, Ø200x50mm derinlik, paslanmaz çelik kasnak ve elek teli, örgü tel, 90mm (3-½") göz açıklığı</t>
  </si>
  <si>
    <t>Elek, Ø200x50mm derinlik, paslanmaz çelik kasnak ve elek teli, örgü tel, 80mm göz açıklığı</t>
  </si>
  <si>
    <t>Elek, Ø200x50mm derinlik, paslanmaz çelik kasnak ve elek teli, örgü tel, 75mm (3") göz açıklığı</t>
  </si>
  <si>
    <t>Elek, Ø200x50mm derinlik, paslanmaz çelik kasnak ve elek teli, örgü tel, 63mm (2-½") göz açıklığı</t>
  </si>
  <si>
    <t>Elek, Ø200x50mm derinlik, paslanmaz çelik kasnak ve elek teli, örgü tel, 56mm göz açıklığı</t>
  </si>
  <si>
    <t>Elek, Ø200x50mm derinlik, paslanmaz çelik kasnak ve elek teli, örgü tel, 53mm (2.12") göz açıklığı</t>
  </si>
  <si>
    <t>Elek, Ø200x50mm derinlik, paslanmaz çelik kasnak ve elek teli, örgü tel, 50mm (2") göz açıklığı</t>
  </si>
  <si>
    <t>Elek, Ø200x50mm derinlik, paslanmaz çelik kasnak ve elek teli, örgü tel, 45mm (1-¾") göz açıklığı</t>
  </si>
  <si>
    <t>Elek, Ø200x50mm derinlik, paslanmaz çelik kasnak ve elek teli, örgü tel, 40mm göz açıklığı</t>
  </si>
  <si>
    <t>Elek, Ø200x50mm derinlik, paslanmaz çelik kasnak ve elek teli, örgü tel, 37,5mm (1-½") göz açıklığı</t>
  </si>
  <si>
    <t>Elek, Ø200x50mm derinlik, paslanmaz çelik kasnak ve elek teli, örgü tel, 31,5mm (1-¼") göz açıklığı</t>
  </si>
  <si>
    <t>Elek, Ø200x50mm derinlik, paslanmaz çelik kasnak ve elek teli, örgü tel, 26,5mm (1.06") göz açıklığı</t>
  </si>
  <si>
    <t>Elek, Ø200x50mm derinlik, paslanmaz çelik kasnak ve elek teli, örgü tel, 25mm (1") göz açıklığı</t>
  </si>
  <si>
    <t>Elek, Ø200x50mm derinlik, paslanmaz çelik kasnak ve elek teli, örgü tel, 22,4mm (7/8") göz açıklığı</t>
  </si>
  <si>
    <t>Elek, Ø200x50mm derinlik, paslanmaz çelik kasnak ve elek teli, örgü tel, 20mm göz açıklığı</t>
  </si>
  <si>
    <t>Elek, Ø200x50mm derinlik, paslanmaz çelik kasnak ve elek teli, örgü tel, 19mm (¾") göz açıklığı</t>
  </si>
  <si>
    <t>Elek, Ø200x50mm derinlik, paslanmaz çelik kasnak ve elek teli, örgü tel, 16mm (5/8") göz açıklığı</t>
  </si>
  <si>
    <t>Elek, Ø200x50mm derinlik, paslanmaz çelik kasnak ve elek teli, örgü tel, 13,2mm (.530") göz açıklığı</t>
  </si>
  <si>
    <t>Elek, Ø200x50mm derinlik, paslanmaz çelik kasnak ve elek teli, örgü tel, 12,5mm (½") göz açıklığı</t>
  </si>
  <si>
    <t>Elek, Ø200x50mm derinlik, paslanmaz çelik kasnak ve elek teli, örgü tel, 11,2mm (7/16") göz açıklığı</t>
  </si>
  <si>
    <t>Elek, Ø200x50mm derinlik, paslanmaz çelik kasnak ve elek teli, örgü tel, 10mm göz açıklığı</t>
  </si>
  <si>
    <t>Elek, Ø200x50mm derinlik, paslanmaz çelik kasnak ve elek teli, örgü tel, 9,5mm (3/8") göz açıklığı</t>
  </si>
  <si>
    <t>Elek, Ø200x50mm derinlik, paslanmaz çelik kasnak ve elek teli, örgü tel, 8mm (5/16") göz açıklığı</t>
  </si>
  <si>
    <t>Elek, Ø200x50mm derinlik, paslanmaz çelik kasnak ve elek teli, örgü tel, 6,7mm (.265") göz açıklığı</t>
  </si>
  <si>
    <t>Elek, Ø200x50mm derinlik, paslanmaz çelik kasnak ve elek teli, örgü tel, 6,3mm (¼") göz açıklığı</t>
  </si>
  <si>
    <t>Elek, Ø200x50mm derinlik, paslanmaz çelik kasnak ve elek teli, örgü tel, 5,6mm (#3-½) göz açıklığı</t>
  </si>
  <si>
    <t>Elek, Ø200x50mm derinlik, paslanmaz çelik kasnak ve elek teli, örgü tel, 5mm göz açıklığı</t>
  </si>
  <si>
    <t>Elek, Ø200x50mm derinlik, paslanmaz çelik kasnak ve elek teli, örgü tel, 4,75mm (#4) göz açıklığı</t>
  </si>
  <si>
    <t>Elek, Ø200x50mm derinlik, paslanmaz çelik kasnak ve elek teli, örgü tel, 4mm (#5) göz açıklığı</t>
  </si>
  <si>
    <t>Elek, Ø200x50mm derinlik, paslanmaz çelik kasnak ve elek teli, örgü tel, 3,35mm (#6) göz açıklığı</t>
  </si>
  <si>
    <t>Elek, Ø200x50mm derinlik, paslanmaz çelik kasnak ve elek teli, örgü tel, 3,15mm  göz açıklığı</t>
  </si>
  <si>
    <t>Elek, Ø200x50mm derinlik, paslanmaz çelik kasnak ve elek teli, örgü tel, 2,8mm (#7) göz açıklığı</t>
  </si>
  <si>
    <t>Elek, Ø200x50mm derinlik, paslanmaz çelik kasnak ve elek teli, örgü tel, 2,5mm göz açıklığı</t>
  </si>
  <si>
    <t>Elek, Ø200x50mm derinlik, paslanmaz çelik kasnak ve elek teli, örgü tel, 2,36mm (#8) göz açıklığı</t>
  </si>
  <si>
    <t>Elek, Ø200x50mm derinlik, paslanmaz çelik kasnak ve elek teli, örgü tel, 2mm (#10) göz açıklığı</t>
  </si>
  <si>
    <t>Elek, Ø200x50mm derinlik, paslanmaz çelik kasnak ve elek teli, örgü tel, 1,7mm (#12) göz açıklığı</t>
  </si>
  <si>
    <t>Elek, Ø200x50mm derinlik, paslanmaz çelik kasnak ve elek teli, örgü tel, 1,6mm göz açıklığı</t>
  </si>
  <si>
    <t>Elek, Ø200x50mm derinlik, paslanmaz çelik kasnak ve elek teli, örgü tel, 1,4mm (#14) göz açıklığı</t>
  </si>
  <si>
    <t>Elek, Ø200x50mm derinlik, paslanmaz çelik kasnak ve elek teli, örgü tel, 1,25mm göz açıklığı</t>
  </si>
  <si>
    <t>Elek, Ø200x50mm derinlik, paslanmaz çelik kasnak ve elek teli, örgü tel, 1,18mm (#16) göz açıklığı</t>
  </si>
  <si>
    <t>Elek, Ø200x50mm derinlik, paslanmaz çelik kasnak ve elek teli, örgü tel, 1mm (#18) göz açıklığı</t>
  </si>
  <si>
    <t>Elek, Ø200x50mm derinlik, paslanmaz çelik kasnak ve elek teli, örgü tel, 850µm (#20) göz açıklığı</t>
  </si>
  <si>
    <t>Elek, Ø200x50mm derinlik, paslanmaz çelik kasnak ve elek teli, örgü tel, 800µm  göz açıklığı</t>
  </si>
  <si>
    <t>Elek, Ø200x50mm derinlik, paslanmaz çelik kasnak ve elek teli, örgü tel, 710µm (#25) göz açıklığı</t>
  </si>
  <si>
    <t>Elek, Ø200x50mm derinlik, paslanmaz çelik kasnak ve elek teli, örgü tel, 630µm  göz açıklığı</t>
  </si>
  <si>
    <t>Elek, Ø200x50mm derinlik, paslanmaz çelik kasnak ve elek teli, örgü tel, 600µm (#30) göz açıklığı</t>
  </si>
  <si>
    <t>Elek, Ø200x50mm derinlik, paslanmaz çelik kasnak ve elek teli, örgü tel, 500µm (#35) göz açıklığı</t>
  </si>
  <si>
    <t>Elek, Ø200x50mm derinlik, paslanmaz çelik kasnak ve elek teli, örgü tel, 425µm (#40) göz açıklığı</t>
  </si>
  <si>
    <t>Elek, Ø200x50mm derinlik, paslanmaz çelik kasnak ve elek teli, örgü tel, 400µm  göz açıklığı</t>
  </si>
  <si>
    <t>Elek, Ø200x50mm derinlik, paslanmaz çelik kasnak ve elek teli, örgü tel, 355µm (#45) göz açıklığı</t>
  </si>
  <si>
    <t>Elek, Ø200x50mm derinlik, paslanmaz çelik kasnak ve elek teli, örgü tel, 315µm  göz açıklığı</t>
  </si>
  <si>
    <t>Elek, Ø200x50mm derinlik, paslanmaz çelik kasnak ve elek teli, örgü tel, 300µm (#50) göz açıklığı</t>
  </si>
  <si>
    <t>Elek, Ø200x50mm derinlik, paslanmaz çelik kasnak ve elek teli, örgü tel, 250µm (#60) göz açıklığı</t>
  </si>
  <si>
    <t>Elek, Ø200x50mm derinlik, paslanmaz çelik kasnak ve elek teli, örgü tel, 212µm (#70) göz açıklığı</t>
  </si>
  <si>
    <t>Elek, Ø200x50mm derinlik, paslanmaz çelik kasnak ve elek teli, örgü tel, 200µm  göz açıklığı</t>
  </si>
  <si>
    <t>Elek, Ø200x50mm derinlik, paslanmaz çelik kasnak ve elek teli, örgü tel, 180µm (#80) göz açıklığı</t>
  </si>
  <si>
    <t>Elek, Ø200x50mm derinlik, paslanmaz çelik kasnak ve elek teli, örgü tel, 160µm  göz açıklığı</t>
  </si>
  <si>
    <t>Elek, Ø200x50mm derinlik, paslanmaz çelik kasnak ve elek teli, örgü tel, 150µm (#100) göz açıklığı</t>
  </si>
  <si>
    <t>Elek, Ø200x50mm derinlik, paslanmaz çelik kasnak ve elek teli, örgü tel, 125µm (#120) göz açıklığı</t>
  </si>
  <si>
    <t>Elek, Ø200x50mm derinlik, paslanmaz çelik kasnak ve elek teli, örgü tel, 106µm (#140) göz açıklığı</t>
  </si>
  <si>
    <t>Elek, Ø200x50mm derinlik, paslanmaz çelik kasnak ve elek teli, örgü tel, 100µm  göz açıklığı</t>
  </si>
  <si>
    <t>Elek, Ø200x50mm derinlik, paslanmaz çelik kasnak ve elek teli, örgü tel, 90µm (#170) göz açıklığı</t>
  </si>
  <si>
    <t>Elek, Ø200x50mm derinlik, paslanmaz çelik kasnak ve elek teli, örgü tel, 80µm  göz açıklığı</t>
  </si>
  <si>
    <t>Elek, Ø200x50mm derinlik, paslanmaz çelik kasnak ve elek teli, örgü tel, 75µm (#200) göz açıklığı</t>
  </si>
  <si>
    <t>Elek, Ø200x50mm derinlik, paslanmaz çelik kasnak ve elek teli, örgü tel, 63µm (#230) göz açıklığı</t>
  </si>
  <si>
    <t>Elek, Ø200x50mm derinlik, paslanmaz çelik kasnak ve elek teli, örgü tel, 53µm (#270) göz açıklığı</t>
  </si>
  <si>
    <t>Elek, Ø200x50mm derinlik, paslanmaz çelik kasnak ve elek teli, örgü tel, 50µm  göz açıklığı</t>
  </si>
  <si>
    <t>Elek, Ø200x50mm derinlik, paslanmaz çelik kasnak ve elek teli, örgü tel, 45µm (#325) göz açıklığı</t>
  </si>
  <si>
    <t>Elek, Ø200x50mm derinlik, paslanmaz çelik kasnak ve elek teli, örgü tel, 40µm  göz açıklığı</t>
  </si>
  <si>
    <t>Elek, Ø200x50mm derinlik, paslanmaz çelik kasnak ve elek teli, örgü tel, 38µm (#400) göz açıklığı</t>
  </si>
  <si>
    <t>Elek, Ø200x50mm derinlik, paslanmaz çelik kasnak ve elek teli, örgü tel, 25µm göz açıklığı</t>
  </si>
  <si>
    <t>Toplama Kabı, Ø200x50mm  paslanmaz çelik</t>
  </si>
  <si>
    <t>Kapak, Ø200mm paslanmaz çelik</t>
  </si>
  <si>
    <t>Toplama Kabı ve Kapağı, Ø200x50mm  paslanmaz çelik toplama kabı ve paslanmaz çelik kapak</t>
  </si>
  <si>
    <t>Elek, Ø300x75mm derinlik, paslanmaz çelik kasnak ve elek teli, örgü tel, 125mm göz açıklığı</t>
  </si>
  <si>
    <t>Elek, Ø300x75mm derinlik, paslanmaz çelik kasnak ve elek teli, örgü tel, 100mm (4") göz açıklığı</t>
  </si>
  <si>
    <t>Elek, Ø300x75mm derinlik, paslanmaz çelik kasnak ve elek teli, örgü tel, 90mm (3-½") göz açıklığı</t>
  </si>
  <si>
    <t>Elek, Ø300x75mm derinlik, paslanmaz çelik kasnak ve elek teli, örgü tel, 80mm göz açıklığı</t>
  </si>
  <si>
    <t>Elek, Ø300x75mm derinlik, paslanmaz çelik kasnak ve elek teli, örgü tel, 75mm (3") göz açıklığı</t>
  </si>
  <si>
    <t>Elek, Ø300x75mm derinlik, paslanmaz çelik kasnak ve elek teli, örgü tel, 63mm (2-½") göz açıklığı</t>
  </si>
  <si>
    <t>Elek, Ø300x75mm derinlik, paslanmaz çelik kasnak ve elek teli, örgü tel, 56mm göz açıklığı</t>
  </si>
  <si>
    <t>Elek, Ø300x75mm derinlik, paslanmaz çelik kasnak ve elek teli, örgü tel, 53mm (2.12") göz açıklığı</t>
  </si>
  <si>
    <t>Elek, Ø300x75mm derinlik, paslanmaz çelik kasnak ve elek teli, örgü tel, 50mm (2") göz açıklığı</t>
  </si>
  <si>
    <t>Elek, Ø300x75mm derinlik, paslanmaz çelik kasnak ve elek teli, örgü tel, 45mm (1-¾") göz açıklığı</t>
  </si>
  <si>
    <t>Elek, Ø300x75mm derinlik, paslanmaz çelik kasnak ve elek teli, örgü tel, 40mm göz açıklığı</t>
  </si>
  <si>
    <t>Elek, Ø300x75mm derinlik, paslanmaz çelik kasnak ve elek teli, örgü tel, 37,5mm (1-½") göz açıklığı</t>
  </si>
  <si>
    <t>Elek, Ø300x75mm derinlik, paslanmaz çelik kasnak ve elek teli, örgü tel, 31,5mm (1-¼") göz açıklığı</t>
  </si>
  <si>
    <t>Elek, Ø300x75mm derinlik, paslanmaz çelik kasnak ve elek teli, örgü tel, 26,5mm (1.06") göz açıklığı</t>
  </si>
  <si>
    <t>Elek, Ø300x75mm derinlik, paslanmaz çelik kasnak ve elek teli, örgü tel, 25mm (1") göz açıklığı</t>
  </si>
  <si>
    <t>Elek, Ø300x75mm derinlik, paslanmaz çelik kasnak ve elek teli, örgü tel, 22,4mm (7/8") göz açıklığı</t>
  </si>
  <si>
    <t>Elek, Ø300x75mm derinlik, paslanmaz çelik kasnak ve elek teli, örgü tel, 19mm (¾") göz açıklığı</t>
  </si>
  <si>
    <t>Elek, Ø300x75mm derinlik, paslanmaz çelik kasnak ve elek teli, örgü tel, 16mm (5/8") göz açıklığı</t>
  </si>
  <si>
    <t>Elek, Ø300x75mm derinlik, paslanmaz çelik kasnak ve elek teli, örgü tel, 13,2mm (.530") göz açıklığı</t>
  </si>
  <si>
    <t>Elek, Ø300x75mm derinlik, paslanmaz çelik kasnak ve elek teli, örgü tel, 12,5mm (½") göz açıklığı</t>
  </si>
  <si>
    <t>Elek, Ø300x75mm derinlik, paslanmaz çelik kasnak ve elek teli, örgü tel, 11,2mm (7/16") göz açıklığı</t>
  </si>
  <si>
    <t>Elek, Ø300x75mm derinlik, paslanmaz çelik kasnak ve elek teli, örgü tel, 10mm göz açıklığı</t>
  </si>
  <si>
    <t>Elek, Ø300x75mm derinlik, paslanmaz çelik kasnak ve elek teli, örgü tel, 9,5mm (3/8") göz açıklığı</t>
  </si>
  <si>
    <t>Elek, Ø300x75mm derinlik, paslanmaz çelik kasnak ve elek teli, örgü tel, 8mm (5/16") göz açıklığı</t>
  </si>
  <si>
    <t>Elek, Ø300x75mm derinlik, paslanmaz çelik kasnak ve elek teli, örgü tel, 6,7mm (.265") göz açıklığı</t>
  </si>
  <si>
    <t>Elek, Ø300x75mm derinlik, paslanmaz çelik kasnak ve elek teli, örgü tel, 6,3mm (¼") göz açıklığı</t>
  </si>
  <si>
    <t>Elek, Ø300x75mm derinlik, paslanmaz çelik kasnak ve elek teli, örgü tel, 5,6mm (#3-½) göz açıklığı</t>
  </si>
  <si>
    <t>Elek, Ø300x75mm derinlik, paslanmaz çelik kasnak ve elek teli, örgü tel, 5mm göz açıklığı</t>
  </si>
  <si>
    <t>Elek, Ø300x75mm derinlik, paslanmaz çelik kasnak ve elek teli, örgü tel, 4,75mm (#4) göz açıklığı</t>
  </si>
  <si>
    <t>Elek, Ø300x75mm derinlik, paslanmaz çelik kasnak ve elek teli, örgü tel, 4mm (#5) göz açıklığı</t>
  </si>
  <si>
    <t>Elek, Ø300x75mm derinlik, paslanmaz çelik kasnak ve elek teli, örgü tel, 3,35mm (#6) göz açıklığı</t>
  </si>
  <si>
    <t>Elek, Ø300x75mm derinlik, paslanmaz çelik kasnak ve elek teli, örgü tel, 3,2mm  göz açıklığı</t>
  </si>
  <si>
    <t>Elek, Ø300x75mm derinlik, paslanmaz çelik kasnak ve elek teli, örgü tel, 2,8mm (#7) göz açıklığı</t>
  </si>
  <si>
    <t>Elek, Ø300x75mm derinlik, paslanmaz çelik kasnak ve elek teli, örgü tel, 2,5mm göz açıklığı</t>
  </si>
  <si>
    <t>Elek, Ø300x75mm derinlik, paslanmaz çelik kasnak ve elek teli, örgü tel, 2,36mm (#8) göz açıklığı</t>
  </si>
  <si>
    <t>Elek, Ø300x75mm derinlik, paslanmaz çelik kasnak ve elek teli, örgü tel, 2mm (#10) göz açıklığı</t>
  </si>
  <si>
    <t>Elek, Ø300x75mm derinlik, paslanmaz çelik kasnak ve elek teli, örgü tel, 1,7mm (#12) göz açıklığı</t>
  </si>
  <si>
    <t>Elek, Ø300x75mm derinlik, paslanmaz çelik kasnak ve elek teli, örgü tel, 1,6mm göz açıklığı</t>
  </si>
  <si>
    <t>Elek, Ø300x75mm derinlik, paslanmaz çelik kasnak ve elek teli, örgü tel, 1,4mm (#14) göz açıklığı</t>
  </si>
  <si>
    <t>Elek, Ø300x75mm derinlik, paslanmaz çelik kasnak ve elek teli, örgü tel, 1,25mm göz açıklığı</t>
  </si>
  <si>
    <t>Elek, Ø300x75mm derinlik, paslanmaz çelik kasnak ve elek teli, örgü tel, 1,18mm (#16) göz açıklığı</t>
  </si>
  <si>
    <t>Elek, Ø300x75mm derinlik, paslanmaz çelik kasnak ve elek teli, örgü tel, 1mm (#18) göz açıklığı</t>
  </si>
  <si>
    <t>Elek, Ø300x75mm derinlik, paslanmaz çelik kasnak ve elek teli, örgü tel, 850µm (#20) göz açıklığı</t>
  </si>
  <si>
    <t>Elek, Ø300x75mm derinlik, paslanmaz çelik kasnak ve elek teli, örgü tel, 800µm  göz açıklığı</t>
  </si>
  <si>
    <t>Elek, Ø300x75mm derinlik, paslanmaz çelik kasnak ve elek teli, örgü tel, 710µm (#25) göz açıklığı</t>
  </si>
  <si>
    <t>Elek, Ø300x75mm derinlik, paslanmaz çelik kasnak ve elek teli, örgü tel, 630µm  göz açıklığı</t>
  </si>
  <si>
    <t>Elek, Ø300x75mm derinlik, paslanmaz çelik kasnak ve elek teli, örgü tel, 600µm (#30) göz açıklığı</t>
  </si>
  <si>
    <t>Elek, Ø300x75mm derinlik, paslanmaz çelik kasnak ve elek teli, örgü tel, 500µm (#35) göz açıklığı</t>
  </si>
  <si>
    <t>Elek, Ø300x75mm derinlik, paslanmaz çelik kasnak ve elek teli, örgü tel, 425µm (#40) göz açıklığı</t>
  </si>
  <si>
    <t>Elek, Ø300x75mm derinlik, paslanmaz çelik kasnak ve elek teli, örgü tel, 400µm  göz açıklığı</t>
  </si>
  <si>
    <t>Elek, Ø300x75mm derinlik, paslanmaz çelik kasnak ve elek teli, örgü tel, 355µm (#45) göz açıklığı</t>
  </si>
  <si>
    <t>Elek, Ø300x75mm derinlik, paslanmaz çelik kasnak ve elek teli, örgü tel, 315µm  göz açıklığı</t>
  </si>
  <si>
    <t>Elek, Ø300x75mm derinlik, paslanmaz çelik kasnak ve elek teli, örgü tel, 300µm (#50) göz açıklığı</t>
  </si>
  <si>
    <t>Elek, Ø300x75mm derinlik, paslanmaz çelik kasnak ve elek teli, örgü tel, 250µm (#60) göz açıklığı</t>
  </si>
  <si>
    <t>Elek, Ø300x75mm derinlik, paslanmaz çelik kasnak ve elek teli, örgü tel, 212µm (#70) göz açıklığı</t>
  </si>
  <si>
    <t>Elek, Ø300x75mm derinlik, paslanmaz çelik kasnak ve elek teli, örgü tel, 200µm  göz açıklığı</t>
  </si>
  <si>
    <t>Elek, Ø300x75mm derinlik, paslanmaz çelik kasnak ve elek teli, örgü tel, 180µm (#80) göz açıklığı</t>
  </si>
  <si>
    <t>Elek, Ø300x75mm derinlik, paslanmaz çelik kasnak ve elek teli, örgü tel, 160µm  göz açıklığı</t>
  </si>
  <si>
    <t>Elek, Ø300x75mm derinlik, paslanmaz çelik kasnak ve elek teli, örgü tel, 150µm (#100) göz açıklığı</t>
  </si>
  <si>
    <t>Elek, Ø300x75mm derinlik, paslanmaz çelik kasnak ve elek teli, örgü tel, 125µm (#120) göz açıklığı</t>
  </si>
  <si>
    <t>Elek, Ø300x75mm derinlik, paslanmaz çelik kasnak ve elek teli, örgü tel, 106µm (#140) göz açıklığı</t>
  </si>
  <si>
    <t>Elek, Ø300x75mm derinlik, paslanmaz çelik kasnak ve elek teli, örgü tel, 100µm  göz açıklığı</t>
  </si>
  <si>
    <t>Elek, Ø300x75mm derinlik, paslanmaz çelik kasnak ve elek teli, örgü tel, 90µm (#170) göz açıklığı</t>
  </si>
  <si>
    <t>Elek, Ø300x75mm derinlik, paslanmaz çelik kasnak ve elek teli, örgü tel, 80µm  göz açıklığı</t>
  </si>
  <si>
    <t>Elek, Ø300x75mm derinlik, paslanmaz çelik kasnak ve elek teli, örgü tel, 75µm (#200) göz açıklığı</t>
  </si>
  <si>
    <t>Elek, Ø300x75mm derinlik, paslanmaz çelik kasnak ve elek teli, örgü tel, 63µm (#230) göz açıklığı</t>
  </si>
  <si>
    <t>Elek, Ø300x75mm derinlik, paslanmaz çelik kasnak ve elek teli, örgü tel, 53µm (#270) göz açıklığı</t>
  </si>
  <si>
    <t>Elek, Ø300x75mm derinlik, paslanmaz çelik kasnak ve elek teli, örgü tel, 50µm  göz açıklığı</t>
  </si>
  <si>
    <t>Elek, Ø300x75mm derinlik, paslanmaz çelik kasnak ve elek teli, örgü tel, 45µm (#325) göz açıklığı</t>
  </si>
  <si>
    <t>Elek, Ø300x75mm derinlik, paslanmaz çelik kasnak ve elek teli, örgü tel, 40µm  göz açıklığı</t>
  </si>
  <si>
    <t>Elek, Ø300x75mm derinlik, paslanmaz çelik kasnak ve elek teli, örgü tel, 38µm (#400) göz açıklığı</t>
  </si>
  <si>
    <t>Elek, Ø300x75mm derinlik, paslanmaz çelik kasnak ve elek teli, örgü tel, 25µm  göz açıklığı</t>
  </si>
  <si>
    <t>Toplama Kabı, Ø300x75mm  paslanmaz çelik</t>
  </si>
  <si>
    <t>Kapak, Ø300mm paslanmaz çelik, tutamaklı</t>
  </si>
  <si>
    <t>Toplama Kabı ve Kapağı, Ø300x75mm  paslanmaz çelik toplama kabı ve paslanmaz çelik kapak</t>
  </si>
  <si>
    <t>Elek, Ø400x50mm derinlik, paslanmaz çelik kasnak ve elek teli, örgü tel, 125mm göz açıklığı</t>
  </si>
  <si>
    <t>Elek, Ø400x50mm derinlik, paslanmaz çelik kasnak ve elek teli, örgü tel, 100mm (4") göz açıklığı</t>
  </si>
  <si>
    <t>Elek, Ø400x50mm derinlik, paslanmaz çelik kasnak ve elek teli, örgü tel, 90mm (3-½") göz açıklığı</t>
  </si>
  <si>
    <t>Elek, Ø400x50mm derinlik, paslanmaz çelik kasnak ve elek teli, örgü tel, 80mm göz açıklığı</t>
  </si>
  <si>
    <t>Elek, Ø400x50mm derinlik, paslanmaz çelik kasnak ve elek teli, örgü tel, 75mm (3") göz açıklığı</t>
  </si>
  <si>
    <t>Elek, Ø400x50mm derinlik, paslanmaz çelik kasnak ve elek teli, örgü tel, 63mm (2-½") göz açıklığı</t>
  </si>
  <si>
    <t>Elek, Ø400x50mm derinlik, paslanmaz çelik kasnak ve elek teli, örgü tel, 56mm göz açıklığı</t>
  </si>
  <si>
    <t>Elek, Ø400x50mm derinlik, paslanmaz çelik kasnak ve elek teli, örgü tel, 53mm (2.12") göz açıklığı</t>
  </si>
  <si>
    <t>Elek, Ø400x50mm derinlik, paslanmaz çelik kasnak ve elek teli, örgü tel, 50mm (2") göz açıklığı</t>
  </si>
  <si>
    <t>Elek, Ø400x50mm derinlik, paslanmaz çelik kasnak ve elek teli, örgü tel, 45mm (1-¾") göz açıklığı</t>
  </si>
  <si>
    <t>Elek, Ø400x50mm derinlik, paslanmaz çelik kasnak ve elek teli, örgü tel, 40mm göz açıklığı</t>
  </si>
  <si>
    <t>Elek, Ø400x50mm derinlik, paslanmaz çelik kasnak ve elek teli, örgü tel, 37,5mm (1-½") göz açıklığı</t>
  </si>
  <si>
    <t>Elek, Ø400x50mm derinlik, paslanmaz çelik kasnak ve elek teli, örgü tel, 31,5mm (1-¼") göz açıklığı</t>
  </si>
  <si>
    <t>Elek, Ø400x50mm derinlik, paslanmaz çelik kasnak ve elek teli, örgü tel, 26,5mm (1.06") göz açıklığı</t>
  </si>
  <si>
    <t>Elek, Ø400x50mm derinlik, paslanmaz çelik kasnak ve elek teli, örgü tel, 25mm (1") göz açıklığı</t>
  </si>
  <si>
    <t>Elek, Ø400x50mm derinlik, paslanmaz çelik kasnak ve elek teli, örgü tel, 22,4mm (7/8") göz açıklığı</t>
  </si>
  <si>
    <t>Elek, Ø400x50mm derinlik, paslanmaz çelik kasnak ve elek teli, örgü tel, 20mm göz açıklığı</t>
  </si>
  <si>
    <t>Elek, Ø400x50mm derinlik, paslanmaz çelik kasnak ve elek teli, örgü tel, 19mm (¾") göz açıklığı</t>
  </si>
  <si>
    <t>Elek, Ø400x50mm derinlik, paslanmaz çelik kasnak ve elek teli, örgü tel, 16mm (5/8") göz açıklığı</t>
  </si>
  <si>
    <t>Elek, Ø400x50mm derinlik, paslanmaz çelik kasnak ve elek teli, örgü tel, 13,2mm (.530") göz açıklığı</t>
  </si>
  <si>
    <t>Elek, Ø400x50mm derinlik, paslanmaz çelik kasnak ve elek teli, örgü tel, 12,5mm (½") göz açıklığı</t>
  </si>
  <si>
    <t>Elek, Ø400x50mm derinlik, paslanmaz çelik kasnak ve elek teli, örgü tel, 11,2mm (7/16") göz açıklığı</t>
  </si>
  <si>
    <t>Elek, Ø400x50mm derinlik, paslanmaz çelik kasnak ve elek teli, örgü tel, 10mm göz açıklığı</t>
  </si>
  <si>
    <t>Elek, Ø400x50mm derinlik, paslanmaz çelik kasnak ve elek teli, örgü tel, 9,5mm (3/8") göz açıklığı</t>
  </si>
  <si>
    <t>Elek, Ø400x50mm derinlik, paslanmaz çelik kasnak ve elek teli, örgü tel, 8mm (5/16") göz açıklığı</t>
  </si>
  <si>
    <t>Elek, Ø400x50mm derinlik, paslanmaz çelik kasnak ve elek teli, örgü tel, 6,7mm (.265") göz açıklığı</t>
  </si>
  <si>
    <t>Elek, Ø400x50mm derinlik, paslanmaz çelik kasnak ve elek teli, örgü tel, 6,3mm (¼") göz açıklığı</t>
  </si>
  <si>
    <t>Elek, Ø400x50mm derinlik, paslanmaz çelik kasnak ve elek teli, örgü tel, 5,6mm (#3-½) göz açıklığı</t>
  </si>
  <si>
    <t>Elek, Ø400x50mm derinlik, paslanmaz çelik kasnak ve elek teli, örgü tel, 5mm göz açıklığı</t>
  </si>
  <si>
    <t>Elek, Ø400x50mm derinlik, paslanmaz çelik kasnak ve elek teli, örgü tel, 4,75mm (#4) göz açıklığı</t>
  </si>
  <si>
    <t>Elek, Ø400x50mm derinlik, paslanmaz çelik kasnak ve elek teli, örgü tel, 4mm (#5) göz açıklığı</t>
  </si>
  <si>
    <t>Elek, Ø400x50mm derinlik, paslanmaz çelik kasnak ve elek teli, örgü tel, 3,35mm (#6) göz açıklığı</t>
  </si>
  <si>
    <t>Elek, Ø400x50mm derinlik, paslanmaz çelik kasnak ve elek teli, örgü tel, 3,15mm  göz açıklığı</t>
  </si>
  <si>
    <t>Elek, Ø400x50mm derinlik, paslanmaz çelik kasnak ve elek teli, örgü tel, 2,8mm (#7) göz açıklığı</t>
  </si>
  <si>
    <t>Elek, Ø400x50mm derinlik, paslanmaz çelik kasnak ve elek teli, örgü tel, 2,5mm göz açıklığı</t>
  </si>
  <si>
    <t>Elek, Ø400x50mm derinlik, paslanmaz çelik kasnak ve elek teli, örgü tel, 2,36mm (#8) göz açıklığı</t>
  </si>
  <si>
    <t>Elek, Ø400x50mm derinlik, paslanmaz çelik kasnak ve elek teli, örgü tel, 2mm (#10) göz açıklığı</t>
  </si>
  <si>
    <t>Elek, Ø400x50mm derinlik, paslanmaz çelik kasnak ve elek teli, örgü tel, 1,7mm (#12) göz açıklığı</t>
  </si>
  <si>
    <t>Elek, Ø400x50mm derinlik, paslanmaz çelik kasnak ve elek teli, örgü tel, 1,6mm göz açıklığı</t>
  </si>
  <si>
    <t>Elek, Ø400x50mm derinlik, paslanmaz çelik kasnak ve elek teli, örgü tel, 1,4mm (#14) göz açıklığı</t>
  </si>
  <si>
    <t>Elek, Ø400x50mm derinlik, paslanmaz çelik kasnak ve elek teli, örgü tel, 1,25mm göz açıklığı</t>
  </si>
  <si>
    <t>Elek, Ø400x50mm derinlik, paslanmaz çelik kasnak ve elek teli, örgü tel, 1,18mm (#16) göz açıklığı</t>
  </si>
  <si>
    <t>Elek, Ø400x50mm derinlik, paslanmaz çelik kasnak ve elek teli, örgü tel, 1mm (#18) göz açıklığı</t>
  </si>
  <si>
    <t>Elek, Ø400x50mm derinlik, paslanmaz çelik kasnak ve elek teli, örgü tel, 850µm (#20) göz açıklığı</t>
  </si>
  <si>
    <t>Elek, Ø400x50mm derinlik, paslanmaz çelik kasnak ve elek teli, örgü tel, 800µm  göz açıklığı</t>
  </si>
  <si>
    <t>Elek, Ø400x50mm derinlik, paslanmaz çelik kasnak ve elek teli, örgü tel, 710µm (#25) göz açıklığı</t>
  </si>
  <si>
    <t>Elek, Ø400x50mm derinlik, paslanmaz çelik kasnak ve elek teli, örgü tel, 630µm  göz açıklığı</t>
  </si>
  <si>
    <t>Elek, Ø400x50mm derinlik, paslanmaz çelik kasnak ve elek teli, örgü tel, 600µm (#30) göz açıklığı</t>
  </si>
  <si>
    <t>Elek, Ø400x50mm derinlik, paslanmaz çelik kasnak ve elek teli, örgü tel, 500µm (#35) göz açıklığı</t>
  </si>
  <si>
    <t>Elek, Ø400x50mm derinlik, paslanmaz çelik kasnak ve elek teli, örgü tel, 425µm (#40) göz açıklığı</t>
  </si>
  <si>
    <t>Elek, Ø400x50mm derinlik, paslanmaz çelik kasnak ve elek teli, örgü tel, 400µm  göz açıklığı</t>
  </si>
  <si>
    <t>Elek, Ø400x50mm derinlik, paslanmaz çelik kasnak ve elek teli, örgü tel, 355µm (#45) göz açıklığı</t>
  </si>
  <si>
    <t>Elek, Ø400x50mm derinlik, paslanmaz çelik kasnak ve elek teli, örgü tel, 315µm  göz açıklığı</t>
  </si>
  <si>
    <t>Elek, Ø400x50mm derinlik, paslanmaz çelik kasnak ve elek teli, örgü tel, 300µm (#50) göz açıklığı</t>
  </si>
  <si>
    <t>Elek, Ø400x50mm derinlik, paslanmaz çelik kasnak ve elek teli, örgü tel, 250µm (#60) göz açıklığı</t>
  </si>
  <si>
    <t>Elek, Ø400x50mm derinlik, paslanmaz çelik kasnak ve elek teli, örgü tel, 212µm (#70) göz açıklığı</t>
  </si>
  <si>
    <t>Elek, Ø400x50mm derinlik, paslanmaz çelik kasnak ve elek teli, örgü tel, 200µm  göz açıklığı</t>
  </si>
  <si>
    <t>Elek, Ø400x50mm derinlik, paslanmaz çelik kasnak ve elek teli, örgü tel, 180µm (#80) göz açıklığı</t>
  </si>
  <si>
    <t>Elek, Ø400x50mm derinlik, paslanmaz çelik kasnak ve elek teli, örgü tel, 160µm  göz açıklığı</t>
  </si>
  <si>
    <t>Elek, Ø400x50mm derinlik, paslanmaz çelik kasnak ve elek teli, örgü tel, 150µm (#100) göz açıklığı</t>
  </si>
  <si>
    <t>Elek, Ø400x50mm derinlik, paslanmaz çelik kasnak ve elek teli, örgü tel, 125µm (#120) göz açıklığı</t>
  </si>
  <si>
    <t>Elek, Ø400x50mm derinlik, paslanmaz çelik kasnak ve elek teli, örgü tel, 106µm (#140) göz açıklığı</t>
  </si>
  <si>
    <t>Elek, Ø400x50mm derinlik, paslanmaz çelik kasnak ve elek teli, örgü tel, 100µm  göz açıklığı</t>
  </si>
  <si>
    <t>Elek, Ø400x50mm derinlik, paslanmaz çelik kasnak ve elek teli, örgü tel, 90µm (#170) göz açıklığı</t>
  </si>
  <si>
    <t>Elek, Ø400x50mm derinlik, paslanmaz çelik kasnak ve elek teli, örgü tel, 80µm  göz açıklığı</t>
  </si>
  <si>
    <t>Elek, Ø400x50mm derinlik, paslanmaz çelik kasnak ve elek teli, örgü tel, 75µm (#200) göz açıklığı</t>
  </si>
  <si>
    <t>Elek, Ø400x50mm derinlik, paslanmaz çelik kasnak ve elek teli, örgü tel, 63µm (#230) göz açıklığı</t>
  </si>
  <si>
    <t>Elek, Ø400x50mm derinlik, paslanmaz çelik kasnak ve elek teli, örgü tel, 53µm (#270) göz açıklığı</t>
  </si>
  <si>
    <t>Elek, Ø400x50mm derinlik, paslanmaz çelik kasnak ve elek teli, örgü tel, 50µm  göz açıklığı</t>
  </si>
  <si>
    <t>Elek, Ø400x50mm derinlik, paslanmaz çelik kasnak ve elek teli, örgü tel, 45µm (#325) göz açıklığı</t>
  </si>
  <si>
    <t>Elek, Ø400x50mm derinlik, paslanmaz çelik kasnak ve elek teli, örgü tel, 40µm  göz açıklığı</t>
  </si>
  <si>
    <t>Elek, Ø400x50mm derinlik, paslanmaz çelik kasnak ve elek teli, örgü tel, 38µm (#400) göz açıklığı</t>
  </si>
  <si>
    <t>Elek, Ø400x50mm derinlik, paslanmaz çelik kasnak ve elek teli, örgü tel, 25µm göz açıklığı</t>
  </si>
  <si>
    <t>Toplama Kabı, Ø400x50mm  paslanmaz çelik</t>
  </si>
  <si>
    <t>Kapak, Ø400mm paslanmaz çelik</t>
  </si>
  <si>
    <t>Elek, Ø450x50mm derinlik, paslanmaz çelik kasnak ve elek teli, örgü tel, 125mm göz açıklığı</t>
  </si>
  <si>
    <t>Elek, Ø450x50mm derinlik, paslanmaz çelik kasnak ve elek teli, örgü tel, 100mm (4") göz açıklığı</t>
  </si>
  <si>
    <t>Elek, Ø450x50mm derinlik, paslanmaz çelik kasnak ve elek teli, örgü tel, 90mm (3-½") göz açıklığı</t>
  </si>
  <si>
    <t>Elek, Ø450x50mm derinlik, paslanmaz çelik kasnak ve elek teli, örgü tel, 80mm göz açıklığı</t>
  </si>
  <si>
    <t>Elek, Ø450x50mm derinlik, paslanmaz çelik kasnak ve elek teli, örgü tel, 75mm (3") göz açıklığı</t>
  </si>
  <si>
    <t>Elek, Ø450x50mm derinlik, paslanmaz çelik kasnak ve elek teli, örgü tel, 63mm (2-½") göz açıklığı</t>
  </si>
  <si>
    <t>Elek, Ø450x50mm derinlik, paslanmaz çelik kasnak ve elek teli, örgü tel, 56mm göz açıklığı</t>
  </si>
  <si>
    <t>Elek, Ø450x50mm derinlik, paslanmaz çelik kasnak ve elek teli, örgü tel, 53mm (2.12") göz açıklığı</t>
  </si>
  <si>
    <t>Elek, Ø450x50mm derinlik, paslanmaz çelik kasnak ve elek teli, örgü tel, 50mm (2") göz açıklığı</t>
  </si>
  <si>
    <t>Elek, Ø450x50mm derinlik, paslanmaz çelik kasnak ve elek teli, örgü tel, 45mm (1-¾") göz açıklığı</t>
  </si>
  <si>
    <t>Elek, Ø450x50mm derinlik, paslanmaz çelik kasnak ve elek teli, örgü tel, 40mm göz açıklığı</t>
  </si>
  <si>
    <t>Elek, Ø450x50mm derinlik, paslanmaz çelik kasnak ve elek teli, örgü tel, 37,5mm (1-½") göz açıklığı</t>
  </si>
  <si>
    <t>Elek, Ø450x50mm derinlik, paslanmaz çelik kasnak ve elek teli, örgü tel, 31,5mm (1-¼") göz açıklığı</t>
  </si>
  <si>
    <t>Elek, Ø450x50mm derinlik, paslanmaz çelik kasnak ve elek teli, örgü tel, 26,5mm (1.06") göz açıklığı</t>
  </si>
  <si>
    <t>Elek, Ø450x50mm derinlik, paslanmaz çelik kasnak ve elek teli, örgü tel, 25mm (1") göz açıklığı</t>
  </si>
  <si>
    <t>Elek, Ø450x50mm derinlik, paslanmaz çelik kasnak ve elek teli, örgü tel, 22,4mm (7/8") göz açıklığı</t>
  </si>
  <si>
    <t>Elek, Ø450x50mm derinlik, paslanmaz çelik kasnak ve elek teli, örgü tel, 20mm göz açıklığı</t>
  </si>
  <si>
    <t>Elek, Ø450x50mm derinlik, paslanmaz çelik kasnak ve elek teli, örgü tel, 19mm (¾") göz açıklığı</t>
  </si>
  <si>
    <t>Elek, Ø450x50mm derinlik, paslanmaz çelik kasnak ve elek teli, örgü tel, 16mm (5/8") göz açıklığı</t>
  </si>
  <si>
    <t>Elek, Ø450x50mm derinlik, paslanmaz çelik kasnak ve elek teli, örgü tel, 13,2mm (.530") göz açıklığı</t>
  </si>
  <si>
    <t>Elek, Ø450x50mm derinlik, paslanmaz çelik kasnak ve elek teli, örgü tel, 12,5mm (½") göz açıklığı</t>
  </si>
  <si>
    <t>Elek, Ø450x50mm derinlik, paslanmaz çelik kasnak ve elek teli, örgü tel, 11,2mm (7/16") göz açıklığı</t>
  </si>
  <si>
    <t>Elek, Ø450x50mm derinlik, paslanmaz çelik kasnak ve elek teli, örgü tel, 10mm göz açıklığı</t>
  </si>
  <si>
    <t>Elek, Ø450x50mm derinlik, paslanmaz çelik kasnak ve elek teli, örgü tel, 9,5mm (3/8") göz açıklığı</t>
  </si>
  <si>
    <t>Elek, Ø450x50mm derinlik, paslanmaz çelik kasnak ve elek teli, örgü tel, 8mm (5/16") göz açıklığı</t>
  </si>
  <si>
    <t>Elek, Ø450x50mm derinlik, paslanmaz çelik kasnak ve elek teli, örgü tel, 6,7mm (.265") göz açıklığı</t>
  </si>
  <si>
    <t>Elek, Ø450x50mm derinlik, paslanmaz çelik kasnak ve elek teli, örgü tel, 6,3mm (¼") göz açıklığı</t>
  </si>
  <si>
    <t>Elek, Ø450x50mm derinlik, paslanmaz çelik kasnak ve elek teli, örgü tel, 5,6mm (#3-½) göz açıklığı</t>
  </si>
  <si>
    <t>Elek, Ø450x50mm derinlik, paslanmaz çelik kasnak ve elek teli, örgü tel, 5mm göz açıklığı</t>
  </si>
  <si>
    <t>Elek, Ø450x50mm derinlik, paslanmaz çelik kasnak ve elek teli, örgü tel, 4,75mm (#4) göz açıklığı</t>
  </si>
  <si>
    <t>Elek, Ø450x50mm derinlik, paslanmaz çelik kasnak ve elek teli, örgü tel, 4mm (#5) göz açıklığı</t>
  </si>
  <si>
    <t>Elek, Ø450x50mm derinlik, paslanmaz çelik kasnak ve elek teli, örgü tel, 3,35mm (#6) göz açıklığı</t>
  </si>
  <si>
    <t>Elek, Ø450x50mm derinlik, paslanmaz çelik kasnak ve elek teli, örgü tel, 3,15mm  göz açıklığı</t>
  </si>
  <si>
    <t>Elek, Ø450x50mm derinlik, paslanmaz çelik kasnak ve elek teli, örgü tel, 2,8mm (#7) göz açıklığı</t>
  </si>
  <si>
    <t>Elek, Ø450x50mm derinlik, paslanmaz çelik kasnak ve elek teli, örgü tel, 2,5mm göz açıklığı</t>
  </si>
  <si>
    <t>Elek, Ø450x50mm derinlik, paslanmaz çelik kasnak ve elek teli, örgü tel, 2,36mm (#8) göz açıklığı</t>
  </si>
  <si>
    <t>Elek, Ø450x50mm derinlik, paslanmaz çelik kasnak ve elek teli, örgü tel, 2mm (#10) göz açıklığı</t>
  </si>
  <si>
    <t>Elek, Ø450x50mm derinlik, paslanmaz çelik kasnak ve elek teli, örgü tel, 1,7mm (#12) göz açıklığı</t>
  </si>
  <si>
    <t>Elek, Ø450x50mm derinlik, paslanmaz çelik kasnak ve elek teli, örgü tel, 1,6mm göz açıklığı</t>
  </si>
  <si>
    <t>Elek, Ø450x50mm derinlik, paslanmaz çelik kasnak ve elek teli, örgü tel, 1,4mm (#14) göz açıklığı</t>
  </si>
  <si>
    <t>Elek, Ø450x50mm derinlik, paslanmaz çelik kasnak ve elek teli, örgü tel, 1,25mm göz açıklığı</t>
  </si>
  <si>
    <t>Elek, Ø450x50mm derinlik, paslanmaz çelik kasnak ve elek teli, örgü tel, 1,18mm (#16) göz açıklığı</t>
  </si>
  <si>
    <t>Elek, Ø450x50mm derinlik, paslanmaz çelik kasnak ve elek teli, örgü tel, 1mm (#18) göz açıklığı</t>
  </si>
  <si>
    <t>Elek, Ø450x50mm derinlik, paslanmaz çelik kasnak ve elek teli, örgü tel, 850µm (#20) göz açıklığı</t>
  </si>
  <si>
    <t>Elek, Ø450x50mm derinlik, paslanmaz çelik kasnak ve elek teli, örgü tel, 800µm  göz açıklığı</t>
  </si>
  <si>
    <t>Elek, Ø450x50mm derinlik, paslanmaz çelik kasnak ve elek teli, örgü tel, 710µm (#25) göz açıklığı</t>
  </si>
  <si>
    <t>Elek, Ø450x50mm derinlik, paslanmaz çelik kasnak ve elek teli, örgü tel, 630µm  göz açıklığı</t>
  </si>
  <si>
    <t>Elek, Ø450x50mm derinlik, paslanmaz çelik kasnak ve elek teli, örgü tel, 600µm (#30) göz açıklığı</t>
  </si>
  <si>
    <t>Elek, Ø450x50mm derinlik, paslanmaz çelik kasnak ve elek teli, örgü tel, 500µm (#35) göz açıklığı</t>
  </si>
  <si>
    <t>Elek, Ø450x50mm derinlik, paslanmaz çelik kasnak ve elek teli, örgü tel, 425µm (#40) göz açıklığı</t>
  </si>
  <si>
    <t>Elek, Ø450x50mm derinlik, paslanmaz çelik kasnak ve elek teli, örgü tel, 400µm  göz açıklığı</t>
  </si>
  <si>
    <t>Elek, Ø450x50mm derinlik, paslanmaz çelik kasnak ve elek teli, örgü tel, 355µm (#45) göz açıklığı</t>
  </si>
  <si>
    <t>Elek, Ø450x50mm derinlik, paslanmaz çelik kasnak ve elek teli, örgü tel, 315µm  göz açıklığı</t>
  </si>
  <si>
    <t>Elek, Ø450x50mm derinlik, paslanmaz çelik kasnak ve elek teli, örgü tel, 300µm (#50) göz açıklığı</t>
  </si>
  <si>
    <t>Elek, Ø450x50mm derinlik, paslanmaz çelik kasnak ve elek teli, örgü tel, 250µm (#60) göz açıklığı</t>
  </si>
  <si>
    <t>Elek, Ø450x50mm derinlik, paslanmaz çelik kasnak ve elek teli, örgü tel, 212µm (#70) göz açıklığı</t>
  </si>
  <si>
    <t>Elek, Ø450x50mm derinlik, paslanmaz çelik kasnak ve elek teli, örgü tel, 200µm  göz açıklığı</t>
  </si>
  <si>
    <t>Elek, Ø450x50mm derinlik, paslanmaz çelik kasnak ve elek teli, örgü tel, 180µm (#80) göz açıklığı</t>
  </si>
  <si>
    <t>Elek, Ø450x50mm derinlik, paslanmaz çelik kasnak ve elek teli, örgü tel, 160µm  göz açıklığı</t>
  </si>
  <si>
    <t>Elek, Ø450x50mm derinlik, paslanmaz çelik kasnak ve elek teli, örgü tel, 150µm (#100) göz açıklığı</t>
  </si>
  <si>
    <t>Elek, Ø450x50mm derinlik, paslanmaz çelik kasnak ve elek teli, örgü tel, 125µm (#120) göz açıklığı</t>
  </si>
  <si>
    <t>Elek, Ø450x50mm derinlik, paslanmaz çelik kasnak ve elek teli, örgü tel, 106µm (#140) göz açıklığı</t>
  </si>
  <si>
    <t>Elek, Ø450x50mm derinlik, paslanmaz çelik kasnak ve elek teli, örgü tel, 100µm  göz açıklığı</t>
  </si>
  <si>
    <t>Elek, Ø450x50mm derinlik, paslanmaz çelik kasnak ve elek teli, örgü tel, 90µm (#170) göz açıklığı</t>
  </si>
  <si>
    <t>Elek, Ø450x50mm derinlik, paslanmaz çelik kasnak ve elek teli, örgü tel, 80µm  göz açıklığı</t>
  </si>
  <si>
    <t>Elek, Ø450x50mm derinlik, paslanmaz çelik kasnak ve elek teli, örgü tel, 75µm (#200) göz açıklığı</t>
  </si>
  <si>
    <t>Elek, Ø450x50mm derinlik, paslanmaz çelik kasnak ve elek teli, örgü tel, 63µm (#230) göz açıklığı</t>
  </si>
  <si>
    <t>Elek, Ø450x50mm derinlik, paslanmaz çelik kasnak ve elek teli, örgü tel, 53µm (#270) göz açıklığı</t>
  </si>
  <si>
    <t>Elek, Ø450x50mm derinlik, paslanmaz çelik kasnak ve elek teli, örgü tel, 50µm  göz açıklığı</t>
  </si>
  <si>
    <t>Elek, Ø450x50mm derinlik, paslanmaz çelik kasnak ve elek teli, örgü tel, 45µm (#325) göz açıklığı</t>
  </si>
  <si>
    <t>Elek, Ø450x50mm derinlik, paslanmaz çelik kasnak ve elek teli, örgü tel, 40µm  göz açıklığı</t>
  </si>
  <si>
    <t>Elek, Ø450x50mm derinlik, paslanmaz çelik kasnak ve elek teli, örgü tel, 38µm (#400) göz açıklığı</t>
  </si>
  <si>
    <t>Elek, Ø450x50mm derinlik, paslanmaz çelik kasnak ve elek teli, örgü tel, 25µm göz açıklığı</t>
  </si>
  <si>
    <t>Toplama Kabı, Ø450x50mm  paslanmaz çelik</t>
  </si>
  <si>
    <t>Kapak, Ø450mm paslanmaz çelik</t>
  </si>
  <si>
    <t>Elek Takımı   (Beton)            
Kasnak çapı 200 mm                    
31,5- 22,4- 16- 11,2- 8- 5,6- 4- 2- 1- 0,5- 0,25- 0,125- 0,063 mm göz açıklıklarında 13 adet analiz eleği, toplama kabı ve kapağı ile birlikte</t>
  </si>
  <si>
    <t>Elek Takımı  (Zemin)             
Kasnak çapı 200 mm                    
75-50-37,5-25-19-9,5-4,75-2-0,850-0,425-0,250-0,106-0,075 mm göz açıklıklarında 13 adet analiz eleği, toplama kabı ve kapağı ile birlikte</t>
  </si>
  <si>
    <t>Elek Takımı (Asfalt)          
Kasnak çapı 200 mm                    
3"- 2 1/2"- 2" - 1 1/2" - 1" - 3/4" - 1/2" - 3/8"  
No: 4 - 8 - 10 - 30 - 40 - 50 - 80 - 100 - 200 göz açıklıklarında
17 adet analiz eleği, toplama kabı ve kapağı ile birlikte</t>
  </si>
  <si>
    <t>Elek Takımı   (Beton)            
Kasnak çapı 300 mm                    
31,5- 22,4- 16- 11,2- 8- 5,6- 4- 2- 1- 0,5- 0,25- 0,125- 0,063 mm göz açıklıklarında 13 adet analiz eleği, toplama kabı ve kapağı ile birlikte</t>
  </si>
  <si>
    <t>Elek Takımı  (Zemin)             
Kasnak çapı 300 mm                    
75-50-37,5-25-19-9,5-4,75-2-0,850-0,425-0,250-0,106-0,075 mm
göz açıklıklarında 13 adet analiz eleği, toplama kabı ve kapağı ile birlikte</t>
  </si>
  <si>
    <t>Elek Takımı (Asfalt)          
Kasnak çapı 300 mm                    
3"- 2 1/2"- 2" - 1 1/2" - 1" - 3/4" - 1/2" - 3/8"  
No: 4 - 8 - 10 - 30 - 40 - 50 - 80 - 100 - 200
göz açıklıklarında 17 adet analiz eleği, toplama kabı ve kapağı ile birlikte</t>
  </si>
  <si>
    <t>40x60x7,5 cm Kare Elek, 125 mm</t>
  </si>
  <si>
    <t>40x60x7,5 cm Kare Elek, 100 mm (4'')</t>
  </si>
  <si>
    <t>40x60x7,5 cm Kare Elek, 90 mm</t>
  </si>
  <si>
    <t>40x60x7,5 cm Kare Elek, 80 mm</t>
  </si>
  <si>
    <t>40x60x7,5 cm Kare Elek, 75 mm (3'')</t>
  </si>
  <si>
    <t>40x60x7,5 cm Kare Elek, 63 mm</t>
  </si>
  <si>
    <t>40x60x7,5 cm Kare Elek, 56 mm</t>
  </si>
  <si>
    <t>40x60x7,5 cm Kare Elek, 53 mm (2.12'')</t>
  </si>
  <si>
    <t>40x60x7,5 cm Kare Elek, 50 mm (2'')</t>
  </si>
  <si>
    <t>40x60x7,5 cm Kare Elek, 45 mm (1-¾)</t>
  </si>
  <si>
    <t xml:space="preserve">40x60x7,5 cm Kare Elek, 40 mm </t>
  </si>
  <si>
    <t>40x60x7,5 cm Kare Elek, 37,5 mm (1-½)</t>
  </si>
  <si>
    <t>40x60x7,5 cm Kare Elek, 31,5 mm (1-¼'')</t>
  </si>
  <si>
    <t>40x60x7,5 cm Kare Elek, 26,5 mm (1.06'')</t>
  </si>
  <si>
    <t>40x60x7,5 cm Kare Elek, 25 mm (1'')</t>
  </si>
  <si>
    <t>40x60x7,5 cm Kare Elek, 22,4 mm(7/8'')</t>
  </si>
  <si>
    <t xml:space="preserve">40x60x7,5 cm Kare Elek, 20 mm </t>
  </si>
  <si>
    <t>40x60x7,5 cm Kare Elek, 19 mm (¾'')</t>
  </si>
  <si>
    <t>40x60x7,5 cm Kare Elek, 16 mm (5/8'')</t>
  </si>
  <si>
    <t>40x60x7,5 cm Kare Elek, 13,2 mm (.530'')</t>
  </si>
  <si>
    <t>40x60x7,5 cm Kare Elek, 12,5 mm (½'')</t>
  </si>
  <si>
    <t>40x60x7,5 cm Kare Elek, 11,2 mm (7/16'')</t>
  </si>
  <si>
    <t>40x60x7,5 cm Kare Elek, 10 mm</t>
  </si>
  <si>
    <t>40x60x7,5 cm Kare Elek, 9,5 mm (3/8'')</t>
  </si>
  <si>
    <t>40x60x7,5 cm Kare Elek, 8 mm (5/16'')</t>
  </si>
  <si>
    <t>40x60x7,5 cm Kare Elek, 6,7 mm (.265'')</t>
  </si>
  <si>
    <t>40x60x7,5 cm Kare Elek, 6,3 mm (¼'')</t>
  </si>
  <si>
    <t>40x60x7,5 cm Kare Elek, 5,6 mm (No.3-½)</t>
  </si>
  <si>
    <t>40x60x7,5 cm Kare Elek, 5 mm</t>
  </si>
  <si>
    <t>40x60x7,5 cm Kare Elek, 4,75 mm (No.4)</t>
  </si>
  <si>
    <t>40x60x7,5 cm Kare Elek, 4 mm (No.5)</t>
  </si>
  <si>
    <t>Elek Sallama Cihazı, 200 mm ve 300 mm çapında elekler için, zaman ayarlı, 220-240V 50-60Hz 1Ph</t>
  </si>
  <si>
    <t>Elek Sallama Cihazı, 200 mm ve 300 mm çapında elekler için, zaman ayarlı, frekans kontrollü. 220-240V 50-60Hz 1Ph</t>
  </si>
  <si>
    <t>Yüksek kapasiteli hidrolik kıskaçlı elek sallama cihazı, Gilson tipi, 630x420x75 mm ebatlı 6 adet  elek ve 1 adet toplama kabı kapasiteli, 4" - #200 dane boyu test edilebilir. Elekler ayrıca sipariş edilmelidir.                                                    
220-240V, 50-60Hz, 1ph</t>
  </si>
  <si>
    <t>Yüksek Kapasiteli Elek SallamaCihazı,Frekans ve Zaman Ayarlı; 630x420x75 mm ebatlı 6 adet  elek ve 1 adet toplama kabı kapasiteli, 4" - #200 dane boyu test edilebilir. Elekler ayrıca sipariş edilmelidir.                                                    
220-240V, 50-60Hz, 1ph</t>
  </si>
  <si>
    <t>Yüksek Kapasiteli Elek Sallama Cihazı, Zaman Ayarlı,Ses yalıtımlı Güvenlik Kabinli, 630x420x75 mm ebatlı 6 adet  elek ve 1 adet toplama kabı kapasiteli, 4" - #200 dane boyu test edilebilir. Elekler ayrıca sipariş edilmelidir.                                                    
220-240V, 50-60Hz, 1ph</t>
  </si>
  <si>
    <t>Yüksek Kapasiteli Elek Sallama Cihazı, Zaman Ayarlı,Frekans Kontrollü, Ses Yalıtımlı Güvenlik Kabinli 630x420x75 mm ebatlı 6 adet  elek ve 1 adet toplama kabı kapasiteli, 4" - #200 dane boyu test edilebilir. Elekler ayrıca sipariş edilmelidir.                                                    
220-240V, 50-60Hz, 1ph</t>
  </si>
  <si>
    <t>40x60x7,5 cm Kare Elek</t>
  </si>
  <si>
    <t>Air Jet Eleme Cihazı</t>
  </si>
  <si>
    <t>Elek Makinası (Russell Tipi)</t>
  </si>
  <si>
    <t>ULTRASONİK ELEK TEMİZLEME</t>
  </si>
  <si>
    <t>SÜRTÜNME PANDÜLÜ</t>
  </si>
  <si>
    <t>Bölgeç 7mm, 12 oluklu, 3 adet toplama kabı ile birlikte verilmektedir.</t>
  </si>
  <si>
    <t>Bölgeç 10mm, 12 oluklu, 3 adet toplama kabı ile birlikte verilmektedir.</t>
  </si>
  <si>
    <t>Bölgeç 13mm, 12 oluklu, 3 adet toplama kabı ile birlikte verilmektedir.</t>
  </si>
  <si>
    <t>Bölgeç 15mm, 12 oluklu, 3 adet toplama kabı ile birlikte verilmektedir.</t>
  </si>
  <si>
    <t>Bölgeç 19mm, 10 oluklu, 3 adet toplama kabı ile birlikte verilmektedir.</t>
  </si>
  <si>
    <t>Bölgeç 20mm, 10 oluklu, 3 adet toplama kabı ile birlikte verilmektedir.</t>
  </si>
  <si>
    <t>Bölgeç 25mm, 10 oluklu, 3 adet toplama kabı ile birlikte verilmektedir.</t>
  </si>
  <si>
    <t>Bölgeç 30mm, 10 oluklu, 3 adet toplama kabı ile birlikte verilmektedir.</t>
  </si>
  <si>
    <t>Bölgeç 38mm, 8 oluklu, 3 adet toplama kabı ile birlikte verilmektedir.</t>
  </si>
  <si>
    <t>Bölgeç 45mm, 8 oluklu, 3 adet toplama kabı ile birlikte verilmektedir.</t>
  </si>
  <si>
    <t>Bölgeç 50mm, 8 oluklu, 3 adet toplama kabı ile birlikte verilmektedir.</t>
  </si>
  <si>
    <t>Bölgeç 64mm, 8 oluklu, 3 adet toplama kabı ile birlikte verilmektedir.</t>
  </si>
  <si>
    <t>Bölgeç 75mm, 8 oluklu, 3 adet toplama kabı ile birlikte verilmektedir.</t>
  </si>
  <si>
    <t>SP1 ÖZEL AYARLI BÖLGEÇ 12,5 MM DEN BAŞLAYAN OLUK</t>
  </si>
  <si>
    <t>SP2 MODEL  MASA TİPİ ÖZEL AYARLI BÖLGEÇ</t>
  </si>
  <si>
    <t>Birim Ağırlık Kovası, 1 litre kapasiteli, korozyona dayanıklı metalden yapılmış ve su sızdırmaz özelliktedir. İki adet kulpu bulunmaktadır.</t>
  </si>
  <si>
    <t>Birim Ağırlık Kovası, 5 litre kapasiteli, korozyona dayanıklı metalden yapılmış ve su sızdırmaz özelliktedir. İki adet kulpu bulunmaktadır.</t>
  </si>
  <si>
    <t>Birim Ağırlık Kovası, 10 litre kapasiteli, korozyona dayanıklı metalden yapılmış ve su sızdırmaz özelliktedir. İki adet kulpu bulunmaktadır.</t>
  </si>
  <si>
    <t>Birim Ağırlık Kovası, 20 litre kapasiteli, korozyona dayanıklı metalden yapılmış ve su sızdırmaz özelliktedir. İki adet kulpu bulunmaktadır.</t>
  </si>
  <si>
    <t>Abraham Hunisi ve Tokmağı</t>
  </si>
  <si>
    <t>Abraham Hunisi</t>
  </si>
  <si>
    <t>Abraham Tokmağı</t>
  </si>
  <si>
    <t>Yassılık Tayin Aparatı(YASSILIK İNDEKSİ-ŞABLONU)</t>
  </si>
  <si>
    <t>Uzunluk Tayin Aparatı</t>
  </si>
  <si>
    <t>Şekil Endeksi Kumpası</t>
  </si>
  <si>
    <t>EFFLUX İNDEKS (İNCE AGREGALARDA AKIŞ KATSAYISI) APARATI</t>
  </si>
  <si>
    <t>Los Angeles Test Cihazı, Motor, tambura 31 devir/dakika ile 33 devir/dakika arasında dönme hızı uygulayabilmektedir. Devir sayıcısı sayesinde motor ayarlanan sayıda dönerek durur. Deneyden sonra malzeme ve bilya yükünü toplamak için tepsisi bulunmaktadır. 
220 V, 50-60Hz, 1ph</t>
  </si>
  <si>
    <t>Los Angeles Test Cihazı, Güvenlik Kabinli. Motor, tambura 31 devir/dakika ile 33 devir/dakika arasında dönme hızı uygulayabilmektedir. Devir sayıcısı sayesinde motor ayarlanan sayıda dönerek durur. Deneyden sonra malzeme ve bilya yükünü toplamak için tepsisi bulunmaktadır. 
220 V, 50-60Hz, 1ph, Bilyalar fiyata dahil edilmemiştir.</t>
  </si>
  <si>
    <t>Los Angeles Aşındırma Bilya Seti, ASTM/UNI/CNR,  paslanmaz çelik, 12 adet bilya</t>
  </si>
  <si>
    <t>Los Angeles Aşındırma Bilya Seti EN, paslanmaz çelik, 11 adet bilya</t>
  </si>
  <si>
    <t>Mikro-Deval Cihazı, tamburlarI (100 ± 5) devir/dak sabit dönme hızında döndüren uygun bir motor içermektedir. Otomatik devir sayıcısı sayesinde cihaz ayarlanan sayıda döndükten sonra otomatik olarak durur. Cihaza 4 adet paslanmaz çelik tambur yerleştirilebilmektedir. İç çapı (200 ± 1) mm, taban ile kapağın iç yüzeyi arasındaki iç uzunluğu (154 ± 1) mm olan 2 adet paslanmaz çelik Ø200x154 mm tambur ve 10 kg Ø10 mm aşındrma bilyesi ile set olarak verilmektedir. 220V 50-60Hz, 1 ph</t>
  </si>
  <si>
    <t>İç çapı (200 ± 1) mm, taban ile kapağın iç yüzeyi arasındaki iç uzunluğu (154 ± 1) mm olan paslanmaz çelik Ø200x154 mm tambur</t>
  </si>
  <si>
    <t>Mikro-Deval Aşındırma Bilya Seti Ø10mm, EN 1097-1 standartına uygun, Ø10mm çapında çelik küreler,  10 Kg pakette. Toplam 6120 adet</t>
  </si>
  <si>
    <t>Rögar Kapağı Test Cihazı</t>
  </si>
  <si>
    <t>Nordic Aşınma Cihazı, dijital göstergeli elektronik kontrol ünitesi ve iç çapı 206,5mm, uzunluğu 335mm, et kalınlığı 6mm olan silindir şeklinde paslanmaz çelik bir tamburdan oluşur. Tamburun dönme hızı 90±3 dev/dk'dır. Tambur içerisine yerleştirilen 3 kanat, bilyalar ve agreganın düzgün karıştırılmasını sağlar. Bir adet tambur ve toplam 7 kg ağırlığında 15mm çaplı çelik bilyalarıyla birlikte. 220-240V, 50-60Hz, 1faz</t>
  </si>
  <si>
    <t>Hızlandırılmış Parlatma Makinası, kayma direnci testi için parlatılmış taş numunesi hazırlanmasında kullanılır.Bir adet kalıp ve kapağı, kütle ayar kapları (bir adet ince ve bir adet kaba zımpara için), bir adet allen anahtar seti ve 2 adet lastik tekerlek ile birlikte verilmektedir.  Kaba Zımpara,  İnce Zımpara, ilave Numune Kalıp ve Kapakları  ve Kontrol Taşı ayrıca sipariş edilmelidir. 220-240V, 50-60Hz, 1faz.</t>
  </si>
  <si>
    <t>Agrega Darbe Cihazı; Üzerindeki sayaç otomatik olarak darbe sayısını kaydetmektedir. - 100x50 mm çaplı silindir kalıp, 75 mm çaplı ve 50 mm yüksekliğindeki silindir mezür ve çelik şişleme çubuğu set olarak verilmektedir.</t>
  </si>
  <si>
    <t>Agrega Kırılma Deney Seti, (10 mm'den küçük agregalar için) 75mm çaplı çelik silindir, piston,metal mezür, taban plakası ve şişleme çubuğu ile birlikte set olarak verilmektedir.</t>
  </si>
  <si>
    <t>Çelik Silindir  Ø75 mm</t>
  </si>
  <si>
    <t>Taban Plakası</t>
  </si>
  <si>
    <t>Piston</t>
  </si>
  <si>
    <t>Metal Mezür Ø57x90</t>
  </si>
  <si>
    <t>Tamping Rod. Ø 8 x 300 mm</t>
  </si>
  <si>
    <t>Aggregate Crushing Value, Ø150mm ID cylindrical measure, base plate, plunger, metal measure, tamping rod</t>
  </si>
  <si>
    <t>Çelik Silindir  Ø 150 mm</t>
  </si>
  <si>
    <t>Metal Mezür Ø115x180</t>
  </si>
  <si>
    <t>Şişleme Çubuğu. Ø 16 x 600 mm</t>
  </si>
  <si>
    <t>Mekanik Mezür Sallayıcı. 1 lt kapasiteli Cam  Hidrometre Mezürü ve lastik tapa  ile birlikte verilmektedir.</t>
  </si>
  <si>
    <t>1 lt kapasiteli Hidrometre Mezürü</t>
  </si>
  <si>
    <t>Kum Eşdeğeri Deney Seti. EN Model.                                                   
2 adet mezür, yıkama tüpü, ağırlık, ağırlık askısı, lastik tıpa, plastik huni, lastik hortum, 5 litre kapasiteli plastik bidon, Çelik Cetvel 300x0.1 mm, 55mm çap x 35mm derinlik Numune Kutusu ve taşıma çantası ile birlikte set olarak verilmektedir. (stock solüsyonu hariç)</t>
  </si>
  <si>
    <t>Kum Eşdeğeri İki Ölçü Çizgili Mezür EN</t>
  </si>
  <si>
    <t>Sifon Takımı (lastik tıpa, lastik hortum, 5 litre kapasiteli plastik bidon, yıkama tüpü)</t>
  </si>
  <si>
    <t>Daldırma Takımı (ağırlık, ağırlık askısı)</t>
  </si>
  <si>
    <t>Kum Eşdeğeri Deney Seti. ASTM Model.                                                   
2 adet derecelendirilmiş mezür, yıkama tüpü, ağırlık, ağırlık askısı, lastik tıpa, plastik huni, lastik hortum, 5 litre kapasiteli plastik bidon ve taşıma çantası ile birlikte set olarak verilmektedir. (stock solüsyonu hariç)</t>
  </si>
  <si>
    <t>Kum Eşdeğer Mezürü. ASTM, İç çap 32,0 ± 0,5mm, yükseklik 430,00 ± 0,25mm, 3 mm et kalınlığında cam mezür, tabandan 100,00 ± 0,25mm ve 380,00 ± 0,25mm açıkça işaretlenmiş, açık ağzı cilalanmış ve damlalıksız mezür ve tapası.</t>
  </si>
  <si>
    <t>Çelik Cetvel 300x0.1 mm</t>
  </si>
  <si>
    <t>Plastik Huni, 100 mm</t>
  </si>
  <si>
    <t>Numune Kutusu, 55mm çap x 35mm derinlik</t>
  </si>
  <si>
    <t>5 lt kapasiteli Plastik Bidon</t>
  </si>
  <si>
    <t>Taşıma Çantası</t>
  </si>
  <si>
    <t>Kum Eşdeğer Sallama Cihazı;
Kum Eşdeğer mezürlerini homojen bir şekilde sallamak için kullanılır. 220-240V,50 Hz, 1faz</t>
  </si>
  <si>
    <t>Kum Eşdeğer Sallama Cihazı, Güvenlik kabinli.
Kum Eşdeğer mezürlerini homojen bir şekilde sallamak için kullanılır. 220-240V,50 Hz, 1faz</t>
  </si>
  <si>
    <t xml:space="preserve">Tel Sepet, 3,35 mm (No:6), paslanmaz çelik , 200mm çap, 200mm </t>
  </si>
  <si>
    <t xml:space="preserve">Tel Sepet, 3,35 mm (No:6), paslanmaz çelik , 250mm çap, 250mm </t>
  </si>
  <si>
    <t xml:space="preserve">Tel Sepet, 2,00 mm(No:10) , paslanmaz çelik , 200mm çap,180mm </t>
  </si>
  <si>
    <t xml:space="preserve">Tel Sepet, 3,35 mm (No:6), paslanmaz çelik , 120mm çap, 160mm </t>
  </si>
  <si>
    <t xml:space="preserve">Tel Sepet, 1.7 mm (No:12), paslanmaz çelik, 120 mm çap, 160mm </t>
  </si>
  <si>
    <t xml:space="preserve">Tel Sepet, 600 mikron (No.30), paslanmaz çelik, 120 mm çap, 160mm </t>
  </si>
  <si>
    <t xml:space="preserve">Tel Sepet, 9,5 mm (3/8"), paslanmaz çelik, 200 mm çap, 200mm </t>
  </si>
  <si>
    <t xml:space="preserve">Tel Sepet, 4 mm (No.5), paslanmaz çelik, 240 mm çap, 260mm </t>
  </si>
  <si>
    <t xml:space="preserve">Tel Sepet, 1,18 mm (No.16), paslanmaz çelik, 95 mm çap,120mm </t>
  </si>
  <si>
    <t xml:space="preserve">Tel Sepet, 0,600 mm (No.30), paslanmaz çelik, 95 mm çap,120mm </t>
  </si>
  <si>
    <t xml:space="preserve">Tel Sepet, 0,150 mm (No.100), paslanmaz çelik, 65 mm çap,80mm </t>
  </si>
  <si>
    <t>Piknometre, 25 ml</t>
  </si>
  <si>
    <t>Piknometre, 50 ml</t>
  </si>
  <si>
    <t>Piknometre, 100 ml</t>
  </si>
  <si>
    <t>Piknometre, 250 ml</t>
  </si>
  <si>
    <t>Piknometre, 500 ml</t>
  </si>
  <si>
    <t>Piknometre, 1000 ml</t>
  </si>
  <si>
    <t>Piknometre, Şişe Tipi, 500ml</t>
  </si>
  <si>
    <t>Piknometre, Şişe Tipi, 1000ml</t>
  </si>
  <si>
    <t>Piknometre, Şişe Tipi, 2000ml</t>
  </si>
  <si>
    <t>Piknometre, Şişe Tipi, 3000ml</t>
  </si>
  <si>
    <t>Piknometre, Şişe Tipi, 5000ml</t>
  </si>
  <si>
    <t>Piknometre (cam kavanoz tipi)</t>
  </si>
  <si>
    <t>Doldurma başlığı  (Şişe Tipi Piknometre için camdan, ağzı şilifli)</t>
  </si>
  <si>
    <t>SU TROMPU</t>
  </si>
  <si>
    <t>Metilen Mavisi Deney Seti;
400/600 dv/dk hızlı karıştırıcı, 2000 ml plastik beher, cam baget, 50 ml cam büret, büret tutacağı ve büret standı, 100 gr metilen tozu, 500 gr kaolinit, 100 adet filtre kağıdı set olarak verilmektedir. 220-240V, 50-60 Hz, 1 faz</t>
  </si>
  <si>
    <t>Hızlı karıştırıcı; 400/600 dv/dk</t>
  </si>
  <si>
    <t xml:space="preserve">Büret tutacağı </t>
  </si>
  <si>
    <t>Büret standı</t>
  </si>
  <si>
    <t>Büret kıskacı</t>
  </si>
  <si>
    <t>Plastik Beher, Kulplu, 2000 ml</t>
  </si>
  <si>
    <t>Cam Baget; 8*250 mm</t>
  </si>
  <si>
    <t>Cam Büret 50ml</t>
  </si>
  <si>
    <t>Metilen Mavisi Tozu. 100 gr</t>
  </si>
  <si>
    <t>Kaolin, 500 gr.</t>
  </si>
  <si>
    <t>Metilen Mavisi Deneyi Filtre Kağıdı, Ø125 mm çap. 
1 Paket: 100 adet</t>
  </si>
  <si>
    <t>Özgül ağırlık Test Seti; Set; Özgül Ağırlık Çerçevesi, Küp Numune Tutucusu, Plastik Su Kovası ve Tel Sepetten oluşmaktadır. 0.1 veya 0,5 gr hassasiyetli, alttan tartım özellikli bir terazi ile birlikte kullanılmalıdır.
Terazi ayrıca sipariş edilmelidir.</t>
  </si>
  <si>
    <t>Özgül Ağırlık Çerçevesi</t>
  </si>
  <si>
    <t>Küp Numune Tutucusu</t>
  </si>
  <si>
    <t>Plastik Su Kovası. 28x38x30 cm</t>
  </si>
  <si>
    <t>Plastik Su Kovası. 40x40x30 cm</t>
  </si>
  <si>
    <t>Havada Donma-Havada Çözünme Kabini,
Kullanılır hacim: 250 litre
Sıcaklık Çalışma Aralığı :- 30 ºC ile +30 º C
220 V, 50-60 Hz, 1 ph</t>
  </si>
  <si>
    <t>Havada Donma-Suda Çözünme Kabini,
Kullanılır hacim: 250 litre
Sıcaklık Çalışma Aralığı :- 30 ºC ile +30 º C
220 V, 50-60 Hz, 1 ph</t>
  </si>
  <si>
    <t>Havada Donma-Havada Çözünme Kabini,
Kullanılır hacim: 500 litre
Sıcaklık Çalışma Aralığı :- 30 ºC ile +30 º C
220 V, 50-60 Hz, 1 ph</t>
  </si>
  <si>
    <t>Havada Donma-Suda Çözünme Kabini,
Kullanılır hacim: 500 litre
Sıcaklık Çalışma Aralığı :- 30 ºC ile +30 º C
220 V, 50-60 Hz, 1 ph</t>
  </si>
  <si>
    <t>Suda Donma-Suda Çözünme Kabini,
Kullanılır hacim: 500 litre
Sıcaklık Çalışma Aralığı :- 30 ºC ile +30 º C
220 V, 50-60 Hz, 1 ph</t>
  </si>
  <si>
    <t>Havada Donma-Çözünme Kabini,
Kullanılır hacim: 750 litre
Sıcaklık Çalışma Aralığı :- 30 ºC ile +30 º C
380 V, 50-60 Hz, 3 ph</t>
  </si>
  <si>
    <t>Havada Donma-Suda Çözünme Kabini,
Kullanılır hacim: 750 litre
Sıcaklık Çalışma Aralığı :- 30 ºC ile +30 º C
380 V, 50-60 Hz, 3 ph</t>
  </si>
  <si>
    <t>Suda Donma-Suda Çözünme Kabini,
Kullanılır hacim: 750 litre
Sıcaklık Çalışma Aralığı :- 30 ºC ile +30 º C
380 V, 50-60 Hz, 3 ph</t>
  </si>
  <si>
    <t>Havada Donma-Çözünme Kabini,
Kullanılır hacim: 1000 litre
Sıcaklık Çalışma Aralığı :- 30 ºC ile +30 º C
380 V, 50-60 Hz, 3 ph</t>
  </si>
  <si>
    <t>Magnezyum Sülfat Test Seti;
Magnezyum/Sodyum Sülfat Su Banyosu, Plastik kapaklı kutu Ø160 x 235 mm, Ø12 x 16 cm, 1,7 (No.12) mm Tel Sepet, Ø12 x 16 cm, 0,600 (No.30) mm Tel Sepet, Hidrometre 1200-1300 g/ml ve 1 kg Magnezyum Sülfat ile birlikte verilmektedir. 220 V, 50-60 Hz, 1 ph
Diğer aksesuarlar ayrıca sipariş edilmelidir.</t>
  </si>
  <si>
    <t>Sodyum Sülfat Test Seti;
Magnezyum/Sodyum Sülfat Su Banyosu, Plastik kapaklı kutu Ø160 x 235 mm, Ø12 x 16 cm, 1,7 (No.12) mm Tel Sepet, Ø12 x 16 ve 1 kg Sodyum Sülfat ile birlikte verilmektedir. 220 V, 50-60 Hz, 1 ph
Diğer aksesuarlar ayrıca sipariş edilmelidir.</t>
  </si>
  <si>
    <t>Magnezyum/Sodyum Sülfat Su Banyosu. 
Daldırma Kabini çıkartıldığında, 15ºC - 60 ºC arası sıcaklıklarda ± 1.0 ºC doğrulukta genel amaçlı su banyosu olarak da kullanılabilir.
220 V, 50-60 Hz, 1 ph</t>
  </si>
  <si>
    <t>Plastik kapaklı kutu, Ø160 x 235 mm, EN / ASTM</t>
  </si>
  <si>
    <t>Plastik kapaklı kutu, Ø270 x 300 mm, EN</t>
  </si>
  <si>
    <t>Dansimetre, 1100-1200 g/ml, ASTM</t>
  </si>
  <si>
    <t>Dansimetre, 1200-1300 g/ml, EN/ASTM</t>
  </si>
  <si>
    <t>Daldırma Kabini</t>
  </si>
  <si>
    <t xml:space="preserve">Tel Sepet, 1.7 mm, paslanmaz çelik, 120 mm çap, 160mm </t>
  </si>
  <si>
    <t>Sodyum Sülfat, Na2SO4, 1 kg</t>
  </si>
  <si>
    <t>Magnezyum sülfat, 1 kg</t>
  </si>
  <si>
    <t>Magnezyum sülfat, 25 kg</t>
  </si>
  <si>
    <t>Küçük Tüp Tam Takım</t>
  </si>
  <si>
    <t xml:space="preserve">Analog Büzülme Deney Seti; Boy Ölçüm Çerçevesi, Üç Gözlü Kalıp  50x50x200mm, çelik inset (10 adet), Referans Çubuğu 205 mm ve 0,01 mm analog komparatör saati ile birlikte set olarak verilmektedir. </t>
  </si>
  <si>
    <t xml:space="preserve">Dijital Büzülme Deney Seti; Boy Ölçüm Çerçevesi, Üç Gözlü Kalıp  50x50x200mm, çelik inset (10 adet), Referans Çubuğu 205 mm ve 0.001mm dijital komparatör saati ile birlikte set olarak verilmektedir. </t>
  </si>
  <si>
    <t>Boy Ölçüm Çerçevesi; Betonun kuruma çekmesi üzerinde agregaların etkisinin tayini esasına dayanır. 205 mm kadar uzunluktaki örnekleri test edebilir, ölçüm yüksekliği ayarlanabilir.</t>
  </si>
  <si>
    <t>Üç Gözlü Kalıp, 50x50x200mm</t>
  </si>
  <si>
    <t>Çelik İnsert; 1 set=10 adet</t>
  </si>
  <si>
    <t>Referans Çubuğu, 205 mm uzunluğunda</t>
  </si>
  <si>
    <t>Analog Komparatör Saati, 10 x 0,01 mm</t>
  </si>
  <si>
    <t>Dijital Komparatör Saati, 12.7 x 0,001 mm</t>
  </si>
  <si>
    <t>Organik Madde Skalası. İthal, Humboldt Marka</t>
  </si>
  <si>
    <t>Renk Skalası Şişesi, 500ml kapasiteli, kapaklı</t>
  </si>
  <si>
    <t>Renk Skalası Şişesi, 1000ml kapasiteli, kapaklı</t>
  </si>
  <si>
    <t>Sodyum Hidroksit, NaOH, 1 kg</t>
  </si>
  <si>
    <t>Quantab Klorür Titratör,Type 1175</t>
  </si>
  <si>
    <t>Quantab Klorür Titratör,Type 1176</t>
  </si>
  <si>
    <t>PH/KLOR İÇERİĞİ</t>
  </si>
  <si>
    <t>ÇİMENTO KALORİMETRESİ</t>
  </si>
  <si>
    <t>Alkali Agrega Banyosu, 25x25x285 mm ölçüsündeki numunelerin, NaOH veya başka bir çözelti içinde belirli bir sıcaklıkta kürlenmesi için kullanılmaktadır. Sıcaklık ayarı Dijital kontrol ünitesinden Ortam sıcaklığı ile 100 °C arası sıcaklıklarda 1°C hassasiyette yapılabilmektedir. 36 adet numune yerleştirilebilen tek bir hazneden oluşmaktadır. Kapak kısmı sızdırmaz özellikli temperli camdan imal edilmiştir. Tekerleklidir.</t>
  </si>
  <si>
    <t xml:space="preserve">Alkali Agrega Banyosu, 25x25x285 mm ölçüsündeki numunelerin, NaOH veya başka bir çözelti içinde belirli bir sıcaklıkta kürlenmesi için kullanılmaktadır. Sıcaklık ayarı Dijital kontrol ünitesinden Ortam sıcaklığı ile 100 °C arası sıcaklıklarda 1°C hassasiyette yapılabilmektedir. Her birine 36 adet numune yerleştirilebilen iki ayrı hazneden oluşmaktadır. Kapak kısmı sızdırmaz özellikli temperli camdan imal edilmiştir. Tekerleklidir.
</t>
  </si>
  <si>
    <t>Çimento Büzülme Kalıbı İki gözlü, 25x25x285mm</t>
  </si>
  <si>
    <t>Referans Çubuğu, 305 mm uzunluğunda</t>
  </si>
  <si>
    <t xml:space="preserve">600 kN Otomatik Karot- Kaya Test Presi; Yükleme Gövdesi, Otomatik Hidrolik Güç Ünitesi, Dijital veri okuma &amp; kontrol sistemi, Yazılım, 1 adet Ø 165x80 mm, 2 adet Ø 165x50 mm ve 2 adet Ø 165x25 mm Ara Mesafe Parçaları, Oynarbaşlık sistemli Üst Plaka,  Ø165 mm, Alt Plaka Ø165 mm ile birlikte set olarak verilmektedir. 220 V, 50-60 Hz, 1 ph
***Bilgisayar opsiyoneldir. Laboratuvarınızda bulunan 32 bit işletim sistemli bir Bilgisayar ile birlikte kullanılabilmektedir. </t>
  </si>
  <si>
    <t>600 kN Yükleme Gövdesi, Karot- Kaya Testleri için.</t>
  </si>
  <si>
    <t>Otomatik Hidrolik Güç Ünitesi ve Dijital Grafik Ekranlı Okuma Sistemi. Yazılım ücretsiz olarak sistem ile birlikte verilmektedir.
Çok nokta kalibrasyon imkanı. Maksimum kapasitesi 410 Bardır. 220V, 50-60Hz, 1ph
***Bilgisayar opsiyoneldir.</t>
  </si>
  <si>
    <t>Otomatik Hidrolik Güç Ünitesi.
220V, 50-60Hz, 1ph</t>
  </si>
  <si>
    <t>Dijital Grafik Ekranlı Okuma Sistemi. Yazılım ücretsiz olarak sistem ile birlikte verilmektedir.</t>
  </si>
  <si>
    <t>Yüksek Hassasiyetli Basınç Transduseri</t>
  </si>
  <si>
    <t>Yazılım</t>
  </si>
  <si>
    <t>Ara Mesafe Parçası, Ø 205 x 25 mm</t>
  </si>
  <si>
    <t>Ara Mesafe Parçası, Ø 205 x 50 mm</t>
  </si>
  <si>
    <t>Ara Mesafe Parçası, Ø 205 x 80 mm</t>
  </si>
  <si>
    <t>Bilgisayar ve Yazıcı</t>
  </si>
  <si>
    <t>Basınç Jigi, Kaya - Karot Numuneleri için.</t>
  </si>
  <si>
    <t>Kayaç mukavametini ölçen Kaya Test Çekici</t>
  </si>
  <si>
    <t>Test Beşiği</t>
  </si>
  <si>
    <t>Kalibrasyon Örsü</t>
  </si>
  <si>
    <t>Dijital Nokta Yükleme Test Cihazı: Hidrolik, 50 kN kapasitelidir. Dijital göstergilidir, Taşıma kutusu ile birlikte verilmektedir.</t>
  </si>
  <si>
    <t>Dijital Nokta Yükleme Test Cihazı: Hidrolik, 100 kN kapasitelidir. Dijital göstergilidir, Taşıma kutusu ile birlikte verilmektedir.</t>
  </si>
  <si>
    <t>Slake Durabilite Test Cihazı; kaideye monte edilmiş motor sürücü ünitesinden oluşmuştur ve iki tamburu 20 dak./dev. süratle çevirebilecek kabiliyettedir. Tank,tambur mili ekseninin 20 mm altına kadar su ile doldurulur. Test tamburları 2mm tel 140 mm çapta ve 100 mm uzunlukta imal edilmiştir.</t>
  </si>
  <si>
    <t>Test tamburları; 2 adet, 2mm tel 140 mm çapta ve 100 mm uzunlukta imal edilmiştir.</t>
  </si>
  <si>
    <t>Kayada Üç Eksenli Testi için, Hook Hücresi ve Yanal Basınç Ünitesi;
Yanal basınç sistemi 700 bar kapasiteli hidrolik pompa ve manometreden oluşmaktadır. Ø 54,74 mm NX tipi hoek hücresi, 5 adet NX tipi hücre membranı, hücre bağlantı adaptörleri ve basınç hortumu ile birlikte verilmektedir.</t>
  </si>
  <si>
    <t xml:space="preserve">2000 kN Otomatik Beton Test Presi; EN, Yükleme Gövdesi, Otomatik Hidrolik Güç Ünitesi, Dijital veri okuma &amp; kontrol sistemi, Yazılım,  Ø 200x50mm, Ø 200x70 mm ve Ø 200x80 mm Ara Mesafe Parçaları, Oynarbaşlık sistemli Üst Plaka,  Ø300 mm, Alt Plaka Ø300 mm ile birlikte set olarak verilmektedir. 220 V, 50-60 Hz, 1 ph
***Bilgisayar ayrıca sipariş verilecektir.. </t>
  </si>
  <si>
    <t>Yanal Basınç Ünitesi</t>
  </si>
  <si>
    <t>Hidrolik El Pompası, 700 bar</t>
  </si>
  <si>
    <t>Basınç Transduseri ve Dijital Okuma Ünitesi</t>
  </si>
  <si>
    <t>Hoek Hücresi, NX, Ø 54,74 mm</t>
  </si>
  <si>
    <t>Yedek Membran, Hoek Hücresi için.</t>
  </si>
  <si>
    <t xml:space="preserve">Taşınabilir Kaya Mekaniği Disk Makaslama Cihazı ASTM D5607 - 5 Adet 30X0.01 mm komparatör saati (4 düşey, 1 yatay), yatay ve düşey yükleme için  manometreli 2 adet el pompası , 1 adet kalıplama aparatı ile komple set.- olarak verilmektedir.
 </t>
  </si>
  <si>
    <t>Numune çıkarıcı, Hoek üç eksenli hücreleri için</t>
  </si>
  <si>
    <t>Otomatik Standart Penetrometre Test</t>
  </si>
  <si>
    <t>Santrifuj Ekstraktör Test Seti, 1500 g kapasiteli, Dönüş hızı 0- 3600 dev/dk. arasında kademesiz olarak ayarlanabilmektedir. 50 adet filtre kağıdı ile birlikte set olarak verilmektedir. 
220 V, 50-60 Hz, 1 ph</t>
  </si>
  <si>
    <t>Santrifuj Ekstraktör Filtre Kağıdı, 1500 gr kapasiteli cihaz için, 
1 paket= 50 adet</t>
  </si>
  <si>
    <t>Santrifuj Ekstraktör Kabı ve Kapağı, 1500 gr kapasiteli cihaz için.</t>
  </si>
  <si>
    <t>Santrifuj Ekstraktör Test Seti, 3000 g kapasiteli, Dönüş hızı 0- 3600 dev/dk. arasında kademesiz olarak ayarlanabilmektedir. 50 adet filtre kağıdı ile birlikte set olarak verilmektedir. 
220 V, 50-60 Hz, 1 ph</t>
  </si>
  <si>
    <t>Santrifuj Ekstraktör Filtre Kağıdı, 3000 gr kapasiteli cihaz için, 
1 paket= 100 adet</t>
  </si>
  <si>
    <t>Santrifuj Ekstraktör Kabı ve Kapağı, 3000 gr kapasiteli cihaz için.</t>
  </si>
  <si>
    <t>Reflüks (Soksilet) Ekstraktör Test Seti, 1000 gr kapasiteli, Reflüks Ekstraktör  camı, 2 adet konik tel sepet, yoğunlaştırıcı,amyant tel, elektrikli ısıtıcı ve 50 adet filtre kağıdı ile birlikte set olarak verilmektedir. 220 V, 50-60 Hz, 1 ph</t>
  </si>
  <si>
    <r>
      <t xml:space="preserve">Reflüks Ekstraktör Camı, 1000 gr kapasiteli.
</t>
    </r>
    <r>
      <rPr>
        <sz val="10"/>
        <rFont val="Cambria"/>
        <family val="1"/>
        <charset val="162"/>
      </rPr>
      <t>∅</t>
    </r>
    <r>
      <rPr>
        <sz val="8.5"/>
        <rFont val="Cambria"/>
        <family val="1"/>
        <charset val="162"/>
      </rPr>
      <t xml:space="preserve"> </t>
    </r>
    <r>
      <rPr>
        <sz val="10"/>
        <rFont val="Cambria"/>
        <family val="1"/>
        <charset val="162"/>
      </rPr>
      <t>150*460 mm</t>
    </r>
  </si>
  <si>
    <t>Reflüks Ekstraktör Yoğunlaştırıcısı, 1000 gr kapasiteli</t>
  </si>
  <si>
    <t>Reflüks Ekstraktör Konik Sepeti, 500 gr kapasiteli</t>
  </si>
  <si>
    <t>Filtre Kağıdı, Reflüks Ekstraktör deneyleri için, 300 mm çap (100 adet)</t>
  </si>
  <si>
    <t>Amyant Tel. 12x12 cm</t>
  </si>
  <si>
    <t>Reflüks (Soksilet) Ekstraktör Test Seti, 4000 gr kapasiteli, Reflüks Ekstraktör  camı, 2 adet konik tel sepet, yoğunlaştırıcı,amyant tel, elektrikli ısıtıcı ve 50 adet filtre kağıdı ve taşıma çantası ile birlikte set olarak verilmektedir. 220 V, 50-60 Hz, 1 ph</t>
  </si>
  <si>
    <t>Reflüks Ekstraktör Camı, 4000 gr kapasiteli
Ø 220 x 460 mm</t>
  </si>
  <si>
    <t>Reflüks Ekstraktör Yoğunlaştırıcısı, 4000 gr kapasiteli</t>
  </si>
  <si>
    <t>Reflüks Ekstraktör Konik Sepeti, 2000 gr kapasiteli</t>
  </si>
  <si>
    <t>Filtre Kağıdı, Reflüks Ekstraktör deneyleri için, 400 mm çap 
(50 adet)</t>
  </si>
  <si>
    <t>Amyant Tel. 16x16 cm</t>
  </si>
  <si>
    <t>Trikloretilen Geri Kazanma Cihazı, 10 litre/saat kapasiteli elektrikli ısıtıcı ve su soğutma sistemine sahiptir. 10m plastik tüp, tüp kıskaçları, 0.6 mm göz açıklığında bağlantı yuvası ve  kapağı ile birlikte set olarak verilmektedir.  
220 V, 50-60 Hz, 1 ph</t>
  </si>
  <si>
    <t>Binder Geri Kazanım Cihazı, tüm geri kazanım döngüsü sırasında kaynayan su tutmak için Dijital Termostat kontrollü Su Banyosu ile birlikte kullanılmaktadır. Su Banyosu kapaklıdır.
Vakum Pompası, Vakum Göstergesi, 6 m Hortum, 1000 ml lastik tıpalı Erlenmayer, 2 adet 250 ml düz tabanlı lastik tıpalı Cam Şişe ve diğer gerekli bağlantı parçaları ile birlikte verilmektedir.</t>
  </si>
  <si>
    <t>Vakum Piknometresi Set; 10 lt Paslanmaz Çelik Vakum Piknometresi, Zaman Kontrollü Sallayıcı,Ø 63 mm -760 mmHg vakum manometre ve 250 ml Erlenmayer ile birlikte. Vakum Pompası, Tek Kademe, 51 lt/dak. Akış Hızı, 2 Pa Vakum Gücü, Yağlı Tip, 220 V, 50-60 Hz, 1 Ph</t>
  </si>
  <si>
    <t>Vakum Piknometresi. 10 lt, Paslanmaz Çelik</t>
  </si>
  <si>
    <t>Vakum Pompası, Tek Kademe, 51 lt/dak. Akış Hızı, 2 Pa Vakum Gücü, Yağlı Tip, 220 V, 50-60 Hz, 1 Ph</t>
  </si>
  <si>
    <t>Hortum. 1.5 metre</t>
  </si>
  <si>
    <t>Ø 63 mm  -760 mmHg Manometre</t>
  </si>
  <si>
    <t>Nuce Erlenmayer 250ml</t>
  </si>
  <si>
    <t>Benzin motorlu Karot Makinası; Tekerleklidir. Su püskürtme aparatı cihaz üzerine montelidir. 4 noktadan yere sabitlenebilmektedir.  6,5 hp Amerikan Malı Motor Kullanılmaktadır. Karot bıçakları ayrıca sipariş edilmelidir.</t>
  </si>
  <si>
    <t>Römorklu Asfalt Karot Makinesi; 150 mm çapa kadar karot alma kapasitesi.Cihaz bir römork içerisine yerleştirilmiştir. Römork araba ile çekilebilir tiptedir ve branda ile kapatılmıştır. Benzin motorludur. İçerisinde 100 lt kapasiteli su tankı bulunmaktadır. 3 noktadan yere sabitlenebilmektedir.  6,5 hp Amerikan Malı Motor Kullanılmaktadır.  Karot bıçakları ayrıca sipariş edilmelidir.</t>
  </si>
  <si>
    <t>Karot Bıçağı, asfalt numuneleri için, Ø50 mm, 400mm boy</t>
  </si>
  <si>
    <t>Karot Bıçağı, asfalt numuneleri için, Ø75 mm, 400mm boy</t>
  </si>
  <si>
    <t>Karot Bıçağı, asfalt numuneleri için, Ø100 mm, 400mm boy</t>
  </si>
  <si>
    <t>Karot Bıçağı, asfalt numuneleri için, Ø150 mm, 400mm boy</t>
  </si>
  <si>
    <t>Karot Bıçağı, asfalt numuneleri için, Ø200 mm, 400mm boy</t>
  </si>
  <si>
    <t>Asfalt mikseri; 5 litre kapasiteli olup asfalt karışımların homojen olarak karıştırılmasını sağlar. Cihaz üzerindeki potansiyometreden cihaz hızı ayarlanabilir. 5 litre kapasiteli karıştırma kabı ve karıştırma paleti ile birlikte verilmektedir. Elektrikli Isıtıcı ayrıca sipariş edilmelidir. 220 V, 50-60 Hz, 1 ph</t>
  </si>
  <si>
    <t>Asfalt Mikseri Karıştırma Kabı, 5 litre kapasiteli.</t>
  </si>
  <si>
    <t>Asfalt Mikseri Karıştırma Paleti</t>
  </si>
  <si>
    <t>Elektrikli asfalt mikseri alt ısıtıcısı. 5 litre kapasiteli.
220 V, 50-60 Hz, 1 ph</t>
  </si>
  <si>
    <t>Asfalt mikseri; 10 litre kapasiteli olup asfalt karışımların homojen olarak karıştırılmasını sağlar. Cihaz üzerindeki potansiyometreden cihaz hızı ayarlanabilir.  Mikser ile 10 litre kapasiteli karıştırma kabı ve karıştırma paleti standart olarak verilir. Elektrikli Isıtıcı ayrıca sipariş edilmelidir. 220 V, 50-60 Hz, 1 ph</t>
  </si>
  <si>
    <t>Asfalt Mikseri Karıştırma Kabı, 10 litre kapasiteli.</t>
  </si>
  <si>
    <t>Elektrikli asfalt mikseri alt ısıtıcısı. 10 litre kapasiteli.
220 V, 50-60 Hz, 1 ph</t>
  </si>
  <si>
    <t>Asfalt mikseri; 20 litre kapasiteli olup asfalt karışımların homojen olarak karıştırılmasını sağlar. Cihaz üzerindeki potansiyometreden cihaz hızı ayarlanabilir.  Mikser ile 20 litre kapasiteli karıştırma kabı ve karıştırma paleti standart olarak verilir.  Elektrikli Isıtıcı ayrıca sipariş edilmelidir. 220 V, 50-60 Hz, 1 ph</t>
  </si>
  <si>
    <t>Asfalt Mikseri Karıştırma Kabı, 20 litre kapasiteli.</t>
  </si>
  <si>
    <t>Elektrikli asfalt mikseri alt ısıtıcısı. 20 litre kapasiteli.
Max. 200 C. 220 V, 50-60 Hz, 1 ph</t>
  </si>
  <si>
    <t>Manuel Marshall Tokmak; 4536±9 gr ağırlığındaki tokmak kullanıcı tarafından 457±3 mm yükseklikten düşürülmektedir.
Tahta kaide, taşıma mekanizması ve tokmaktan meydana gelmektedir.</t>
  </si>
  <si>
    <t>Marshall Sıkıştırma Tokmağı</t>
  </si>
  <si>
    <t>Marshall Tokmak için Ahşap Kaide</t>
  </si>
  <si>
    <t>Otomatik Marshall Tokmak; EN, 4535±15 gr ağırlığındaki tokmak otomatik olarak 457±5 mm yükseklikten düşmektedir. Vuruş sayıları istenen sayıda ayarlanabilmekte ve belirlenen vuruş sayısı sona erdiğinde cihaz otomatik olarak durmaktadır. Vuruş sayısının kontrol edildiği Dijital sayaç cihaz üzerinde bulunmaktadır.
220 V, 50-60 Hz, 1 ph</t>
  </si>
  <si>
    <t>Otomatik Marshall Tokmak; ASTM, 4536±9 gr ağırlığındaki tokmak otomatik olarak 457±3 mm yükseklikten düşmektedir. Vuruş sayıları istenen sayıda ayarlanabilmekte ve belirlenen vuruş sayısı sona erdiğinde cihaz otomatik olarak durmaktadır. Vuruş sayısının kontrol edildiği Dijital sayaç cihaz üzerinde bulunmaktadır.
220 V, 50-60 Hz, 1 ph</t>
  </si>
  <si>
    <t>Marshall Kalıp; Alt Taban Plakası, Kalıp, Doldurma Yakası ile birlikte set olarak verilmektedir. Çelikten imal edilmiştir.
100 mm çapında üretilmektedir.</t>
  </si>
  <si>
    <t>Marshall Kalıp Gövdesi</t>
  </si>
  <si>
    <t>Marshall Kalıp için Alt Taban Plakası</t>
  </si>
  <si>
    <t>Marshall Kalıp için Doldurma Yakası</t>
  </si>
  <si>
    <t>Marshall-CBR Numune Çıkarıcı; 4”, 6”, 100 mm ve 150 mm çaplı numune kalıplarında sıkışmış numunenin kolay bir şekilde çıkarılması için tasarlanmıştır. 5 ton kaldırma kapasitelidir. Kuvvet el ile basmalı hidrolik kriko ile sağlanmaktadır.</t>
  </si>
  <si>
    <t>Marshall Stabilite Test Cihazı; Elektrik motoru ile çalışır ve bu motor 50.8 mm/dakida platen hızı sağlar. Yük kapasitesi 50 kN dur. Akma ölçüm cihazı ± 0.1mm doğrulukla ölçüm yapabilmektedir. Cihaz tam otomatiktir. Stabilite ve Akma değerleri dijital olarak görülebilmektedir. Alt ve üst kırma başlıkları, 50 kN kapasiteli yük hücresi (load cell), akma transduseri ile birlikte set olarak verilmektedir. Stabilite ve alma değerleri 7" TFT dokunmatik ekranda test sonrası otomatik olarak görülebilmektedir.
220-240V, 50-60Hz, 1 faz</t>
  </si>
  <si>
    <t>Kırma Başlığı; 100mm Marshall numuneleri için.</t>
  </si>
  <si>
    <t>Kırma Başlığı; 150mm Marshall numuneleri için.</t>
  </si>
  <si>
    <t>Load cell, 50 kN kapasiteli</t>
  </si>
  <si>
    <t>Uzama Sensörü, 25 x 0,01 mm</t>
  </si>
  <si>
    <t>Yarmada çekme aparatı, 100 mm (4") çapında sıkışmış bitümlü karışım numuneleri için (Endirek çekme aparatı)</t>
  </si>
  <si>
    <t>Yarmada çekme aparatı, 150 mm (6") çapında sıkışmış bitümlü karışım numuneleri için</t>
  </si>
  <si>
    <t>Yarmada çekme aparatı için 100 mm çapında Yükleme Aparatları</t>
  </si>
  <si>
    <t>Yarmada çekme aparatı için 160 mm çapında Yükleme Aparatları</t>
  </si>
  <si>
    <t>Endirek Çekme Aparatı, 30x0,01 mm Mekanik Komparatör Saati ile birlikte.</t>
  </si>
  <si>
    <t>Vialit (Yapışma) Test Aleti; vialit plâkası kullanılarak şok deney metodu ile bağlayıcının agregaya yapışabilirliğinin tayini esasına dayanır. plakaları, 512 g çelik bilya ve silindiri ile birlikte set olarak verilmektedir.Agrega serme aparatı ayrıca sipariş verilmelidir.</t>
  </si>
  <si>
    <t>Çelik Plakalar, 6 adet.</t>
  </si>
  <si>
    <t>Çelik Bilya, 512 g</t>
  </si>
  <si>
    <t>Lastik Tekerlekli Silindir</t>
  </si>
  <si>
    <t>Yarı Otomatik Dijital Bitüm Penetrometre; İğne batma derinliği dijital olarak ölçülmektedir. Batma zamanı ayarlama ünitesi, iğnesi, taşıma kabı ve 6 adet numune kutusu ile birlikte set olarak verilmektedir. 220 V, 50-60 Hz, 1 ph</t>
  </si>
  <si>
    <t>Penetrasyon İğnesi</t>
  </si>
  <si>
    <t xml:space="preserve">Penetrometre Taşıma Kabı </t>
  </si>
  <si>
    <t>Çeyrek Ölçekli Uç ve Mili, ASTM D 1403 ve ASTM D 1831</t>
  </si>
  <si>
    <t>Yarım Ölçekli Uç ve Mili, ASTM D 1403 ve ASTM D 1831</t>
  </si>
  <si>
    <t>Konik Uç, ASTM D 217 (Opsiyonel Tip ) ve ASTM D 937, Gres yağı ve Madeni yağ testleri için</t>
  </si>
  <si>
    <t>Küresel Penetrasyon Ucu, ASTM D5329</t>
  </si>
  <si>
    <t>Numune Kutusu, 75mm çap x 45mm derinlik</t>
  </si>
  <si>
    <t>Otomatik Bitüm Penetrometre seti;İğne batma derinliği dijital olarak ölçülmektedir. Batma zamanı ayarlama ünitesi, iğnesi, taşıma kabı ve 6 adet numune kutusu ile birlikte set olarak verilmektedir. 220 V, 50-60 Hz, 1 ph</t>
  </si>
  <si>
    <t>Sirkülasyonlu Su Banyosu; 15 Litre kapasiteli, PID &amp; MP Kontrol Sistemi, Pompa Kapasitesi: 5 litre. Ortam Sıcaklıgı +5 ºC / 99.9 ºC ± 0.1 °C çalışma sıcaklığı, iç gövde paslanmaz çelikten imal edilmiştir.
220 V, 50-60 Hz, 1 ph</t>
  </si>
  <si>
    <t>Sirkülasyonlu Su Banyosu; 30 Litre kapasiteli, PID &amp; MP Kontrol Sistemi, Pompa Kapasitesi: 5 litre. Ortam Sıcaklıgı +5 ºC / 99.9 ºC ± 0.1 °C çalışma sıcaklığı, iç gövde paslanmaz çelikten imal edilmiştir.
220 V, 50-60 Hz, 1 ph</t>
  </si>
  <si>
    <t>Sirkülasyonlu Su Banyosu; 48 Litre kapasiteli, PID &amp; MP Kontrol Sistemi, Pompa Kapasitesi: 5 litre. Ortam Sıcaklıgı +5 ºC / 99.9 ºC ± 0.1 °C çalışma sıcaklığı, iç gövde paslanmaz çelikten imal edilmiştir.
220 V, 50-60 Hz, 1 ph</t>
  </si>
  <si>
    <t>Soğutmalı Su Banyosu; 15 Litre kapasiteli, PID &amp; MP Kontrol Sistemi. 5 ºC / 70 ºC ± 0.1 °C çalışma sıcaklığı,  iç gövde paslanmaz çelikten imal edilmiştir. 220 V, 50-60 Hz, 1 ph</t>
  </si>
  <si>
    <t>Soğutmalı Su Banyosu; 30 Litre kapasiteli, PID &amp; MP Kontrol Sistemi. 5 ºC / 70 ºC ± 0.1 °C çalışma sıcaklığı, iç gövde paslanmaz çelikten imal edilmiştir. 220 V, 50-60 Hz, 1 ph</t>
  </si>
  <si>
    <t>Soğutmalı Su Banyosu; 48 Litre kapasiteli, PID &amp; MP Kontrol Sistemi. 5 ºC / 70 ºC ± 0.1 °C çalışma sıcaklığı,  iç gövde paslanmaz çelikten imal edilmiştir. 220 V, 50-60 Hz, 1 ph</t>
  </si>
  <si>
    <t>Rolling Thin Film Oven Cihazı;
Cihaz, oda sıcaklığı ile 200 ºC arasında çalışır. Kontrol sistemi dijital PID kontrollü olup zaman ayarlıdır. Cihazda
sirkülasyon bulunmaktadır. Cihazda 15 rpm/dak. dönen motor ve dikey platform bulunmaktadır. Cihazın ön kapağı çift kat camlıdır. Komple paslanmaz çelikten imal edilmiştir.
Cihazla birlikte 8 adet 64 mm x 140 mm cam numune kabı  verilmektedir. 220 V, 50 -60 Hz, 1 ph
8 bar, 25 lt kapasiteli Hava Kompresörü ayrıca sipariş edilmelidir.</t>
  </si>
  <si>
    <t xml:space="preserve">Cam Numune Kabı, 64 mm x 140 mm </t>
  </si>
  <si>
    <t>Kompresör 8 Bar / 25 lt. 220 V, 50 Hz, 1 ph
Hava Tabancası ve Spiral hortum ile birlikte</t>
  </si>
  <si>
    <t>İnce Film (Isıtma Kaybı) Etüvü; Cihaz, Kontrol sistemi Dijital PID kontrollü olup, Sirkülasyon fanı bulunmaktadır.  İç yüzeyi paslanmaz çelikten imal edilmiştir. Dönen rafı ve numune kutuları, yapılacak test tipine göre ayrıca sipariş edilmelidir.
220 V, 50 -60 Hz, 1 ph</t>
  </si>
  <si>
    <t>Dönen Raf, Isıtma Kaybı Testleri için. 250 mm çapında.
EN 13303, ASTM D 6, AASHTO T47</t>
  </si>
  <si>
    <t>Numune Kutusu. Ø 55 x 35 mm. (9 adet)</t>
  </si>
  <si>
    <t>Dönen Raf, İnce Film Testleri için. 342 mm çapında.
EN 12607-2, ASTM D1754, AASHTO T179</t>
  </si>
  <si>
    <t>Numune Kutusu. Ø 140 x 9,5 mm. (4 adet)</t>
  </si>
  <si>
    <t>Duktilite Test Cihazı:Test hızı: 50 mm/dak. Maksimum uzama kapasitesi: 1500mm. Cihazla 3 adet numune aynı anda test edebilir. Dijital sıcaklık kontrol ile 25°C ± 0,5°C derece de sabit tutulur.  Su ısıtma tertibatlıdır. 3 adet kalıp ve alt tablası cihaz ile birlikte verilmektedir. 220 V, 50 -60 Hz, 1 ph</t>
  </si>
  <si>
    <t xml:space="preserve">Duktilite Test Cihazı: Soğutma Üniteli. + 5° den + 25°C ye su sıcaklığı ile çalışabilme imkanı sağlayan soğutma ünitesi ile donatılmıştır. Test hızı: 50 mm/dak. Maksimum uzama kapasitesi: 1500mm. Cihazla 3 adet numune aynı anda test edebilir. Dijital sıcaklık kontrol ile 25°C ± 0,5°C derece de sabit tutulur.  Su ısıtma tertibatlıdır. 3 adet kalıp ve alt tablası cihaz ile birlikte verilmektedir. 
220 V, 50 -60 Hz, 1 ph
</t>
  </si>
  <si>
    <t xml:space="preserve">Çekme Kuvveti Ölçümlü Düktilite Deney Cihazı, EN 13589, 220-240 V 50-60 Hz
</t>
  </si>
  <si>
    <t>Briket Kalıbı, ASTM D133, AASHTO T51</t>
  </si>
  <si>
    <t>Briket Kalıbı, EN 13398</t>
  </si>
  <si>
    <t>Briket Kalıbı Alt Plakası</t>
  </si>
  <si>
    <t>Yumuşama Noktası Test Cihazı; Isıtıcılı manyetik karıştırıcı, iki adet çelik bilye, bilye tutucu, iki adet yüzük, cam beher ve termometre 110 °C  ile birlikte set olarak verilmektedir. 
220 V, 50-60 Hz, 1 ph</t>
  </si>
  <si>
    <t>Analog Isıtıcılı Manyetik Karıştırıcı. 
380°C'ye kadar ısıtma özelliği, 80-1500 devir/dakika hız. 20 litre karıştırma kapasiteli, Hız ve Sıcaklık Ayarı Analog. Seramik kaplı tabla, 180 x 180 mm tabla boyutu, , 600 W, 2 adet manyetik balık ile birlikte.</t>
  </si>
  <si>
    <t>Çelik Bilye</t>
  </si>
  <si>
    <t>Bilye Tutucu</t>
  </si>
  <si>
    <t>Pirinç yüzük 2 adet</t>
  </si>
  <si>
    <t>Cam Beher 600ml</t>
  </si>
  <si>
    <t>Cam Termometre; max 110 °C</t>
  </si>
  <si>
    <t>Otomatik Yumuşama Noktası Test Cihazı; Isıtıcılı manyetik karıştırıcı, iki adet çelik bilye, bilye tutucu, iki adet yüzük, cam beher ve termometre ile birlikte set olarak verilmektedir. 
220 V, 50-60 Hz, 1 ph</t>
  </si>
  <si>
    <t xml:space="preserve">Parlama ve Yanma Noktası Tayin Cihazı; 
Sıcaklık Kontrollü ısıtıcıya monte edilmiş Prinç kap, ve termometre(-6+400 °C)  ile birlikte verilmektedir. 220 V, 50-60 Hz, 1 ph. </t>
  </si>
  <si>
    <t>Thermometer, -6 +400 °C, ASTM C11</t>
  </si>
  <si>
    <t>Prinç kap</t>
  </si>
  <si>
    <t>Saybolt iki-tüplü dijital Viskozimetre Cihazı, 2 numune kapasitelidir. Paslanmaz çelikten imal edilmiştir. 2 adet Saybolt viskozite tüpü (“Furol” ve “Universal”), yağ banyosu, elektrikli ısıtıcı, termometre tutucusu, karışıtırıcı  ve dijital termometre ile birlikte verilmektedir.  220 V, 50-60 Hz, 1 ph</t>
  </si>
  <si>
    <t>2 x Furol tüp</t>
  </si>
  <si>
    <t>2 x Universal tüp</t>
  </si>
  <si>
    <t>Saybolt viskozite Şişesi, cam, 60 ml</t>
  </si>
  <si>
    <t>Isı Transfer Yağı, 5 lt</t>
  </si>
  <si>
    <t>Dijital Termometre, max. 300 °C</t>
  </si>
  <si>
    <t>Yol Düzgünlük Cihazı; 3 Metre uzunluğundaki bu cihaz beton ve asfalt yolların yüzeylerinin kontrolünde kullanılır. Cihaza monte edilmiş bir boya ile markalama mekanizması avare tekere bağlı bir gösterge ile yüzeyin iniş ve çıkışlarına göre markalama yapılacak şekilde tasarlanmıştır. Cihaza monte edilen 1 km kapasiteli özel ölçeklendirilmiş rulo şeklindeki grafik kağıdıyla birlikte set olarak verilmektedir.</t>
  </si>
  <si>
    <t>Elektronik Yol Düzgünlük Cihazı; 3 metre uzunluğunda olup beton ve asfalt yolların yüzeylerinin kontrolünde kullanılır. Bir tekerlek algılama ünitesi ve bir gösterge bağlı  mekanizması 4:1 oranında büyütme sağlar. Doğrusal gelen yüzey 2 - 10 mm  ve 5 - 25 mm arası ölçeklendirilmiş  artışlarla sapma  gösterir. Elektronik yol düzlemsellik cihazına monte edilmiş bir boya ile markalama mekanizması avare tekere bağlı bir gösterge ile yüzeyin iniş ve çıkışlarına göre markalama yapılacak biçimde dizayn edilmiştir. Cihaza monte edilen 1 km'lik özel ölçeklendirilmiş rulo seklindeki grafik kâğıdıyla kompledir</t>
  </si>
  <si>
    <t>Asfalt Distilasyon Test Seti; Asfaltın damıtılarak geri kullanılması esasına dayanır. Alüminyum hazne ,alev beki,stant,cam mezür,cam bağlayıcılar, iki adet termometre,gaz vanası ve emniyet icin alev kesici birlikte set olarak verilmektedir.</t>
  </si>
  <si>
    <t>Yüksek Distilasyon Termometresi, -2 +400°C, ASTM 8C</t>
  </si>
  <si>
    <t>Vibratörlü Tokmak (KANGO ÇEKİCİ ); Proktor ve CBR numunelerini sıkıştırmak amacıyla kullanılmaktadır. Vibratörlü Tokmak, Tokmak Çerçevesi, Küçük Sıkıştırma Başlığı, Ø 102 mm, Geniş Sıkıştırma Başlığı, Ø 146 mm ve Aktarma Mili, 300 mm ile birlikte set olarak verilmektedir. 230 V, 50-60 Hz, 1ph</t>
  </si>
  <si>
    <t>Vibratörlü Tokmak</t>
  </si>
  <si>
    <t>Tokmak Çerçevesi</t>
  </si>
  <si>
    <t xml:space="preserve">P.R.D. Yarıklı kalıp ve taban plakası </t>
  </si>
  <si>
    <t>Küçük Sıkıştırma Başlığı, Ø 102 mm</t>
  </si>
  <si>
    <t>Geniş Sıkıştırma Başlığı, Ø 146 mm</t>
  </si>
  <si>
    <t>Aktarma Mili, 300 mm</t>
  </si>
  <si>
    <t>Bitümlü Malzemelerde Su Miktarı Tayin Seti;
Termoregülatörlü Elektrikli Isıtıcı, Cam Yoğuşturucu,
Cam kap, 10 ml Cam damıtıcı ile birlikte set olarak verilmektedir.</t>
  </si>
  <si>
    <t>Bitümlü Malzemelerde Su Miktarı Tayin Seti için Termoregülatörlü Elektrikli Isıtıcı</t>
  </si>
  <si>
    <t>Bitümlü Malzemelerde Su Miktarı Tayin Seti için Cam Yoğuşturucu, Cam kap, 10 ml Cam damıtıcı</t>
  </si>
  <si>
    <t>Masa Tipi Şişe Döndürme Cihazı, 2 şişeyi yatay şekilde aynı anda döndürmek için tasarlanmıştır.
Şişe Döndürme Cihazı birçok uluslararası standartla ilgili hızlarda, çeşitli boyutlarda şişelerde test yapmak için tasarlanmıştır. Ana Mil Dönüşü 30 dv/dk'ye kadar ayarlanabilmektedir. Çelik Şişeler ve Çelik Şişeler için Şişe hunisi ayrıca sipariş edilmelidir.</t>
  </si>
  <si>
    <t>Çelik şişe 600cc</t>
  </si>
  <si>
    <t>Çelik şişe 2500cc</t>
  </si>
  <si>
    <t>Çelik şişe 7000cc</t>
  </si>
  <si>
    <t>Asfalt Binder Analiz Cihazı, bitümlü sıcak karışımlardaki bitüm içerik yüzdesinin yakma yöntemi ile belirlenmesinde kullanılır. Cihaz ileri teknoloji bir fırının, yanma süresince bitümlü karışımda meydana gelen ağırlık kayıplarını ölçen ağırlık tartım sistemi ile birleştirilmesinden meydana gelmektedir. Deney sonunda bağlayıcı içeriği otomatik olarak hesaplanmaktadır.Güvenlik kapaklı 1 adet Taşıma Tepsisi monte edilmiş 2 adet Numune sepeti, tepsiyi tutmak için bir çatal ve 3 metre metal egzoz borusu ile birlikte verilmektedir. 380 V, 50-60 hZ, 3ph</t>
  </si>
  <si>
    <t>Basınçlı Filtre numunenin bitüm içeriğini belirlemek için kullanılır. Basınçlı Filtre, filtre düzeneği ve basınç göstergesi ile donatılmış çelik bir basınçlı kaptan oluşmaktadır.
Ayak Pompası, Test Eleği, Filtre Kağıdı ve Filtre Doldurma Hunisi ayrıca sipariş edilmelidir.</t>
  </si>
  <si>
    <t>Bitüm Dağıtımı için Püskürtme Testinin Enine Dağıtım Test Ekipmanı, BS 1707'ye göre püskürtülmüş bağlayıcının dağılımının enine düzgünlüğünü belirlemek için kullanılmaktadır. 50 adet konteynerı taşıyabilen, tekerlekli bir arabadan oluşmaktadır. Konteynerler set içerisinde verilmektedir.Araba ve konteynerler, püskürtme başlığının altına itilmektedir. Tüm kaplar dolduktan sonra, araba çekilir ve her kaptaki bağlayıcı derinliği ölçülür, böylece doğru derinlik elde edilmiş olur. Sonuçlar, etkin genişlik üzerindeki tüm 50 mm'lik birimler için ortalamadan sapma yüzdesi olarak ifade edilir.Yükseklik tepsisiz 200 mm ve tepsili 300 mm'dir (tekerlekler dahil).</t>
  </si>
  <si>
    <t>Asfalt Düzlemsellik Ölçer, kaplama yüzeyinin düzensizlik ölçümü için kullanılmaktadır.
Eloksallı alüminyum alaşımlı olarak üretilen bu cihaz, yol döşemesi, zeminler, beton kaldırımların düzensizliklerini ölçmek için kullanılmaktadır. Uzunluğu 3 m'dir.
İki adet Ölçekli Kama ile birlikte verilmektedir.
Ahşap Taşıma Çantası ayrıca sipariş edilmelidir.</t>
  </si>
  <si>
    <t>Benkelman Beam Kiriş Aparatı, alüminyum alaşımlıdır. Komparatör saati ve aksesuarları ile birlikte verilmektedir. Araç tekerlekleri tarafından yük uygulandığında yol yüzeyinin düzensizliğini ölçmek için kullanılmaktadır.</t>
  </si>
  <si>
    <t>2000 kN Otomatik Beton Test Presi; EN, Yükleme Gövdesi, Otomatik Hidrolik Güç Ünitesi, Dijital veri okuma &amp; kontrol sistemi, Yazılım,  Ø 200x50mm, Ø 200x70 mm ve Ø 200x80 mm Ara Mesafe Parçaları, Oynarbaşlık sistemli Üst Plaka,  Ø300 mm, Alt Plaka Ø300 mm ile birlikte set olarak verilmektedir. 220 V, 50-60 Hz, 1 ph
***Bilgisayar ayrıca sipariş verilecektir.</t>
  </si>
  <si>
    <t xml:space="preserve">2000 kN Otomatik Beton Test Presi; ASTM, Yükleme Gövdesi, Otomatik Hidrolik Güç Ünitesi, Dijital veri okuma &amp; kontrol sistemi, Yazılım,  Ø 165x25 mm, Ø 165x50 mm ve Ø 165x80 mm Ara Mesafe Parçaları, Oynarbaşlık sistemli Üst Plaka,  Ø165 mm, Alt Plaka Ø165 mm ile birlikte set olarak verilmektedir. 220 V, 50-60 Hz, 1 ph
***Bilgisayar opsiyoneldir. Laboratuvarınızda bulunan bir Bilgisayar ile birlikte kullanılabilmektedir. </t>
  </si>
  <si>
    <t xml:space="preserve">3000 kN Otomatik Beton Test Presi; EN, Yükleme Gövdesi, Otomatik Hidrolik Güç Ünitesi, Dijital veri okuma &amp; kontrol sistemi, Yazılım,  Ø 200x50 mm, Ø 200x70 mm ve Ø 200x80 mm Ara Mesafe Parçaları, Oynarbaşlık sistemli Üst Plaka,  Ø300 mm, Alt Plaka Ø300 mm ile birlikte set olarak verilmektedir. 220 V, 50-60 Hz, 1 ph
***Bilgisayar opsiyoneldir. Laboratuvarınızda bulunan bir Bilgisayar ile birlikte kullanılabilmektedir. </t>
  </si>
  <si>
    <t xml:space="preserve">3000 kN Otomatik Beton Test Presi; ASTM, Yükleme Gövdesi, Otomatik Hidrolik Güç Ünitesi, Dijital veri okuma &amp; kontrol sistemi, Yazılım,  Ø 165x25 mm, Ø 165x50 mm ve Ø 165x80 mm Ara Mesafe Parçaları, Oynarbaşlık sistemli Üst Plaka,  Ø165 mm, Alt Plaka Ø165 mm ile birlikte set olarak verilmektedir. 220 V, 50-60 Hz, 1 ph
***Bilgisayar opsiyoneldir. Laboratuvarınızda bulunan bir Bilgisayar ile birlikte kullanılabilmektedir. </t>
  </si>
  <si>
    <t xml:space="preserve">2000 kN 4 Kolonlu Otomatik Beton Test Presi; EN, Yükleme Gövdesi, Otomatik Hidrolik Güç Ünitesi, Dijital veri okuma &amp; kontrol sistemi, Yazılım,  Ø 200x50mm, Ø 200x70 mm ve Ø 200x80 mm Ara Mesafe Parçaları, Oynarbaşlık sistemli Üst Plaka,  Ø300 mm, Alt Plaka Ø300 mm ile birlikte set olarak verilmektedir. 220 V, 50-60 Hz, 1 ph
***Bilgisayar opsiyoneldir. Laboratuvarınızda bulunan 32 bit işletim sistemli bir Bilgisayar ile birlikte kullanılabilmektedir. </t>
  </si>
  <si>
    <t xml:space="preserve">3000 kN 4 Kolonlu Otomatik Beton Test Presi; EN, Yükleme Gövdesi, Otomatik Hidrolik Güç Ünitesi, Dijital veri okuma &amp; kontrol sistemi, Yazılım,  Ø 200x50 mm, Ø 200x70 mm ve Ø 205x80 mm Ara Mesafe Parçaları, Oynarbaşlık sistemli Üst Plaka,  Ø300 mm, Alt Plaka Ø300 mm ile birlikte set olarak verilmektedir. 220 V, 50-60 Hz, 1 ph
***Bilgisayar opsiyoneldir. Laboratuvarınızda bulunan  bir Bilgisayar ile birlikte kullanılabilmektedir. </t>
  </si>
  <si>
    <t xml:space="preserve">4000 kN 4 Kolonlu Otomatik Beton Test Presi; EN, Yükleme Gövdesi, Otomatik Hidrolik Güç Ünitesi, Dijital veri okuma &amp; kontrol sistemi, Yazılım,  Ø 200x50 mm, Ø 200x70 mm ve Ø 205x80 mm Ara Mesafe Parçaları, Oynarbaşlık sistemli Üst Plaka,  Ø300 mm, Alt Plaka Ø300 mm ile birlikte set olarak verilmektedir. 220 V, 50-60 Hz, 1 ph
***Bilgisayar opsiyoneldir. Laboratuvarınızda bulunanbir Bilgisayar ile birlikte kullanılabilmektedir. </t>
  </si>
  <si>
    <t xml:space="preserve">5000 kN 4 Kolonlu Otomatik Beton Test Presi; EN, Yükleme Gövdesi, Otomatik Hidrolik Güç Ünitesi, Dijital veri okuma &amp; kontrol sistemi, Yazılım,  Ø 200x50 mm, Ø 200x70 mm ve Ø 205x80 mm Ara Mesafe Parçaları, Oynarbaşlık sistemli Üst Plaka,  Ø300 mm, Alt Plaka Ø300 mm ile birlikte set olarak verilmektedir. 220 V, 50-60 Hz, 1 ph
***Bilgisayar opsiyoneldir. Laboratuvarınızda bulunanbir Bilgisayar ile birlikte kullanılabilmektedir. </t>
  </si>
  <si>
    <t xml:space="preserve">2000 kN Otomatik Bims-Beton Blok Test Presi; Yükleme Gövdesi, Otomatik Hidrolik Güç Ünitesi, Dijital veri okuma &amp; kontrol sistemi, Yazılım,  Ø 200x50 mm ve Ø 200x70 mm Ara Mesafe Parçaları, Oynarbaşlık sistemli Üst Plaka,  510x310x50 mm, Alt Plaka 510x310x50 mm, ile birlikte set olarak verilmektedir. 
220 V, 50-60 Hz, 1 ph
***Bilgisayar opsiyoneldir. Laboratuvarınızda bulunanbir Bilgisayar ile birlikte kullanılabilmektedir. </t>
  </si>
  <si>
    <t xml:space="preserve">2000 kN Otomatik Beton Test Gövdesi + 200 kN kapasiteli Eğilme Testi için U Tipi Yükleme gövdesi, Otomatik Hidrolik Güç Ünitesi, Dijital veri okuma &amp; kontrol sistemi ve Yazılım ile birlikte verilmektedir.   Ø 200x50 mm, Ø 200x70 mm ve Ø 200x80 mm Ara Mesafe Parçaları, Oynarbaşlık sistemli Üst Plaka,  Ø300 mm, Alt Plaka Ø300 mm ile birlikte  verilmektedir. 
Eğilme Gövdesinde Uygun aparat kullanılarak, Kiriş, Bordür, Parke, Yağmur Oluğu v.b Eğilme dayanımı testleri, Üç ve Dört nokta testleri yapılabilmektedir. Deney aparatları ayrıca sipariş edilmelidir.  
 220 V, 50-60 Hz, 1 ph
***Bilgisayar opsiyoneldir. Laboratuvarınızda bulunanbir Bilgisayar ile birlikte kullanılabilmektedir.  </t>
  </si>
  <si>
    <t>2000 kN kapasiteli Beton Testi EN Yükleme gövdesi.
Ø 200x50 mm, Ø 200x70 mm ve Ø 200x80 mm Ara Mesafe Parçaları, Oynarbaşlık sistemli Üst Plaka,  Ø300 mm, Alt Plaka Ø300 mm ile birlikte set olarak verilmektedir.</t>
  </si>
  <si>
    <t xml:space="preserve">2000 kN kapasiteli Beton Testi ASTM Yükleme gövdesi.
Ø 165x25 mm, Ø 165x50 mm ve Ø 165x80 mm Ara Mesafe Parçaları, Oynarbaşlık sistemli Üst Plaka,  Ø165 mm, Alt Plaka Ø165 mm ile birlikte set olarak verilmektedir. </t>
  </si>
  <si>
    <t>3000 kN kapasiteli Beton Testi EN Yükleme gövdesi.
 Ø 200x50mm, Ø 200x70 mm ve Ø 200x80 mm Ara Mesafe Parçaları, Oynarbaşlık sistemli Üst Plaka,  Ø300 mm, Alt Plaka Ø300 mm ile birlikte set olarak verilmektedir.</t>
  </si>
  <si>
    <t xml:space="preserve">3000 kN kapasiteli Beton Testi ASTM Yükleme gövdesi.
Ø 165x25 mm, Ø 165x50 mm ve Ø 165x80 mm Ara Mesafe Parçaları, Oynarbaşlık sistemli Üst Plaka,  Ø165 mm, Alt Plaka Ø165 mm ile birlikte set olarak verilmektedir. </t>
  </si>
  <si>
    <t>2000 kN kapasiteli Beton Testi EN 4 Kolonlu Yükleme gövdesi.
Ø 200x50 mm, Ø 200x70 mm ve Ø 200x80 mm Ara Mesafe Parçaları, Oynarbaşlık sistemli Üst Plaka,  Ø300 mm, Alt Plaka Ø300 mm ile birlikte set olarak verilmektedir.</t>
  </si>
  <si>
    <t>3000 kN kapasiteli Beton Testi EN 4 Kolonlu Yükleme gövdesi.
Ø 200x50 mm, Ø 200x70 mm ve Ø 200x80 mm Ara Mesafe Parçaları, Oynarbaşlık sistemli Üst Plaka,  Ø300 mm, Alt Plaka Ø300 mm ile birlikte set olarak verilmektedir.</t>
  </si>
  <si>
    <t>4000 kN kapasiteli Beton Testi EN 4 Kolonlu Yükleme gövdesi.
Ø 205x50 mm, Ø 205x70 mm ve Ø 205x80 mm Ara Mesafe Parçaları, Oynarbaşlık sistemli Üst Plaka,  Ø300 mm, Alt Plaka Ø300 mm ile birlikte set olarak verilmektedir.</t>
  </si>
  <si>
    <t>5000 kN kapasiteli Beton Testi EN 4 Kolonlu Yükleme gövdesi.
Ø 205x50 mm, Ø 205x70 mm ve Ø 205x80 mm Ara Mesafe Parçaları, Oynarbaşlık sistemli Üst Plaka,  Ø300 mm, Alt Plaka Ø300 mm ile birlikte set olarak verilmektedir.</t>
  </si>
  <si>
    <t xml:space="preserve">1200 kN Otomatik Bims-Beton Blok Test Yükleme Gövdesi, 
Ø 200x50 mm ve Ø 200x70 mm Ara Mesafe Parçaları, Oynarbaşlık sistemli Üst Plaka,  510x310x50 mm, Alt Plaka 510x310x50 mm, ile birlikte set olarak verilmektedir. </t>
  </si>
  <si>
    <t>Hareketli Blok Test Plakaları.
Beton Test Presinde Bims testleri yapmak için üretilmiştir.</t>
  </si>
  <si>
    <t xml:space="preserve">Oynarbaşlıklı Üst Yükleme Plakası ve Alt Yükleme Plakası. 
ASTM C39. Ø 105 mm, Ø 2" , 3" , 4" silindir numuneler için. </t>
  </si>
  <si>
    <t xml:space="preserve">Oynarbaşlıklı Üst Yükleme Plakası ve Alt Yükleme Plakası. 
ASTM C39. Ø 165 mm, Ø 4", 6" silindir ve 100 mm küp numuneler için. </t>
  </si>
  <si>
    <t xml:space="preserve">Oynarbaşlıklı Üst Yükleme Plakası ve Alt Yükleme Plakası. 
EN 12390-4, ASTM C39. Ø 216 mm, Ø 6" silindir, 100 ve 150 mm küp  numuneler için. </t>
  </si>
  <si>
    <t xml:space="preserve">Oynarbaşlıklı Üst Yükleme Plakası ve Alt Yükleme Plakası. 
EN 12390-4. Ø 300 mm, Ø 100, 150, 160 silindir ve 100, 150, 200 mm küp numuneler için. </t>
  </si>
  <si>
    <t xml:space="preserve">Oynarbaşlıklı Üst Yükleme Plakası ve Alt Yükleme Plakası. 
EN 772-1. 31x51x5 cm, 31x51 cm bloklar için. </t>
  </si>
  <si>
    <t>Otomatik Hidrolik Güç Ünitesi ve 7 " TFT Dokunmatik Dijital Grafik Ekranlı Okuma Sistemi bulunmaktadır. Bilgisayar Yazılım ücretsiz olarak sistem ile birlikte verilmektedir.
Çok nokta kalibrasyon imkanı bulunur. Maksimum kapasitesi 410 Bardır. 220V, 50-60Hz, 1ph
***Bilgisayar opsiyoneldir. Laboratuvarınızda bulunan  bir Bilgisayar ile birlikte kullanılabilmektedir.</t>
  </si>
  <si>
    <t>Ara Mesafe Parçası, Ø 200 x 25 mm</t>
  </si>
  <si>
    <t>Ara Mesafe Parçası, Ø 200 x 50 mm</t>
  </si>
  <si>
    <t>Ara Mesafe Parçası, Ø 200 x 80 mm</t>
  </si>
  <si>
    <t>Ara Mesafe Parçası, Ø 200 x 70 mm</t>
  </si>
  <si>
    <t>Ara Mesafe Parçası, Ø 165 x 25 mm</t>
  </si>
  <si>
    <t>Ara Mesafe Parçası, Ø 165 x 50 mm</t>
  </si>
  <si>
    <t>Ara Mesafe Parçası, Ø 165 x 80 mm</t>
  </si>
  <si>
    <t>Ara Mesafe Parçası, Ø 165 x 70 mm</t>
  </si>
  <si>
    <t>1500 kN Yarı Otomatik Beton Test Presi; EN, Yükleme Gövdesi, Yarı Otomatik Hidrolik Güç Ünitesi, LPI Dijital veri okuma sistemi,  
Ø 205x50 mm, Ø 205x70 mm ve Ø 205x80 mm Ara Mesafe Parçaları, Oynarbaşlık sistemli Üst Plaka,  Ø300 mm, Alt Plaka Ø300 mm ile birlikte set olarak verilmektedir. 220 V, 50-60 Hz, 1 ph</t>
  </si>
  <si>
    <t>1500 kN Yarı Otomatik Beton Test Presi; ASTM, Yükleme Gövdesi, Yarı Otomatik Hidrolik Güç Ünitesi, LPI Dijital veri okuma sistemi,   Ø 165x25 mm, Ø 165x50 mm ve Ø 165x80 mm Ara Mesafe Parçaları, Oynarbaşlık sistemli Üst Plaka,  Ø165 mm, Alt Plaka Ø165 mm ile birlikte set olarak verilmektedir. 220 V, 50-60 Hz, 1 ph</t>
  </si>
  <si>
    <t>2000 kN Yarı Otomatik Beton Test Presi; EN, Yükleme Gövdesi, Yarı Otomatik Hidrolik Güç Ünitesi, LPI Dijital veri okuma sistemi,  
Ø 205x50 mm, Ø 205x70 mm ve Ø 205x80 mm Ara Mesafe Parçaları, Oynarbaşlık sistemli Üst Plaka,  Ø300 mm, Alt Plaka Ø300 mm ile birlikte set olarak verilmektedir. 220 V, 50-60 Hz, 1 ph</t>
  </si>
  <si>
    <t>2000 kN Yarı Otomatik Beton Test Presi; ASTM, Yükleme Gövdesi, Yarı Otomatik Hidrolik Güç Ünitesi, LPI Dijital veri okuma sistemi,   Ø 165x25 mm, Ø 165x50 mm ve Ø 165x80 mm Ara Mesafe Parçaları, Oynarbaşlık sistemli Üst Plaka,  Ø165 mm, Alt Plaka Ø165 mm ile birlikte set olarak verilmektedir. 220 V, 50-60 Hz, 1 ph</t>
  </si>
  <si>
    <t>3000 kN Yarı Otomatik Beton Test Presi; EN, Yükleme Gövdesi, Yarı Otomatik Hidrolik Güç Ünitesi, LPI Dijital veri okuma sistemi,  
Ø 205x50 mm, Ø 205x70 mm ve Ø 205x80 mm Ara Mesafe Parçaları, Oynarbaşlık sistemli Üst Plaka,  Ø300 mm, Alt Plaka Ø300 mm ile birlikte set olarak verilmektedir. 220 V, 50-60 Hz, 1 ph</t>
  </si>
  <si>
    <t>3000 kN Yarı Otomatik Beton Test Presi; ASTM, Yükleme Gövdesi, Yarı Otomatik Hidrolik Güç Ünitesi, LPI Dijital veri okuma sistemi,   Ø 165x25 mm, Ø 165x50 mm ve Ø 165x80 mm Ara Mesafe Parçaları, Oynarbaşlık sistemli Üst Plaka,  Ø165 mm, Alt Plaka Ø165 mm ile birlikte set olarak verilmektedir. 220 V, 50-60 Hz, 1 ph</t>
  </si>
  <si>
    <t>Yarı Otomatik Hidrolik Güç Ünitesi ve LPI Dijital veri okuma sistemi.</t>
  </si>
  <si>
    <t>Yarı Otomatik Hidrolik Güç Ünitesi</t>
  </si>
  <si>
    <t>LPI Dijital veri okuma sistemi.</t>
  </si>
  <si>
    <t>100 kN kapasiteli Eğilme Test Presi; U Tipi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</si>
  <si>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200 kN kapasiteli Eğilme Test Presi; U Tipi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</si>
  <si>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300 kN kapasiteli Eğilme Test Presi; U Tipi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</si>
  <si>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300 kN kapasiteli Eğilme Test Presi; C Tipi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</si>
  <si>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400 kN kapasiteli Eğilme Test Presi; C Tipi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</si>
  <si>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200 kN kapasiteli Eğilme Test Presi;  İki Kolonlu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</si>
  <si>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300 kN kapasiteli Eğilme Test Presi;  İki Kolonlu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</si>
  <si>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400 kN kapasiteli Eğilme Test Presi;  İki Kolonlu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***Bilgisayar opsiyoneldir. Laboratuvarınızda bulunan 32 bit işletim sistemli bir Bilgisayar ile birlikte kullanılabilmektedir.</t>
  </si>
  <si>
    <t xml:space="preserve">600 kN kapasiteli Eğilme Test Presi;  Dört Kolonlu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t>
  </si>
  <si>
    <t xml:space="preserve">2000 kN kapasiteli Eğilme Test Presi;  Dört Kolonlu Yükleme gövdesi, Otomatik Hidrolik Güç Ünitesi, Dijital veri okuma &amp; kontrol sistemi ve Yazılımı  ile birlikte set olarak verilmektedir. Uygun aparat kullanılarak, Kiriş, Bordür, Parke, Yağmur Oluğu v.b Eğilme dayanımı testleri, Üç ve Dört nokta testleri yapılabilmektedir. Deney aparatları ayrıca sipariş edilmelidir. 220 V, 50-60 Hz, 1 ph
</t>
  </si>
  <si>
    <t>DOWEL HOLE TEST MAKİNASI</t>
  </si>
  <si>
    <t xml:space="preserve">100 kN kapasiteli Eğilme Testi için U Tipi Yükleme gövdesi. Uygun aparat kullanılarak, Kiriş, Bordür, Parke, Yağmur Oluğu v.b Eğilme dayanımı testleri, Üç ve Dört nokta testleri yapılabilmektedir. Deney aparatları ayrıca sipariş edilmelidir. </t>
  </si>
  <si>
    <t>Load Cell, 100 kN kapasiteli</t>
  </si>
  <si>
    <t xml:space="preserve">200 kN kapasiteli Eğilme Testi için U Tipi Yükleme gövdesi.  Uygun aparat kullanılarak, Kiriş, Bordür, Parke, Yağmur Oluğu v.b Eğilme dayanımı testleri, Üç ve Dört nokta testleri yapılabilmektedir. Deney aparatları ayrıca sipariş edilmelidir.  </t>
  </si>
  <si>
    <t>Load Cell, 200 kN kapasiteli</t>
  </si>
  <si>
    <t xml:space="preserve">300 kN kapasiteli Eğilme Testi için U Tipi Yükleme gövdesi. Uygun aparat kullanılarak, Kiriş, Bordür, Parke, Yağmur Oluğu v.b Eğilme dayanımı testleri, Üç ve Dört nokta testleri yapılabilmektedir. Deney aparatları ayrıca sipariş edilmelidir. </t>
  </si>
  <si>
    <t>Load Cell, 300 kN kapasiteli</t>
  </si>
  <si>
    <t xml:space="preserve">300 kN kapasiteli Eğilme Testi için C Tipi Yükleme gövdesi. Uygun aparat kullanılarak, Kiriş, Bordür, Parke, Yağmur Oluğu v.b Eğilme dayanımı testleri, Üç ve Dört nokta testleri yapılabilmektedir. Deney aparatları ayrıca sipariş edilmelidir. </t>
  </si>
  <si>
    <t xml:space="preserve">400 kN kapasiteli Eğilme Testi için C Tipi Yükleme gövdesi. Uygun aparat kullanılarak, Kiriş, Bordür, Parke, Yağmur Oluğu v.b Eğilme dayanımı testleri, Üç ve Dört nokta testleri yapılabilmektedir. Deney aparatları ayrıca sipariş edilmelidir. </t>
  </si>
  <si>
    <t>Load Cell, 400 kN kapasiteli</t>
  </si>
  <si>
    <t xml:space="preserve">200 kN kapasiteli Eğilme Testi için İki Kolonlu Yükleme gövdesi.  Uygun aparat kullanılarak, Kiriş, Bordür, Parke, Yağmur Oluğu v.b Eğilme dayanımı testleri, Üç ve Dört nokta testleri yapılabilmektedir. Deney aparatları ayrıca sipariş edilmelidir. . </t>
  </si>
  <si>
    <t xml:space="preserve">300 kN kapasiteli Eğilme Testi için İki Kolonlu Yükleme gövdesi. Uygun aparat kullanılarak, Kiriş, Bordür, Parke, Yağmur Oluğu v.b Eğilme dayanımı testleri, Üç ve Dört nokta testleri yapılabilmektedir. Deney aparatları ayrıca sipariş edilmelidir. </t>
  </si>
  <si>
    <t xml:space="preserve">400 kN kapasiteli Eğilme Testi için İki Kolonlu Yükleme gövdesi. Uygun aparat kullanılarak, Kiriş, Bordür, Parke, Yağmur Oluğu v.b Eğilme dayanımı testleri, Üç ve Dört nokta testleri yapılabilmektedir. Deney aparatları ayrıca sipariş edilmelidir.  </t>
  </si>
  <si>
    <t xml:space="preserve">Kiriş Eğilme Aparatı; Eğilme Gövdesine bağlanarak 100x100x400, 100x100x500, 150x150x600 veya 150x150x750 mm kiriş numunelerinde 3 veya 4 nokta eğilme testleri yapılabilmektedir. </t>
  </si>
  <si>
    <t>Bordür Eğilme Aparatı; Eğilme Gövdesine bağlanarak, Beton bordürlerin eğilme deneyleri yapılabilmektedir.</t>
  </si>
  <si>
    <t>Beton Doğal taş bordür, beton terrazo karo, zemin döşemesi için beton kaplama plâka, doğal taş kaplama Eğilme Aparatı. Eğilme Gövdesine bağlanarak eğilme deneyleri yapılabilmektedir.</t>
  </si>
  <si>
    <t>Küp Yarmada Çekme deneyi aparatı,  150 mm boyutundaki beton küp numuneleri için</t>
  </si>
  <si>
    <t>Parke Yarmada Çekme deneyi aparatı, 60-100 mm arası kalınlıkta parke numuneleri için</t>
  </si>
  <si>
    <t>Silindir Yarmada Çekme deneyi aparatı,
150 mm x 300 mm (6" x 12") ve 160 x 320 mm silindir numuneler için</t>
  </si>
  <si>
    <t>Yağmur Oluğu Test Aparatı; Eğilme Gövdesine bağlanarak, Yağmuır Oluklarının eğilme deneyleri yapılabilmektedir.</t>
  </si>
  <si>
    <t>Pan Tipi Beton Mikseri; 56 litre kapasiteli. Kuru veya ıslak malzemelerde homojen karışımlar hazırlanabilmektedir. Numune kolayca boşaltılabilmekte ve temizlenebilmektedir. Tekerlekleri sayesinde kolaylıkla taşınabilir. Elektrostatik boya ve galvanizlidir. 
380 V, 50-60 Hz, 3 ph</t>
  </si>
  <si>
    <r>
      <t xml:space="preserve">Üstten tahrikli Pan Tipi Beton Mikseri; 42 litre kapasiteli. </t>
    </r>
    <r>
      <rPr>
        <sz val="11"/>
        <rFont val="Cambria"/>
        <family val="1"/>
        <charset val="162"/>
      </rPr>
      <t>Frekans kontrolü  ile  hız ayarı yapılabilmektedir</t>
    </r>
    <r>
      <rPr>
        <sz val="10"/>
        <rFont val="Cambria"/>
        <family val="1"/>
        <charset val="162"/>
      </rPr>
      <t>.Kuru veya ıslak malzemelerde homojen karışımlar hazırlanabilmektedir. Numune kolayca boşaltılabilmekte ve temizlenebilmektedir. Tekerlekleri sayesinde kolaylıkla taşınabilir. Elektrostatik boya ve galvanizlidir. 
380 V, 50-60 Hz, 3 ph</t>
    </r>
  </si>
  <si>
    <t>Pan Tipi Beton Mikseri; 56 litre kapasiteli. Frekans kontrolü  ile  hız ayarı yapılabilmektedir.Kuru veya ıslak malzemelerde homojen karışımlar hazırlanabilmektedir. Numune kolayca boşaltılabilmekte ve temizlenebilmektedir. Tekerlekleri sayesinde kolaylıkla taşınabilir. Elektrostatik boya ve galvanizlidir. 
380 V, 50-60 Hz, 3 ph</t>
  </si>
  <si>
    <t>Pan Tipi Beton Mikseri; 56 litre kapasiteli. Kuru veya ıslak malzemelerde homojen karışımlar hazırlanabilmektedir. Numune kolayca boşaltılabilmekte ve temizlenebilmektedir. Tekerlekleri sayesinde kolaylıkla taşınabilir. Elektrostatik boya ve galvanizlidir. 
220 V, 50 Hz, 1 ph</t>
  </si>
  <si>
    <t>Pan Tipi Beton Mikseri; 56 litre kapasiteli. Kuru veya ıslak malzemelerde homojen karışımlar hazırlanabilmektedir. Numune kolayca boşaltılabilmekte ve temizlenebilmektedir. Tekerlekleri sayesinde kolaylıkla taşınabilir. Elektrostatik boya ve galvanizlidir. 
220 V, 60 Hz, 1 ph</t>
  </si>
  <si>
    <r>
      <t xml:space="preserve">Pan Tipi Beton Mikseri; </t>
    </r>
    <r>
      <rPr>
        <b/>
        <sz val="10"/>
        <rFont val="Cambria"/>
        <family val="1"/>
        <charset val="162"/>
      </rPr>
      <t xml:space="preserve">ÇİFT MOTORLU. </t>
    </r>
    <r>
      <rPr>
        <sz val="10"/>
        <rFont val="Cambria"/>
        <family val="1"/>
        <charset val="162"/>
      </rPr>
      <t>56 litre kapasiteli. Kuru veya ıslak malzemelerde homojen karışımlar hazırlanabilmektedir. Numune kolayca boşaltılabilmekte ve temizlenebilmektedir. Tekerlekleri sayesinde kolaylıkla taşınabilir. Elektrostatik boya ve galvanizlidir. 380 V, 50-60 Hz, 3 ph</t>
    </r>
  </si>
  <si>
    <t>Drum Tipi Beton Mikseri; Beton, alçı ve mozaik gibi malzemelerin homojen olarak karıştırılması için kullanılır. Kazan Hacmi: 125 litre, Karıştırma Hacmi: 100 litre kapasiteli. Tekerleklidir. Elektrik ile çalışmaktadır. 220 V / 0,7 Kw</t>
  </si>
  <si>
    <t>Drum Tipi Beton Mikseri; Beton, alçı ve mozaik gibi malzemelerin homojen olarak karıştırılması için kullanılır. Kazan Hacmi: 140 litre, Karıştırma Hacmi: 120 litre kapasiteli. Tekerleklidir. Elektrik ile çalışmaktadır. 220 V / 0,7 kW</t>
  </si>
  <si>
    <t>Drum Tipi Beton Mikseri; Beton, alçı ve mozaik gibi malzemelerin homojen olarak karıştırılması için kullanılır.Kazan Hacmi: 160 litre, Karıştırma Hacmi: 140 litre kapasiteli. Tekerleklidir. Elektrik ile çalışmaktadır. 220 V / 0,7 kW</t>
  </si>
  <si>
    <t>Drum Tipi Beton Mikseri; Beton, alçı ve mozaik gibi malzemelerin homojen olarak karıştırılması için kullanılır. Kazan Hacmi: 180 litre, Karıştırma Hacmi: 160 litre kapasiteli. Tekerleklidir. Elektrik ile çalışmaktadır. 220 V / 0,7 kW</t>
  </si>
  <si>
    <t xml:space="preserve">Drum Tipi Beton Mikseri; Beton, alçı ve mozaik gibi malzemelerin homojen olarak karıştırılması için kullanılır. Kazan Hacmi: 300  litre, Karıştırma Hacmi:250  litre kapasiteli. Tekerleklidir. Elektrik ile çalışmaktadır. 380  V </t>
  </si>
  <si>
    <t>MONO ŞAFT KARIŞTIRICI</t>
  </si>
  <si>
    <t>3D MİKSER</t>
  </si>
  <si>
    <t>V Hunisi; Taze Betonun belirli hIzla akarken ayrılma dayanımının V Hunisinde kalma süreleri gözlenmesi esasına
dayanır. Paslanmaz çelikten imal edilmiştir. Boşaltma ağzı kapaklıdır.</t>
  </si>
  <si>
    <t>L Kutusu; Taze betonun dolma, akarak geçme yetisi, ayrılma dayanımı v.b. özellikleri tespit edilebilir.
Hunili tüp ve donatı testleri için özel olarak tasarlanmış çerçevesi bulunmaktadır.</t>
  </si>
  <si>
    <t>U Kutusu; Taze betonun kapalı boşluklarda akışkanlığı tespit edilebilir.
Galvanizli çelik çerçeve; 3 adet 13 mm çapında çubuktan oluşmaktadır.</t>
  </si>
  <si>
    <t>J Halkası; kendinden yerleşen taze beton için, çelikten mamül, 18mm çaplı 16 çubuklu. Dar Aralıklı J-Halkası Slump Konisi ve  900x900x3 mm Alt Tabla ile birlikte verilmektedir.
Çelik Ağırlıklı Başlık ayrıca sipariş edilmelidir.</t>
  </si>
  <si>
    <t>Dar Aralıklı J-Halkası</t>
  </si>
  <si>
    <t xml:space="preserve">Alt Tabla 900*900* 3 mm </t>
  </si>
  <si>
    <t>Çelik Ağırlıklı Başlık</t>
  </si>
  <si>
    <t>Slump Konisi, Ø200x Ø100x300 mm ölçülerinde.</t>
  </si>
  <si>
    <t xml:space="preserve"> Dolgu Kutusu Aparatı (Kajima Testi)</t>
  </si>
  <si>
    <t>Slump Test Seti; Slump konisi, doldurma hunisi, şişleme çubuğu, tepsi, lastik tokmak ve çelik cetvel ile birlikte set olarak verilmektedir. Elektrostatik toz boyalı veya galvaniz kaplamadır.</t>
  </si>
  <si>
    <t>Slump Doldurma Hunisi</t>
  </si>
  <si>
    <t>Slump Tepsisi, 500x500x60mm ebatlarında, kulplu</t>
  </si>
  <si>
    <t>Şişleme Çubuğu. Ø16x600 mm</t>
  </si>
  <si>
    <t xml:space="preserve">Lastik Tokmak </t>
  </si>
  <si>
    <t>Laboratuar Küreği Orta</t>
  </si>
  <si>
    <t>Slump Test Seti; Paslanmaz Çelik Slump Konisi, Paslanmaz Çelik Tepsi, Doldurma hunisi, Şişleme çubuğu lastik tokmak ve çelik cetvel ile birlikte set olarak verilmektedir.</t>
  </si>
  <si>
    <t>Portatif Slump Test Seti; Slump konisi, doldurma hunisi, şişleme çubuğu, tepsi, lastik tokmak ve çelik cetvel ile birlikte set olarak verilmektedir. Elektrostatik toz boyalı veya galvaniz kaplamadır.</t>
  </si>
  <si>
    <t>Pnömatik Slump Test Seti; Slump konisi, doldurma hunisi, şişleme çubuğu, tepsi, lastik tokmak ve çelik cetvel ile birlikte set olarak verilmektedir. Elektrostatik toz boyalı veya galvaniz kaplamadır.</t>
  </si>
  <si>
    <t>Vebe Cihazı EN; Silindir hazne, Slump Konisi, Saydam Diskli Metal Kol, Doldurma Hunisi ve Şişleme Çubuğu ile birlikte set olarak verilmektedir. 220 V, 50-60 Hz, 1 ph</t>
  </si>
  <si>
    <t>Vibrasyonlu Tabla</t>
  </si>
  <si>
    <t>Silindir Hazne</t>
  </si>
  <si>
    <t>Saydam Diskli Metal Kol</t>
  </si>
  <si>
    <t>Vebe Cihazı ASTM; Silindir hazne, Slump Konisi, Saydam Diskli Metal Kol, Doldurma Hunisi ve Şişleme Çubuğu ile birlikte set olarak verilmektedir. 220 V, 50-60 Hz, 1 ph</t>
  </si>
  <si>
    <t>Sıkıştırma Faktörü Aleti, Üst üste konumlandırılmış, altlarında kolay açılabilir kapaklar bulunan 2 adet huni ve hunilerin altında bulunan silindirik toplama kabından meydana gelmiştir.</t>
  </si>
  <si>
    <t>Yayılma Tablası Seti; üzerine betonun konulabileceği, (700 ±2) mm x (700 ±2) mm ölçülerinde Yayılma tablası, Ø130×Ø200×200 mm ölçülerinde Yayılma Tablası Konisi ve 40x40x200+125 mm ölçülerinde Ahşap Sıkıştırma Tokmağı ile birlikte set olarak verilmektedir.</t>
  </si>
  <si>
    <t>Yayılma Tablası; üzerine betonun konulabileceği, (700 ±2) mm x (700 ±2) mm ölçülerinde alana sahip, hareketli,
düz plâka ve bu plâkanın üzerine belirli yükseklikten düşürüleceği, üstteki plâkanın menteşeyle bağlı olduğu
sert alt tabakadan meydana gelmektedir.</t>
  </si>
  <si>
    <t>Yayılma Tablası Konisi; Ø130×Ø200×200 mm ölçülerinde.</t>
  </si>
  <si>
    <t>Ahşap Sıkıştırma Tokmağı, 40x40x200+125 mm ölçülerinde</t>
  </si>
  <si>
    <t>Yayılma Tablası Konisi; Ø130×Ø200×200 mm ölçülerinde.-GALVANİZ</t>
  </si>
  <si>
    <t>Taze Betonda Terleme ;  Taze karıştırılmış beton numunesine giren karışım suyunun, bağıl terleme miktarının belirlenmesinde kullanılır</t>
  </si>
  <si>
    <t>Sıkıştırabilme Derecesi Deney Aparatı (Waltz kabı); çimento hamurundan kısa sürede olumsuz etkilenmeyen metalden yapılmıştır ve prizma şekillidir.
Kullanıcıya kolaylık sağlamak açısından taşıma kulplu olarak imal edilmiştir. Elektrostatik toz boyalıdır.</t>
  </si>
  <si>
    <t>Beton Proktor Penetrometresi; 16-32-65-160-325-650 mm² çaplı penetrasyon iğneleri ile birlikte verilmektedir.</t>
  </si>
  <si>
    <t>Beton Proktor Penetrometresi İğne Seti;16-32-65-160-325-650 mm² çaplarında</t>
  </si>
  <si>
    <t>Cep Tipi Beton Penetrometresi; Yerli.
Penetrasyon Piston Alanı: 32 mm²</t>
  </si>
  <si>
    <t>Cep Tipi Beton Penetrometresi; 
Penetrasyon Piston Alanı: 32 mm²</t>
  </si>
  <si>
    <t>Taze Betonda Hava Ölçer (B Tipi); 7 litre kapasiteli. %22'ye kadar hava yüzdesi tespit edilebilmektedir ve tam skalada ±%0.25 hassasiyette sahiptir. Sıyırma bıçağı ve sıkıştırma çubuğu ile birlikte set olarak verilmektedir. Taşıma Çantası ayrıca sipariş edilmelidir.</t>
  </si>
  <si>
    <t>Hava Ölçer Manometresi</t>
  </si>
  <si>
    <t>Şişleme Çubuğu</t>
  </si>
  <si>
    <t>Sıyırma Bıçağı</t>
  </si>
  <si>
    <t>Taze Betonda Hava Ölçer (B Tipi), 8 litre
Menşei: Türkiye, Marka: Liya Test (Formtest Muadili)</t>
  </si>
  <si>
    <t>İthal Taze Betonda Hava Ölçer (B Tipi), 
Menşei: Almanya, Marka: Formtest</t>
  </si>
  <si>
    <t>Birim Ağırlık Kovası, 3 litre kapasiteli. Kullanıcıya kolaylık sağlaması açısından iki adet kulpu bulunmaktadır.
Elektrostatik toz boyalıdır.</t>
  </si>
  <si>
    <t>Birim Ağırlık Kovası, 7 litre kapasiteli. Kullanıcıya kolaylık sağlaması açısından iki adet kulpu bulunmaktadır.
Elektrostatik toz boyalıdır.</t>
  </si>
  <si>
    <t>Birim Ağırlık Kovası, 10 litre kapasiteli. Kullanıcıya kolaylık sağlaması açısından iki adet kulpu bulunmaktadır.
Elektrostatik toz boyalıdır.</t>
  </si>
  <si>
    <t>Birim Ağırlık Kovası, 15 litre kapasiteli. Kullanıcıya kolaylık sağlaması açısından iki adet kulpu bulunmaktadır.
Elektrostatik toz boyalıdır.</t>
  </si>
  <si>
    <t>Birim Ağırlık Kovası, 30 litre kapasiteli. Kullanıcıya kolaylık sağlaması açısından iki adet kulpu bulunmaktadır.
Elektrostatik toz boyalıdır.</t>
  </si>
  <si>
    <t>Özgül ağırlık Test Seti; Set; Özgül Ağırlık Çerçevesi, Küp Numune Tutucusu, Plastik Su Kovası ve Tel Sepetten oluşmaktadır. 0.1 veya 0,5 gr hassasiyetli, alttan tartım özellikli bir terazi ile birlikte kullanılmalıdır. Terazi ayrıca sipariş edilmelidir.</t>
  </si>
  <si>
    <t>Termometre, Tek Kanallı, Ölçüm Aralığı: -50 + 1300 C, Hassasiyet: ±1 C, Çözünürlük: 1 C. 9V pil ile birlikte verilmektedir. K-Tipi Thermokupl Kablosu ve Soketi ayrıca sipariş edilmelidir.</t>
  </si>
  <si>
    <t>Termometre, Tek Kanallı, Ölçüm Aralığı:-200 + 1300 C, Hassasiyet: ±1.1 C yada okunan değerin  %±0.4'ü, Çözünürlük: 0.1 &lt; 999 &amp; 1 &gt; 1000 C. 9V pil ile birlikte verilmektedir. K-Tipi Thermokupl Kablosu ve Soketi ayrıca sipariş edilmelidir.</t>
  </si>
  <si>
    <t>Termometre, İki Kanallı, Ölçüm Aralığı: -200 + 1300 C, Hassasiyet: ±1.1 C yada okunan değerin  %±0.4'ü, Çözünürlük: 0.1 &lt; 999 &amp; 1 &gt; 1000 C. 9V pil ile birlikte verilmektedir. K-Tipi Thermokupl Kablosu ve Soketi ayrıca sipariş edilmelidir.</t>
  </si>
  <si>
    <t>Termometre, Dört  Kanallı, Ölçüm Aralığı: -200 + 1300 C, Hassasiyet: ±1.1 C yada okunan değerin  %±0.4'ü, Çözünürlük: 0.1 &lt; 999 &amp; 1 &gt; 1000 C. 9V pil ile birlikte verilmektedir. K-Tipi Thermokupl Kablosu ve Soketi ayrıca sipariş edilmelidir.</t>
  </si>
  <si>
    <t>K-Tipi Termokupl Kablosu. Tip: KTTE2X0,5T. 1 metre.</t>
  </si>
  <si>
    <t>Soket, Tip: OMTS-K-E. 1 adet.</t>
  </si>
  <si>
    <t>Plastik Küp Kalıp, 100mm. İki gözlü</t>
  </si>
  <si>
    <t>Polietilen Küp Kalıp, 100mm. ZUM Marka.</t>
  </si>
  <si>
    <t>Çelik Küp Kalıp,  100mm</t>
  </si>
  <si>
    <t>Plastik Küp Kalıp, 150mm</t>
  </si>
  <si>
    <t>Polietilen Küp Kalıp, 150mm. ZUM Marka.</t>
  </si>
  <si>
    <t>Polietilen Küp Kalıp, 150mm. MATEST Marka.</t>
  </si>
  <si>
    <t>Çelik Küp Kalıp, 150mm</t>
  </si>
  <si>
    <t>Çelik Küp Kalıp, 200mm</t>
  </si>
  <si>
    <t>Küp Kalıp Maşası</t>
  </si>
  <si>
    <t xml:space="preserve">Poliüretan Silindir Kalıp, Ø100x200 mm </t>
  </si>
  <si>
    <t xml:space="preserve">Çelik Silindir Kalıp, Ø100x200 mm </t>
  </si>
  <si>
    <t xml:space="preserve">Plastik Silindir Kalıp, Yandan açılmalı. Ø100x200 mm </t>
  </si>
  <si>
    <t xml:space="preserve">Plastik Silindir Kalıp, Ø150x300 mm </t>
  </si>
  <si>
    <t xml:space="preserve">Çelik Silindir Kalıp, Ø150x300 mm </t>
  </si>
  <si>
    <t xml:space="preserve">Plastik Silindir Kalıp,Ø150x300 mm </t>
  </si>
  <si>
    <t xml:space="preserve">Çelik Silindir Kalıp, Ø250x500 mm </t>
  </si>
  <si>
    <t>Çelik Kiriş Kalıp, 100x100x400mm</t>
  </si>
  <si>
    <t>Çelik Kiriş Kalıp, 100x100x500mm</t>
  </si>
  <si>
    <t>Çelik Kiriş Kalıp, 150x150x600mm</t>
  </si>
  <si>
    <t>Çelik Kiriş Kalıp, 150x150x750mm</t>
  </si>
  <si>
    <t>Şişeli Vibratör, Ø22mm, 2m hortum boyu, omuz tipi.
220 V, 50-60 Hz, 1 ph</t>
  </si>
  <si>
    <t>Şişeli Vibratör, Ø32mm, 4m hortum boyu, omuz tipi.
220 V, 50-60 Hz, 1 ph</t>
  </si>
  <si>
    <t>Şişeli Vibratör, Ø38mm, 4m hortum boyu, omuz tipi.
220 V, 50-60 Hz, 1 ph</t>
  </si>
  <si>
    <t>Şişeli Vibratör, Ø45mm, 4m hortum boyu, omuz tipi, 18.000 vib/dk frekanslı, 220 V, 50-60 Hz, 1 ph</t>
  </si>
  <si>
    <t>Şişeli Vibratör, Ø50mm, 4m hortum boyu, omuz tipi, 18.000 vib/dk frekanslı, 220 V, 50-60 Hz, 1 ph</t>
  </si>
  <si>
    <t>Şişeli Vibratör, Ø45mm, 6m hortum boyu, omuz tipi, 18.000 vib/dk frekanslı, 220 V, 50-60 Hz, 1 ph</t>
  </si>
  <si>
    <t>Şişeli Vibratör, Ø50mm, 6m hortum boyu, omuz tipi, 18.000 vib/dk frekanslı, 220 V, 50-60 Hz, 1 ph</t>
  </si>
  <si>
    <t>Portatif Vibrasyon Masası, laboratuvar ve arazi kullanımı için uygundur. Kalıbın ölçüsüne bağlı olarak 1 Silindir yada 1 Küp Kalıp Yerleştirme Kapasitelidir. Kalıbı sabitleyebilmek için elastik bant ile birlikte verilmektedir.</t>
  </si>
  <si>
    <t>Vibrasyon Masası, Vibrasyon Motoru gövdeye monte edilmiş konumdadır. Elektronik panelden kontrol edilmektedir. Kalıplar mengeneli sıkıştırma düzeneği ile bağlanmaktadır. Elektrostatik toz boyalıdır. 610x380x780 mm. 4 Kalıp Yerleştirme Kapasitelidir. 
220 V, 50-60 Hz, 1 ph</t>
  </si>
  <si>
    <r>
      <t>Vibrasyon Masası, Vibrasyon Motoru gövdeye monte edilmiş konumdadır. Elektronik panelden kontrol edilmektedir. Kalıplar mengeneli sıkıştırma düzeneği ile bağlanmaktadır. Elektrostatik toz boyalıdır.</t>
    </r>
    <r>
      <rPr>
        <sz val="10"/>
        <color indexed="8"/>
        <rFont val="Cambria"/>
        <family val="1"/>
        <charset val="162"/>
      </rPr>
      <t xml:space="preserve"> 800x750x780</t>
    </r>
    <r>
      <rPr>
        <sz val="10"/>
        <rFont val="Cambria"/>
        <family val="1"/>
        <charset val="162"/>
      </rPr>
      <t xml:space="preserve"> mm. 9 Kalıp Yerleştirme Kapasitelidir. 
220 V, 50-60 Hz, 1 ph</t>
    </r>
  </si>
  <si>
    <t>Vibrasyon Masası, Vibrasyon Motoru gövdeye monte edilmiş konumdadır. Elektronik panelden kontrol edilmektedir. Kalıplar mengeneli sıkıştırma düzeneği ile bağlanmaktadır. Elektrostatik toz boyalıdır. 620x1260x1055 mm. 8 Kalıp Yerleştirme Kapasitelidir. 220 V, 50-60 Hz, 1 ph</t>
  </si>
  <si>
    <t>Vibrasyon Masası, Vibrasyon Motoru gövdeye monte edilmiş konumdadır. Elektronik panelden kontrol edilmektedir. Kalıplar direkt olarak çubuklara geçmektedir. Elektrostatik toz boyalıdır. 620x1260x1055 mm. 10 Kalıp Yerleştirme Kapasitelidir. 
220 V, 50-60 Hz, 1 ph</t>
  </si>
  <si>
    <t>Kür Tankı; Polietilen malzemeden üretilmiştir. Su sıcaklığını 20C ±2C de sabit tutmak için termostat kontrollü ısıtıcı, sirkülasyon pompası ve alt ızgara ile birlikte set olarak verilmektedir. 1000x2000x800 mm ölçülerinde. 
220 V, 50–60 Hz, 1 ph.</t>
  </si>
  <si>
    <t>Kür Tankı; Polietilen malzemeden üretilmiştir. Su sıcaklığını 20C ±2C de sabit tutmak için termostat kontrollü ısıtıcı, sirkülasyon pompası ve alt ızgara ile birlikte set olarak verilmektedir. 800x1850x700 mm ölçülerinde. 
220 V, 50-60 Hz, 1 ph</t>
  </si>
  <si>
    <t>Kür Tankı; Galvaniz malzemeden üretilmiştir. Su sıcaklığını 20C ±2C de sabit tutmak için termostat kontrollü ısıtıcı, sirkülasyon pompası ve alt ızgara ile birlikte set olarak verilmektedir. 80x150x55 cm ölçülerinde. 
220 V, 50-60 Hz, 1 ph</t>
  </si>
  <si>
    <t>Kür Tankı; Paslanmaz çelik malzemeden üretilmiştir. Su sıcaklığını 20C ±2C de sabit tutmak için termostat kontrollü ısıtıcı, sirkülasyon pompası ve alt ızgara ile birlikte set olarak verilmektedir. 80x150x55 mm ölçülerinde. 
220 V, 50-60 Hz, 1 ph</t>
  </si>
  <si>
    <t>Üst Raf</t>
  </si>
  <si>
    <t>Termostat kontrollü ısıtıcı; Su sıcaklığını 20C ±2C de sabit tutmak için.</t>
  </si>
  <si>
    <t>Sirkülasyon Pompası</t>
  </si>
  <si>
    <t>Portatif Termostat kontrollü ısıtıcı; Su sıcaklığını 20C ±2C de sabit tutmak için Sirkülasyon motorlu</t>
  </si>
  <si>
    <t>Kür Tankı Dijital Gösterge</t>
  </si>
  <si>
    <t>Kür Tankı Rezistansı (LİYA TEST)</t>
  </si>
  <si>
    <t xml:space="preserve">Hızlandırılmış Kür Tankı                              
Cidarlı,   28 günlük bekleme süresini 1 güne indirmek için kullanılır,   Altta bulunan buharlaştırıcı yardımıyla oluşan sıcak su ile kürlemek suretiyle betonun mukavemetini artırır, Aynı anda 8 adet 15'lik küp alabilir, İç hazne komple 304 kalite paslanmaz çelik(900x640x670 mm), Dış hazne ile iç hazne arası izoleli, Kumanda panosu ve kapağıyla birlikte. </t>
  </si>
  <si>
    <t>Manuel Aşındırma Cihazı. (Traşlama Makinası)
Numunelerin yüzeylerinin düzeltilmesi ve paralelliğinin sağlanması amacıyla kullanılmaktadır. 75 ile 150 mm çaplı numuneler arasında kullanılabilmektedir.Tek Numunelidir. 380 V, 50 Hz, 3 ph</t>
  </si>
  <si>
    <r>
      <t xml:space="preserve">Otomatik Öğütme Makinası. (Traşlama Makinası)
Numunelerin yüzeylerinin düzeltilmesi ve paralelliğinin sağlanması amacıyla kullanılmaktadır.
Uygun adaptörler ile aynı anda 4 adet </t>
    </r>
    <r>
      <rPr>
        <sz val="10"/>
        <rFont val="Cambria"/>
        <family val="1"/>
        <charset val="162"/>
      </rPr>
      <t>∅150x300 mm silindir numuneler veya   aynı anda 4 adet ∅100x200 mm silindir numune test edilebilir.
 Diğer aparatlar ayrıca sipariş edilmelidir. 380 V, 50 Hz, 3 ph</t>
    </r>
  </si>
  <si>
    <t>Otomatik Öğütme Makinası için Yedek Bıçak</t>
  </si>
  <si>
    <t>Ø150x300 mm silindir numuneler için adaptör</t>
  </si>
  <si>
    <t>Ø100x200 mm silindir numuneler için adaptör</t>
  </si>
  <si>
    <t>Ø150 mm küp numuneler için adaptör</t>
  </si>
  <si>
    <t>Ø 35 mm, max. Ø 150 mm karot numuneler için adaptör</t>
  </si>
  <si>
    <t>İklimlendirme Test Kabini;
Kullanılır hacim: 120 litre
Sıcaklık Çalısma Aralıgı : -20 °C / +60 °C ile 0 °C / +60 °C
Nemli sıcaklık aralıgı : 10 ºC / +60 ºC
Nem aralıgı : 20% - 95% Rh
Sıcaklık Hassasiyeti : ± 0.1 ºC
Nem Hassasiyeti : 1 % Rh
220 V, 50-60 Hz, 1 ph</t>
  </si>
  <si>
    <t>İklimlendirme Test Kabini;
Kullanılır hacim: 250 litre
Sıcaklık Çalısma Aralıgı : -20 °C / +60 °C ile 0 °C / +60 °C
Nemli sıcaklık aralıgı : 10 ºC / +60 ºC
Nem aralıgı : 20% - 95% Rh
Sıcaklık Hassasiyeti : ± 0.1 ºC
Nem Hassasiyeti : 1 % Rh
220 V, 50-60 Hz, 1 ph</t>
  </si>
  <si>
    <t>İklimlendirme Test Kabini;
Kullanılır hacim: 500 litre
Sıcaklık Çalısma Aralıgı : -20 °C / +60 °C ile 0 °C / +60 °C
Nemli sıcaklık aralıgı : 10 ºC / +60 ºC
Nem aralıgı : 20% - 95% Rh
Sıcaklık Hassasiyeti : ± 0.1 ºC
Nem Hassasiyeti : 1 % Rh
220 V, 50-60 Hz, 1 ph</t>
  </si>
  <si>
    <t>ConSensor 2.0</t>
  </si>
  <si>
    <t>İlk Emme Kiti, betonun yüzey emme özelliklerini değerlendirmek için kullanılır.
200 mm'lik sabit bir basma basıncına maruz kaldığında beton yüzeyine birim alan başına su akış hızı ölçülür. Ünite, bir ölçeğe monte edilmiş bir kapiler tüp, bir su haznesi ve bağlantı tüplerinden oluşur.</t>
  </si>
  <si>
    <t xml:space="preserve">Söndürme Kabı EN 459-2, kirecin verim tayininde kullanılır. </t>
  </si>
  <si>
    <t>60 ton kapasiteli Demir Çekme Cihazı; 60 ton'a kadar Çekme ve Basma deneyleri yapılabilmektedir. 4 adet kolon üzerine oturtulmuş olan Yükleme Gövdesi, Otomatik Hidrolik Güç Ünitesi, Dijital veri okuma &amp; kontrol sistemi, Yazılım, Özel yüksek mukavemetli çelikten mamul Hidrolik Çene Seti ile birlikte verilmektedir.
0-30 mm düz ve 8-32 mm çaplı numuneler test edilebilmektedir.
Düz numuneler için aparatlar ayrıca sipariş edilmelidir.
***Bilgisayar opsiyoneldir. Laboratuvarınızda bulunan  bir Bilgisayar ile birlikte kullanılabilmektedir. 
220 V, 50 Hz, 1ph</t>
  </si>
  <si>
    <t>100 ton kapasiteli Demir Çekme Cihazı; 100 ton'a kadar Çekme ve Basma deneyleri yapılabilmektedir. 4 adet kolon üzerine oturtulmuş olan Yükleme Gövdesi, Otomatik Hidrolik Güç Ünitesi, Dijital veri okuma &amp; kontrol sistemi, Yazılım, Özel yüksek mukavemetli çelikten mamul Hidrolik Çene Seti ile birlikte verilmektedir.
0-30 mm düz ve 8-40 mm çaplı numuneler test edilebilmektedir.
Düz numuneler için aparatlar ayrıca sipariş edilmelidir.
***Bilgisayar opsiyoneldir. Laboratuvarınızda bulunan bir Bilgisayar ile birlikte kullanılabilmektedir.
220 V, 50 Hz, 1ph</t>
  </si>
  <si>
    <t>Servo Hidrolik 60 ton kapasiteli Demir Çekme Cihazı; 60 ton'a kadar Çekme ve Basma deneyleri yapılabilmektedir. 4 adet kolon üzerine oturtulmuş olan Yükleme Gövdesi, Otomatik Servo Hidrolik Güç Ünitesi, Dijital veri okuma &amp; kontrol sistemi, Yazılım, Özel yüksek mukavemetli çelikten mamul Hidrolik Çene Seti ile birlikte verilmektedir.
0-30 mm düz ve 8-32 mm çaplı numuneler test edilebilmektedir.
Düz numuneler için aparatlar ayrıca sipariş edilmelidir.
***Bilgisayar opsiyoneldir. Laboratuvarınızda bulunan  bir Bilgisayar ile birlikte kullanılabilmektedir. 
220 V, 50 Hz, 1ph</t>
  </si>
  <si>
    <t>Servo Hidrolik 100 ton kapasiteli Demir Çekme Cihazı; 100 ton'a kadar Çekme ve Basma deneyleri yapılabilmektedir. 4 adet kolon üzerine oturtulmuş olan Yükleme Gövdesi, Otomatik Servo Hidrolik Güç Ünitesi, Dijital veri okuma &amp; kontrol sistemi, Yazılım, Özel yüksek mukavemetli çelikten mamul Hidrolik Çene Seti ile birlikte verilmektedir.
0-30 mm düz ve 8-40 mm çaplı numuneler test edilebilmektedir.
Düz numuneler için aparatlar ayrıca sipariş edilmelidir.
***Bilgisayar opsiyoneldir. Laboratuvarınızda bulunan bir Bilgisayar ile birlikte kullanılabilmektedir.
220 V, 50 Hz, 1ph</t>
  </si>
  <si>
    <t>600 kN Kapasiteli Boru Test Presi Gövdesi ve Loadcell. Teste tabi olacak boruların iç çapı max 2400 mm.</t>
  </si>
  <si>
    <t>1000kN Kapasiteli Boru Test Presi Gövdesi ve Loadcell. Teste tabi olacak boruların iç çapı max 3000 mm.</t>
  </si>
  <si>
    <t xml:space="preserve">600 kN Otomatik Karot-Kaya Test Presi; EN, Yükleme Gövdesi, Otomatik Hidrolik Güç Ünitesi, Dijital veri okuma &amp; kontrol sistemi, Yazılım,  Ø 200x50 mm, Ø 200x70 mm ve Ø 200x80 mm Ara Mesafe Parçaları, Oynarbaşlık sistemli Üst Plaka,  Ø300 mm, Alt Plaka Ø300 mm ile birlikte set olarak verilmektedir. 220 V, 50-60 Hz, 1 ph
***Bilgisayar opsiyoneldir. Laboratuvarınızda bulunan 32 bit işletim sistemli bir Bilgisayar ile birlikte kullanılabilmektedir. </t>
  </si>
  <si>
    <t xml:space="preserve">600 kN Otomatik Karot-Kaya Test Presi; ASTM, Yükleme Gövdesi, Otomatik Hidrolik Güç Ünitesi, Dijital veri okuma &amp; kontrol sistemi, Yazılım,  Ø 165x25 mm, Ø 165x50 mm ve Ø 165x80 mm Ara Mesafe Parçaları, Oynarbaşlık sistemli Üst Plaka,  Ø165 mm, Alt Plaka Ø165 mm ile birlikte set olarak verilmektedir. 220 V, 50-60 Hz, 1 ph
***Bilgisayar opsiyoneldir. Laboratuvarınızda bulunan 32 bit işletim sistemli bir Bilgisayar ile birlikte kullanılabilmektedir. </t>
  </si>
  <si>
    <t>600 kN kapasiteli Karot-Kaya Testi EN Yükleme gövdesi.
Ø 205x50mm, Ø 205x70 mm ve Ø 205x80 mm Ara Mesafe Parçaları, Oynarbaşlık sistemli Üst Plaka,  Ø300 mm, Alt Plaka Ø300 mm ile birlikte set olarak verilmektedir.</t>
  </si>
  <si>
    <t xml:space="preserve">600 kN kapasiteli Karot-Kaya Testi ASTM Yükleme gövdesi.
Ø 165x25 mm, Ø 165x50 mm ve Ø 165x80 mm Ara Mesafe Parçaları, Oynarbaşlık sistemli Üst Plaka,  Ø165 mm, Alt Plaka Ø165 mm ile birlikte set olarak verilmektedir. </t>
  </si>
  <si>
    <t>Silindir başlıklama Seti; 100 ve 150 mm çaplı silindir numuneler için kullanılan plakaları ile birlikte verilmektedir.
75 mm çaplı plakalar ayrıca sipariş edilmelidir.</t>
  </si>
  <si>
    <t>Silindir Başlıklama Çerçevesi</t>
  </si>
  <si>
    <t>Başlıklama Plakası, Ø 75x20 mm</t>
  </si>
  <si>
    <t>Başlıklama Plakası, Ø 100x20 mm</t>
  </si>
  <si>
    <t>Başlıklama Plakası, Ø 150x20 mm</t>
  </si>
  <si>
    <t>Ergitme Potası, 3,5 litre kapasitelidir. Başlıklama bileşiğinin (kükürt) eritilmesi amacıyla tasarlanmıştır. Termostat kontrollü ısıtıcı, 40- 350°C arasında sıcaklığı sabit tutabilmektedir. Kapaklıdır. Kepçe ile birlikte verilmektedir. Kükürt ve Grafit ayrıca sipariş edilmelidir. 220 V, 50/60 Hz, 1 ph</t>
  </si>
  <si>
    <t>Kükürt 1 kg</t>
  </si>
  <si>
    <t>Kükürt 25 kg</t>
  </si>
  <si>
    <t>Grafit 1 kg</t>
  </si>
  <si>
    <t>Grafit 25 kg</t>
  </si>
  <si>
    <t>Kepçe</t>
  </si>
  <si>
    <t>∅ 150 mm Beton Test Silindiri için ∅ 160 mm Çelik Başlık (1 adet fiyatıdır)</t>
  </si>
  <si>
    <t>∅ 150 mm Beton Test Silindiri için ∅ 160 mm Neopren Başlık, Shore 70 Sertliğinde (1 adet fiyatıdır)</t>
  </si>
  <si>
    <t>∅ 100 mm Beton Test Silindiri için Çelik Başlık (1 adet fiyatıdır)</t>
  </si>
  <si>
    <t>∅ 100 mm beton karot numuneleri için Neopren Başlık. (1 adet fiyatıdır)</t>
  </si>
  <si>
    <t>Masa Tipi Kesme Makinası, 350mm bıçak çapı, 125 mm kesme derinliği, 470mm kesme uzunluğu, 0.37 hp- 220V sulu kesim motoru, 3hp 380V elektrik motorlu. Karot numuneleri için Mengene opsiyoneldir, ayrıca sipariş edilmelidir.</t>
  </si>
  <si>
    <t>Kesme Bıçağı, elmas dişli, 350mm çaplı</t>
  </si>
  <si>
    <t>Masa Tipi Kesme Makinası, 350mm bıçak çapı, 125 mm kesme derinliği, 470mm kesme uzunluğu, 0.37 hp- 220V sulu kesim motoru, 3hp 220V elektrik motorlu.Karot numuneleri için Mengene opsiyoneldir, ayrıca sipariş edilmelidir.</t>
  </si>
  <si>
    <t>Masa Tipi Kesme Makinası, 450mm bıçak çapı, 175 mm kesme derinliği, 420 mm kesme uzunluğu, 0.37 hp- 220V sulu kesim motoru, 4hp 380V elektrik motorlu.Karot numuneleri için Mengene opsiyoneldir, ayrıca sipariş edilmelidir.</t>
  </si>
  <si>
    <t>Kesme Bıçağı, elmas dişli, 450mm çaplı</t>
  </si>
  <si>
    <t>Masa Tipi Kesme Makinası, 450mm bıçak çapı, 175 mm kesme derinliği, 420 mm kesme uzunluğu, 0.37 hp- 220V sulu kesim motoru, 4hp 220V elektrik motorlu.Karot numuneleri için Mengene opsiyoneldir, ayrıca sipariş edilmelidir.</t>
  </si>
  <si>
    <t>Masa Tipi Kesme Makinası, Bims-Ytong Kesme, 600mm bıçak çapı, 250 mm kesme derinliği, 500 mm kesme uzunluğu, 0.37 hp- 220V sulu kesim motoru, 5,5 hp 380V elektrik motorlu.Karot numuneleri için Mengene opsiyoneldir, ayrıca sipariş edilmelidir.</t>
  </si>
  <si>
    <t>Kesme Bıçağı, elmas dişli, 600 mm çaplı</t>
  </si>
  <si>
    <t>Masa Tipi Kesme Makinası, 350 mm bıçak çapı, 130 mm kesme derinliği, 1800 mm kesme uzunluğu, 0.37 hp- 220V sulu kesim motoru, 4 hp 380V elektrik motorlu.Karot numuneleri için Mengene opsiyoneldir, ayrıca sipariş edilmelidir.</t>
  </si>
  <si>
    <t>Karot numuneleri için Mengene</t>
  </si>
  <si>
    <t>Karot Alma Makinası;                                                     
2600 W, Delme çapı : 50-255mm, 2 Devirli  460rpm-840rpm. Metal gövde, Ana mil etrafında 360 derece dönebilen su başlığı,  Kumanda şalteri ( voltaj korumalı- makinayı açma/kapama butonu), Debriyaj sistemi, Hafif rahat taşınabilir. Karot makinası ayağı ile birlikte verilmektedir. Ağırlık: 25,2 kg. 220 V, 50-60 Hz, 1 ph</t>
  </si>
  <si>
    <t>Karot Alma Makinası, HİLTİ. 
2200 W, max delme çapı: 25-202mm. 3 Devirli: 420rpm-700-1570 rpm,  Karot makinası ayağı, sulu kesim için bağlantı hortumu ile birlikte verilmektedir. 16,3 Kg.  230V, 50-60 Hz, 1 ph</t>
  </si>
  <si>
    <t>Karot Alma Makinası, HİLTİ.
2500 W, 2 hızlı: 360rpm-850rpm, max delme çapı: 52-250mm, delme derinliği: 600mm, yumuşak başlangıç ve aşırı yükleme koruması mevcuttur. Karot makinası ayağı, sulu kesim için bağlantı hortumu, bıçakları kolay söküp takmak için anahtarı standart olarak verilmektedir. 26 Kg.  220-240V, 50-60 Hz, 1 ph</t>
  </si>
  <si>
    <t>Karot Alma Makinası, 2800 W, 2 hızlı: 450rpm-900rpm, max delme çapı: 152-254mm. Karot makinası sehpası, sulu kesim için bağlantı hortumu, bıçakları kolay söküp takmak için anahtarı standart olarak verilmektedir.  220-240V, 50-60 Hz, 1 ph</t>
  </si>
  <si>
    <t>Laboratuvar Tipi Karot Makinası, büyük boyutlu kaya, doğal taş ve beton numunelerinden karot alınması için. Karot bıçakları ayrıca sipariş edilmeliri. 230V, 50-60Hz, 1faz.</t>
  </si>
  <si>
    <t>Karot Bıçağı, Ø  21.46mm</t>
  </si>
  <si>
    <t>Karot Bıçağı, Ø  30.10 mm</t>
  </si>
  <si>
    <t>Karot Bıçağı, Ø  38.10mm</t>
  </si>
  <si>
    <t>Karot Bıçağı, Ø  42.04 mm</t>
  </si>
  <si>
    <t>Karot Bıçağı, Ø  54.74 mm</t>
  </si>
  <si>
    <t>Karot Bıçağı, Ø   60.50mm</t>
  </si>
  <si>
    <t>Karot Bıçağı, beton numuneleri için, Ø50 mm, 400mm boy</t>
  </si>
  <si>
    <t>Karot Bıçağı, kaya numuneleri için, NX, Ø54,74 mm, 400mm boy</t>
  </si>
  <si>
    <t>Karot Bıçağı, beton numuneleri için, Ø75 mm, 400mm boy</t>
  </si>
  <si>
    <t>Karot Bıçağı, beton numuneleri için, Ø100 mm, 400mm boy</t>
  </si>
  <si>
    <t>Karot Bıçağı, beton numuneleri için, Ø150 mm, 400mm boy</t>
  </si>
  <si>
    <t>Karot Bıçağı, beton numuneleri için, Ø200 mm, 400mm boy</t>
  </si>
  <si>
    <t>Donatı Çekme Cihazı 30 Ton;(BULON ÇEKME CİHAZI) Betona ankre edilen donatıların çekme dayanımlarını ve sıyrılma değerlerini tespit etmek amacıyla kullanılmaktadır. Kapasite : 30 ton, Manometreli olan cihaz Hidrolik el pompalıdır. Q 32mm'e kadar demir Çekebilmektedir. 8-10,12-14,16-18,20-22,24-26,28-30-32 mm ölçülerinde Özel 8 adet Çene Takımı ile birlikte verilmektedir.</t>
  </si>
  <si>
    <t>Donatı Çekme Cihazı 50 ton ;(BULON ÇEKME CİHAZI) Betona ankre edilen donatıların çekme dayanımlarını ve sıyrılma değerlerini tespit etmek amacıyla kullanılmaktadır. Kapasite : 30 ton, Manometreli olan cihaz Hidrolik el pompalıdır. Q 32mm'e kadar demir Çekebilmektedir. 8-10,12-14,16-18,20-22,24-26,28-30-32 mm ölçülerinde Özel 8 adet Çene Takımı ile birlikte verilmektedir.</t>
  </si>
  <si>
    <t xml:space="preserve">Dijital Donatı Çekme Cihazı 30 ton; Betona ankre edilen donatıların çekme dayanımlarını ve sıyrılma değerlerini tespit etmek amacıyla kullanılmaktadır. Kapasite : 30 ton, LPI Dijital veri okuma sistemi, 30 ton kapasiteli Hidrolik krikoya bağlıdır. El pompası 1 % hassasiyet sağlar ve yük yada çekme kuvveti değerleri okunabilmektedir. 
8-10-12-14-16-18-20-22-24-26-28-30-32 mm ölçülerinde Özel Çene Takımı ile birlikte verilmektedir.
 </t>
  </si>
  <si>
    <t xml:space="preserve">Dijital Donatı Çekme Cihazı 50 ton; Betona ankre edilen donatıların çekme dayanımlarını ve sıyrılma değerlerini tespit etmek amacıyla kullanılmaktadır. Kapasite : 30 ton, LPI Dijital veri okuma sistemi, 30 ton kapasiteli Hidrolik krikoya bağlıdır. El pompası 1 % hassasiyet sağlar ve yük yada çekme kuvveti değerleri okunabilmektedir. 
8-10-12-14-16-18-20-22-24-26-28-30-32 mm ölçülerinde Özel Çene Takımı ile birlikte verilmektedir.
 </t>
  </si>
  <si>
    <t>Donatı Çekme Krikosu; Hortumu ve Bağlantı aparatları ile birlikte.</t>
  </si>
  <si>
    <t>Donatı Çekme Cihazı Pistonu</t>
  </si>
  <si>
    <t>8-10-12-14-16-18-20-22-24-26-28-30-32 mm ölçülerinde Özel Çene Takımı, Çene Yuvası ile birlikte</t>
  </si>
  <si>
    <t>LPI Dijital veri okuma sistemi ve Basınç Transduseri</t>
  </si>
  <si>
    <t>Çene Yuvası</t>
  </si>
  <si>
    <t>Çene Seti Ø 8-10 mm</t>
  </si>
  <si>
    <t>Çene Seti Ø 12-14 mm</t>
  </si>
  <si>
    <t>Çene Seti Ø 16-18 mm</t>
  </si>
  <si>
    <t>Çene Seti Ø 20-22 mm</t>
  </si>
  <si>
    <t>Çene Seti Ø 24-26 mm</t>
  </si>
  <si>
    <t>Çene Seti Ø 28-30 mm</t>
  </si>
  <si>
    <t>Çene Seti Ø 30-32 mm</t>
  </si>
  <si>
    <t>Çene Seti Ø 32-34 mm</t>
  </si>
  <si>
    <t>Beton Permeabilite Deney Seti, 3 numune kapasiteli, 150x150x150 mm, 200x200x200 mm küp yada 100x200 mm, 150x300mm numuneleri test etmeye uygundur. 8 bar'a kadar 0.2 bar hassasiyetle basınç ayarı yapılabilmektedir. Basınç, cihaz üzerindeki manometreden görülebilmektedir.
Set ; su miktarının ölçümü için büretler ve her hücre için sızdırmazlık contalarından oluşmaktadır. 8 barlık kompresörle birlikte çalışan cihaz için kompresör ayrıca sipariş edilmelidir.</t>
  </si>
  <si>
    <t>Beton Permeabilite Deney Seti, 6 numune kapasiteli, 150x150x150 mm, 200x200x200 mm küp yada 100x200 mm, 150x300mm numuneleri test etmeye uygundur. 8 bar'a kadar 0.2 bar hassasiyetle basınç ayarı yapılabilmektedir. Basınç, cihaz üzerindeki manometreden görülebilmektedir.
Set ; su miktarının ölçümü için büretler ve her hücre için sızdırmazlık contalarından oluşmaktadır. 8 barlık kompresörle birlikte çalışan cihaz için kompresör ayrıca sipariş edilmelidir.</t>
  </si>
  <si>
    <t>Dijital Pull-Off Dayanım (Bond) Test Cihazı</t>
  </si>
  <si>
    <t>Delme ucu, merkezleme aparatı ile birlikte. Ø 50 mm</t>
  </si>
  <si>
    <t>Delme ucu, merkezleme aparatı ile birlikte. Ø 20 mm</t>
  </si>
  <si>
    <t>Metal yüzük, Ø 50 mm, 25 mm yükseklik, EN 1015-12</t>
  </si>
  <si>
    <t>Alüminyum kare plaka 50 mm x 50 mm, EN 1348</t>
  </si>
  <si>
    <t>Alüminyum Test Diski, Ø 50 mm x 20 mm kalınlık</t>
  </si>
  <si>
    <t>Alüminyum Test Diski, Ø 20 mm x 20 mm kalınlık</t>
  </si>
  <si>
    <t>Paslanmaz Çelik Test Diski, Ø 50 mm x 20 mm kalınlık, EN 1015-12</t>
  </si>
  <si>
    <t>Yapıştırıcı. 250 ml</t>
  </si>
  <si>
    <t>Seri Kablo</t>
  </si>
  <si>
    <t>Beton Test Çekici (Schmidt Çekici); N tipi. Gövdesi Alüminyumdan imal edilmiştir. Ölçüm Aralığı: 10-70 N/mm² sıkışma dayanımı, Çarpma Enerjisi : 2.207 Joule (0,225 mkgf). Çarpma değeri çekiç üstünden direkt okunmaktadır. Aşındırma taşı ve Taşıma çantası ile birlikte set olarak verilmektedir.</t>
  </si>
  <si>
    <t>Beton Test Çekici (Schmidt Çekici); PROCEQ. 
N tipi. Gövdesi Alüminyumdan imal edilmiştir. Ölçüm Aralığı: 10-70 N/mm² sıkışma dayanımı, Çarpma Enerjisi : 2.207 Joule (0,225 mkgf). Çarpma değeri çekiç üstünden direkt okunmaktadır. Aşındırma taşı ve Taşıma çantası ile birlikte set olarak verilmektedir.</t>
  </si>
  <si>
    <t>Beton Test Çekici (Schmidt Çekici); MENŞEİ: İTALYA
N tipi. Gövdesi Alüminyumdan imal edilmiştir. Ölçüm Aralığı: 10-120 N/mm² sıkışma dayanımı, Çarpma Enerjisi : 2.207 Joule (0,225 mkgf). Kullanma Kılavuzu, psi eğrileri, Not Defteri, Kalem, Aşındırma taşı, Pozisyon şablonu (uzunluğu 30 mm), Fenolftalein atomizör, omuz askılı çanta, Kalibrasyon ve QC belgesi ile birlikte verilmektedir.</t>
  </si>
  <si>
    <t>Elektronik Beton Test Çekici (SilverSchmidt Çekici); PROCEQ. 
N tipi. Gövdesi Alüminyumdan imal edilmiştir. Ölçüm Aralığı: 10-70 N/mm² sıkışma dayanımı, Çarpma Enerjisi : 2.207 Joule (0,225 mkgf). Çarpma değeri çekiç üstünden direkt okunmaktadır. Aşındırma taşı ve Taşıma çantası ile birlikte set olarak verilmektedir.</t>
  </si>
  <si>
    <t>Elektronik, Bilgisayar Bağlantılı Beton Test Çekici (SilverSchmidt Çekici); PROCEQ. 
N tipi. Gövdesi Alüminyumdan imal edilmiştir. Ölçüm Aralığı: 10-70 N/mm² sıkışma dayanımı, Çarpma Enerjisi : 2.207 Joule (0,225 mkgf). Çarpma değeri çekiç üstünden direkt okunmaktadır. Aşındırma taşı ve Taşıma çantası ile birlikte set olarak verilmektedir.</t>
  </si>
  <si>
    <t>Dijital Beton Test Çekici (Digi-Schmidt Çekici); PROCEQ. 
N tipi. Gövdesi Alüminyumdan imal edilmiştir. Ölçüm Aralığı: 10-70 N/mm² sıkışma dayanımı, Çarpma Enerjisi : 2.207 Joule (0,225 mkgf). Çarpma değeri çekiç üstünden direkt okunmaktadır. Aşındırma taşı ve Taşıma çantası ile birlikte set olarak verilmektedir.</t>
  </si>
  <si>
    <t>Dijital Beton Test Çekici (Schmidt Çekici); 
N tipi. Gövdesi Alüminyumdan imal edilmiştir. Ölçüm Aralığı: 10-120 N/mm² sıkışma dayanımı, Çarpma Enerjisi : 2.207 Joule (0,225 mkgf). Kullanma Kılavuzu, psi eğrileri, Not Defteri, Kalem, Aşındırma taşı, Pozisyon şablonu (uzunluğu 30 mm), Fenolftalein atomizör, omuz askılı çanta, Kalibrasyon ve QC belgesi ile birlikte verilmektedir.</t>
  </si>
  <si>
    <t>Beton Test Çekici Kalibrasyon Örsü; N tipi çekiçlerin test kalibrasyonunu yapmak için dizayn edilmiştir. Çelikten imal edilmiştir.</t>
  </si>
  <si>
    <t>Beton Test Çekici Kalibrasyon Örsü; PROCEQ. 
N tipi çekiçlerin test kalibrasyonunu yapmak için dizayn edilmiştir. Çelikten imal edilmiştir.</t>
  </si>
  <si>
    <t>Ultrasonik test cihazı. Pundit Lab. Plus, 
İthal, Proceq, İsviçre</t>
  </si>
  <si>
    <t>Ultrasonik test cihazı. Pundit Lab. 
İthal, Proceq, İsviçre</t>
  </si>
  <si>
    <t>Donatı Tespit Cihazı; betondaki donatının yerini bulmakta kullanılmaktadır. Bosch Marka. Çelik algılama derinliği  (Maksimum): 60mm, Bakır algılama derinliği (Maksimum): 50mm, otomatik kalibrasyon özelliği, 9V alkali pil ile çalışır.</t>
  </si>
  <si>
    <t>Donatı Tespit Cihazı; betondaki donatının yerini bulmakta kullanılmaktadır. Bosch Marka. Çelik algılama derinliği  (Maksimum): 120 mm, Bakır algılama derinliği (Maksimum): 80 mm, 9V alkali pil ile çalışır.</t>
  </si>
  <si>
    <t>Profometre PM-6 Noktasal. PM-600. PROCEQ, İsviçre</t>
  </si>
  <si>
    <t>Profometre PM-6 Tarama. PM-630. PROCEQ, İsviçre</t>
  </si>
  <si>
    <t>Profometre PM-6 Çapraz Tarama. PM-650. PROCEQ, İsviçre</t>
  </si>
  <si>
    <t>HİLTİ Donatı Tespit Cihazı. Tarayıcı + Monitör</t>
  </si>
  <si>
    <t>HİLTİ Donatı Tespit Cihazı. Tarayıcı</t>
  </si>
  <si>
    <t>HİLTİ Donatı Tespit Cihazı. X- Scan Tarayıcı + Monitör</t>
  </si>
  <si>
    <t>HİLTİ Donatı Tespit Cihazı. Monitör</t>
  </si>
  <si>
    <t>Çatlak Mikroskobu;
Ölçüm aralığı: 4 mm.  0,02 mm taksimatlı.
Büyütme: x35
Ağırlık: 600 g</t>
  </si>
  <si>
    <t>Blaine Cihazı; Metal tablaya dik olarak monte edilmiş U tipi manometre tüpü, paslanmaz çelik hücre, 1 mm çapında 30-40 delikli disk, puar, puar hortumu, plastik huni, Manometre sıvısı ve 100 adet filtre kağıdından oluşur.</t>
  </si>
  <si>
    <t>U Manometre Tüp</t>
  </si>
  <si>
    <t xml:space="preserve">Piston, Hücre ve Delikli Diski ile birlikte. </t>
  </si>
  <si>
    <t>250 ml Manometre Sıvısı</t>
  </si>
  <si>
    <t>Puar</t>
  </si>
  <si>
    <t>Filtre Kağıdı 100 adet Blaine Permeabilite Cihazı için</t>
  </si>
  <si>
    <t>Filtre Kağıdı 1000 adet Blaine Permeabilite Cihazı için</t>
  </si>
  <si>
    <t>Otomatik Blaine Cihazı; Dijital zaman sayıcılı ve digital termometrelidir. Gösterge 1/10  saniyelidir. Kalibrasyon kumu ayrıca sipariş edilmelidir. 220 V, 50-60 Hz, 1 ph</t>
  </si>
  <si>
    <t>Kalibrasyon Kumu. 100 ml x 2 şişe. (No. 2800-3990)</t>
  </si>
  <si>
    <t>Kireç Reaktivitesi Tayin Cihazı</t>
  </si>
  <si>
    <t>Üç Gözlü Kalıp; 40x40x160 mm</t>
  </si>
  <si>
    <t>Çelik İnsert, LT-CE0035 için. 1 set=10 adet</t>
  </si>
  <si>
    <t>Referans Çubuğu, 160 mm uzunluğunda</t>
  </si>
  <si>
    <t>Çelik İnsert, LT-CE0038 için. 1 set=10 adet</t>
  </si>
  <si>
    <t xml:space="preserve">Analog Büzülme Deney Seti; Boy Ölçüm Çerçevesi, İki Gözlü Kalıp  25x25x285mm, çelik inset (10 adet), Referans Çubuğu 305 mm ve 0,01 mm analog komparatör saati ile birlikte set olarak verilmektedir. </t>
  </si>
  <si>
    <t xml:space="preserve">Dijital Büzülme Deney Seti; Boy Ölçüm Çerçevesi, İki Gözlü Kalıp  25x25x285mm, çelik inset (10 adet), Referans Çubuğu 305 mm ve 0.001mm dijital komparatör saati ile birlikte set olarak verilmektedir. </t>
  </si>
  <si>
    <t>GILLMORE APARATI</t>
  </si>
  <si>
    <t>Hava Ölçer. 1 litre kapasiteli.</t>
  </si>
  <si>
    <t>Islak Eleme Aparatı</t>
  </si>
  <si>
    <t>Çimento Numune Alıcı,Ø38x580 mm,Paketlenmiş Çimento için</t>
  </si>
  <si>
    <t>Çimento Numune Alıcı, Ø35x1500 mm,Dökme Çimento için</t>
  </si>
  <si>
    <t>Akış Hunisi. EN 445 Standardına uygun olarak üretilmektedir. 
Metal stand, koni, 150 mm çaplı, 1,5 mm göz açıklıklı elek, 10 mm çaplı ağızlıklar ve 1 litre kapasiteli beher ile birlikte verilmektedir.
Ø8, Ø9, Ø11 ve Ø13 mm ağızlıklar ayrıca sipariş edilmelidir.</t>
  </si>
  <si>
    <t>Akış Hunisi</t>
  </si>
  <si>
    <t>Metal Stand</t>
  </si>
  <si>
    <t>Elek, 1.5 mm göz açıklığında</t>
  </si>
  <si>
    <t>Ø 8 mm Ağızlık</t>
  </si>
  <si>
    <t>Ø 9 mm Ağızlık</t>
  </si>
  <si>
    <t>Ø 10 mm Ağızlık</t>
  </si>
  <si>
    <t>Ø 11 mm Ağızlık</t>
  </si>
  <si>
    <t>Ø 13 mm Ağızlık</t>
  </si>
  <si>
    <t>Plastik Beher, 1000 ml</t>
  </si>
  <si>
    <t>Marsh Hunisi ve Kabı. Sert plastik</t>
  </si>
  <si>
    <t>Çamur Terazisi. Yerli.</t>
  </si>
  <si>
    <t>Çamur Terazisi Taşıma Çantası</t>
  </si>
  <si>
    <t>Çamur Terazisi. İthal</t>
  </si>
  <si>
    <t>MODİFİYE VİCAT KONİ PENETROMETRESİ</t>
  </si>
  <si>
    <t>Vikat Test Seti. EN Model. Çimentoların priz süresi ve genleşmesi tayini esasına dayanır. Kalıp, başlangıç ve bitiş iğnesi (EN Model), cam plaka ve kıvam sondası ve  Cam Termometre; max 110 °C ile birlikte set olarak verilmektedir.</t>
  </si>
  <si>
    <t>Vikat Aleti</t>
  </si>
  <si>
    <t>Vikat Kalıbı (EN Model)</t>
  </si>
  <si>
    <t>Başlangıç İğnesi EN, 1.13 mm çapında</t>
  </si>
  <si>
    <t>Bitiş İğnesi EN, 1.13 mm çapında</t>
  </si>
  <si>
    <t>Kıvam Sondası, 10 mm çapında</t>
  </si>
  <si>
    <t>Vikat Cam Plakası</t>
  </si>
  <si>
    <t>Ek Ağırlık, 700 g, EN</t>
  </si>
  <si>
    <t>Vikat Test Seti. ASTM Model. Çimentoların priz süresi ve genleşmesi tayini esasına dayanır. Kalıp, başlangıç iğnesi, cam plaka ve kıvam sondası ve termometre ile birlikte set olarak verilmektedir.</t>
  </si>
  <si>
    <t>Vikat Kalıbı (ASTM Model)</t>
  </si>
  <si>
    <t>Başlangıç İğnesi ASTM, 1 mm çapında</t>
  </si>
  <si>
    <t>OTOMATİK VİKAT CİHAZI</t>
  </si>
  <si>
    <t>Le Chatelier Balonu, Çimento özgül ağırlık deneylerinde kullanılır. 0 ile 1 ml ve 18 ile 24 ml arası derecelendirilmiştir.
250 ml kapasitelidir.</t>
  </si>
  <si>
    <t>Le Chatelier Kalıbı, 30 mm çapında, 30 mm yüksekliğinde olan ve 150 mm uzunluğunda iki adet çubukla birleştirilmek suretiyle imal edilmiştir.</t>
  </si>
  <si>
    <t>Le Chatelier Test Seti, 3 adet Le Chatelier kalıbı, 6 adet 50x50mm cam plaka, 1 adet 300 gr ağırlık, 3 adet 100gr ağırlık, şişleme çubuğu, çelik cetvel ve taşıma çantasıyla birlikte set olarak verilmektedir.</t>
  </si>
  <si>
    <t>Cam Plaka, 5x5 cm</t>
  </si>
  <si>
    <t>300 gr Ağırlık</t>
  </si>
  <si>
    <t>100 gr Ağırlık</t>
  </si>
  <si>
    <t>Şişleme Çubuğu Ø 1,7 cm</t>
  </si>
  <si>
    <t>Le Chatelier Su Banyosu, çimentoların priz süresi ve genleşmesi tayini esasına dayanır. İçi paslanmaz çelik, dışı elektrostatik toz boyalıdır. Dijital göstergesi mevcuttur.
12 adet Le Chatelier kalıp alabilen rafı mevcuttur. Kalıplar ayrıca sipariş edilmelidir. Su sıcaklığını (20 ± 2) ºC den (30 ± 5) dakikada kaynama sıcaklığına ulaştırabilmektedir. 220 V, 50-60 Hz, 1 ph</t>
  </si>
  <si>
    <t>Manuel Çimento Yayılma Tablası, EN. Elle çevirerek kullanılmaktadır. Tabla, 300 mm çapında prinçten imal edilmiştir. Prinç kalıbı ve Şişleme Çubuğu ile birlikte verilmektedir.</t>
  </si>
  <si>
    <t>Çimento Yayılma Kalıbı, EN. 100x70x60 mm</t>
  </si>
  <si>
    <t>Şişleme Çubuğu, EN. Ø40x200 mm, 250 gr</t>
  </si>
  <si>
    <t>Manuel Çimento Yayılma Tablası, ASTM. Elle çevirerek kullanılmaktadır. Tabla, 254 mm çapında prinçten imal edilmiştir. Prinç kalıbı ve Şişleme Çubuğu ile birlikte verilmektedir.</t>
  </si>
  <si>
    <t>Çimento Yayılma Kalıbı, ASTM. 100x70x50 mm</t>
  </si>
  <si>
    <t>Şişleme Çubuğu, Ahşap, ASTM. 13x25x150 mm</t>
  </si>
  <si>
    <t>Motorlu Çimento Yayılma Tablası, EN .Düşüş sayıları ayarlanabilir ve düşüş sayısı tamamlandığında otomatik olarak durmaktadır. Motor saniyede 1 devir döner. Tabla, 300 mm çapında prinçten imal edilmiştir. Prinç kalıbı ve Şişleme Çubuğu ile birlikte verilmektedir.</t>
  </si>
  <si>
    <t>Motorlu Çimento Yayılma Tablası, ASTM .Düşüş sayıları ayarlanabilir ve düşüş sayısı tamamlandığında otomatik olarak durmaktadır. Motor saniyede 1 devir döner. Tabla, 254 mm çapında prinçten imal edilmiştir. Prinç kalıbı ve Şişleme Çubuğu ile birlikte verilmektedir.</t>
  </si>
  <si>
    <t>Plunger Penetrometre, Düşme yüksekliği 100 mm'dir ve piston aparatı 90 g'dır. Ø 8 x 7 cm Test Kabı ve Şişleme Çubuğu ile birlikte verilmektedir.</t>
  </si>
  <si>
    <t>Test Kabı, Ø 8 x 7 cm.</t>
  </si>
  <si>
    <t>Manuel Çimento Mikseri, Çimentonun homojen olarak karışımını sağlamak esasına dayanır. Cihaz üzerindeki potansiyometreden cihaz hızı ayarlanabilir. 5 litre kapasiteli karıştırma kabı ve karıştırma paleti ile birlikte verilmektedir. 220 V, 50-60 Hz, 1 ph</t>
  </si>
  <si>
    <t>Otomatik Çimento Mikseri; Çimentonun homojen olarak karışımını sağlamak esasına dayanır. Manuel ve otomatik olarak çalışabilmektedir.  Cihaz üzerindeki potansiyometreden cihaz hızı ayarlanabilir.  Hız ve zaman kontrollüdür. 5 litre kapasiteli karıştırma kabı ve karıştırma paleti ile birlikte verilmektedir. 
220 V, 50-60 Hz, 1 ph</t>
  </si>
  <si>
    <t>Çimento Mikseri için Karıştırma kabı, 5 litre kapasiteli.</t>
  </si>
  <si>
    <t>Çimento Mikseri için Karıştırma paleti</t>
  </si>
  <si>
    <t>Üç Gözlü Çelik Kalıp; 40x40x160 mm</t>
  </si>
  <si>
    <t>Doldurma Hunisi, 40x40x160 mm çimento numune kalıplarının gevşek malzeme ile doldurulabilmesi esasına dayanır.</t>
  </si>
  <si>
    <t>Üç Gözlü Çelik Kalıp; 50x50x50 mm</t>
  </si>
  <si>
    <t>Tek Gözlü Çelik Küp Kalıp; 70,7 mm</t>
  </si>
  <si>
    <t>Çimento Sarsma Masası; 40x40x160 mm çimento numunelerinin kalıp içerisinde sıkıştırılması esasına dayanır. Tabla 60 devir/dak. hızındadır. Tabla düşüş yüksekliği 15 mm'dir. Elektronik sayacı sayesinde ayarlanan vurma sayısına ulaştığında otomatik olarak durur. 220 V, 50-60 Hz, 1 ph</t>
  </si>
  <si>
    <t>Standart kum 1350gr</t>
  </si>
  <si>
    <r>
      <t xml:space="preserve">Kür Kabini,
Kullanılır hacim: 120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Tek Programlı, Numerik Ekran</t>
    </r>
  </si>
  <si>
    <r>
      <t xml:space="preserve">Kür Kabini,
Kullanılır hacim: 120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Adım Kontrollü (10 programlı), Siemens LCD Dokunmatik Ekran</t>
    </r>
  </si>
  <si>
    <r>
      <t xml:space="preserve">Kür Kabini,
Kullanılır hacim: 250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Tek Programlı, Numerik Ekran</t>
    </r>
  </si>
  <si>
    <r>
      <t xml:space="preserve">Kür Kabini,
Kullanılır hacim: 250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Adım Kontrollü (10 programlı), Siemens LCD Dokunmatik Ekran</t>
    </r>
  </si>
  <si>
    <r>
      <t xml:space="preserve">Kür Kabini,
Kullanılır hacim: 500 litre
Sıcaklık Çalışma Aralığı : 20 </t>
    </r>
    <r>
      <rPr>
        <sz val="11"/>
        <color theme="1"/>
        <rFont val="Calibri"/>
        <family val="2"/>
        <scheme val="minor"/>
      </rPr>
      <t>±</t>
    </r>
    <r>
      <rPr>
        <sz val="10"/>
        <rFont val="Cambria"/>
        <family val="1"/>
        <charset val="162"/>
      </rPr>
      <t>1 ºC
Nem Aralığı : % 20 - % 95
İç Yüzey Yapısı : Paslanmaz Çelik 304 18/8 İç Hazne
Dıs Yüzey Yapısı : Elektrostatik Toz Boyalı Çelik
Tek Programlı, Numerik Ekran</t>
    </r>
  </si>
  <si>
    <r>
      <t xml:space="preserve">Kür Kabini,
Kullanılır hacim: 500 litre
Sıcaklık Çalışma Aralığı : 20 </t>
    </r>
    <r>
      <rPr>
        <sz val="11"/>
        <color theme="1"/>
        <rFont val="Calibri"/>
        <family val="2"/>
        <scheme val="minor"/>
      </rPr>
      <t>±</t>
    </r>
    <r>
      <rPr>
        <sz val="10"/>
        <rFont val="Cambria"/>
        <family val="1"/>
        <charset val="162"/>
      </rPr>
      <t>1 ºC
Nem Aralığı : % 20 - % 95
İç Yüzey Yapısı : Paslanmaz Çelik 304 18/8 İç Hazne
Dıs Yüzey Yapısı : Elektrostatik Toz Boyalı Çelik
Adım Kontrollü (10 programlı), Siemens LCD Dokunmatik Ekran</t>
    </r>
  </si>
  <si>
    <r>
      <t xml:space="preserve">Kür Kabini,
Kullanılır hacim: 750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Tek Programlı, Numerik Ekran</t>
    </r>
  </si>
  <si>
    <r>
      <t xml:space="preserve">Kür Kabini,
Kullanılır hacim: 750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Adım Kontrollü (10 programlı), Siemens LCD Dokunmatik Ekran</t>
    </r>
  </si>
  <si>
    <r>
      <t xml:space="preserve">Kür Kabini,
Kullanılır hacim: 1000 litre
Sıcaklık Çalışma Aralığı : 20 </t>
    </r>
    <r>
      <rPr>
        <sz val="11"/>
        <color theme="1"/>
        <rFont val="Calibri"/>
        <family val="2"/>
        <scheme val="minor"/>
      </rPr>
      <t>±</t>
    </r>
    <r>
      <rPr>
        <sz val="10"/>
        <rFont val="Cambria"/>
        <family val="1"/>
        <charset val="162"/>
      </rPr>
      <t xml:space="preserve">1 </t>
    </r>
    <r>
      <rPr>
        <sz val="10"/>
        <rFont val="Cambria"/>
        <family val="1"/>
        <charset val="162"/>
      </rPr>
      <t>ºC
Nem Aralığı : % 20 - % 95
İç Yüzey Yapısı : Paslanmaz Çelik 304 18/8 İç Hazne
Dıs Yüzey Yapısı : Elektrostatik Toz Boyalı Çelik
Adım Kontrollü (10 programlı), Siemens LCD Dokunmatik Ekran</t>
    </r>
  </si>
  <si>
    <t xml:space="preserve">15/250 kN Çift Pistonlu Otomatik Çimento Test Presi; Yükleme Gövdesi, Otomatik Hidrolik Güç Ünitesi, Dijital veri okuma &amp; kontrol sistemi ve  Yazılım ile birlikte set olarak verilmektedir. Basma ve Eğilme Testleri Yapılabilmektedir. Basınç deneyi kapasitesi 250 kN (25 ton ), Eğilme deneyi kapasitesi 15 kN (1,5 ton)dur. Çift pistonlu ve Çift Load celli sisteme sahiptir. Çift Kalibrasyonludur. 40x40x160 mm numunelerin basma ve eğilme deneyleri yapılabilmektedir. Eğilme ve Basma Başlıkları, Ara mesafe parçaları ve şeffaf  güvenlik kapısı  (fabraikada monte edilmelidir.) ayrıca sipariş edilmelidir. 220 V, 50-60 Hz, 1 ph
***Bilgisayar opsiyoneldir. Laboratuvarınızda bulunan 32 bit işletim sistemli bir Bilgisayar ile birlikte kullanılabilmektedir. </t>
  </si>
  <si>
    <t>15/250 kN Çimento Test Gövdesi. Basma ve Eğilme Testleri Yapılabilmektedir. Basınç deneyi kapasitesi 250 kN (25 ton ), Eğilme deneyi kapasitesi 15 kN (1,5 ton)dur. 40x40x160 mm numunelerin basma ve eğilme deneyleri yapılabilmektedir. Eğilme ve Basma Başlıkları, Ara mesafe parçaları ve şeffaf  güvenlik kapısı  (fabraikada monte edilmelidir.) ayrıca sipariş edilmelidir.</t>
  </si>
  <si>
    <t xml:space="preserve">250 kN Otomatik Çimento Basma Test Presi; Yükleme Gövdesi, Otomatik Hidrolik Güç Ünitesi, Dijital veri okuma &amp; kontrol sistemi ve  Yazılım ile birlikte set olarak verilmektedir. Basınç deneyi kapasitesi 250 kN (25 ton )dur. Basma Başlıkları, Ara mesafe parçaları ve şeffaf  güvenlik kapısı  (fabraikada monte edilmelidir.) ayrıca sipariş edilmelidir.  220 V, 50-60 Hz, 1 ph
***Bilgisayar opsiyoneldir. Laboratuvarınızda bulunan 32 bit işletim sistemli bir Bilgisayar ile birlikte kullanılabilmektedir. </t>
  </si>
  <si>
    <t>250 kN Çimento Basma Test Gövdesi. Basınç deneyi kapasitesi 250 kN (25 ton )dur. Basma Başlıkları, Ara mesafe parçaları ve şeffaf  güvenlik kapısı  (fabraikada monte edilmelidir.) ayrıca sipariş edilmelidir.</t>
  </si>
  <si>
    <t xml:space="preserve">Çimento + Fayans Çekme Test Presi. 
Çift Pistonlu. Kapasite 2-20 ton,
40x40x160 mm Basma ve Eğilme, Fayans Çekme deneyleri yapılabilmektedir, Gösterge  Digital Elektronik Load Cell, Hidrolik Hız ayarlı sistem, Bilgisayarlı Otomatik sistem. Basma ve Eğilme Testlerini Otomatik, Çekme Testleri Manuel olarak yapılabilmektedir. 220 V, 50-60 Hz, 1 ph
***Bilgisayar opsiyoneldir. Laboratuvarınızda bulunan 32 bit işletim sistemli bir Bilgisayar ile birlikte kullanılabilmektedir. </t>
  </si>
  <si>
    <t>Eğilme Test Jigi; 40x40x160mm numunler için uygundur.</t>
  </si>
  <si>
    <t>Basınç Test Jigi; 50x50x50 mm numunler için uygundur.</t>
  </si>
  <si>
    <t>Basınç Test Jigi; 40x40x40 mm numunler için uygundur.</t>
  </si>
  <si>
    <t>Basınç Test Jigi; 70,7 mm numunler için uygundur.</t>
  </si>
  <si>
    <t>Çekme/Yapışma Dayanımı Test Aparatı, 5 kN kapasiteli, EN 12004-2, 5 kN yük hücresi ile birlikte. Çekme başlıklı plaka seti test edilecek ürüne bağlı olarak ayrıca sipariş edilmelidir Çimento basınç/eğilme deney presi ile beraber sipariş edilmelidir.</t>
  </si>
  <si>
    <t>Çekme Başlık Seti , EN 1348</t>
  </si>
  <si>
    <t>Çekme Başlık Seti , EN 1015-12</t>
  </si>
  <si>
    <t>Konik Şekilli Halka, EN 1015-12</t>
  </si>
  <si>
    <t>Otomatik Hidrolik Güç Ünitesi ve Dijital Grafik Ekranlı Okuma Sistemi. Yazılım ücretsiz olarak sistem ile birlikte verilmektedir.
Çok nokta kalibrasyon imkanı. 220V, 50-60Hz, 1ph
***Bilgisayar opsiyoneldir.</t>
  </si>
  <si>
    <t>Ara Mesafe Parçası, Ø 150 x 15 mm</t>
  </si>
  <si>
    <t>Ara Mesafe Parçası, Ø 150 x 30 mm</t>
  </si>
  <si>
    <t>Ara Mesafe Parçası, Ø 150 x 50 mm</t>
  </si>
  <si>
    <t>Ara Mesafe Parçası, Ø 150 x 90 mm</t>
  </si>
  <si>
    <t>Bilyalı Değirmen; hem yaş hem de kuru öğütme işlemine uygun olarak tasarlanmıştır. Ø 305 x 305 mm iç ölçülerindedir.
22 lt lik silindirik değirmen haznesine sahiptir. 100 x 300 mm ebadında yandan kauçuk conta kapaklıdır. Dönüş Hızı 70 d/d Olarak ayarlanacaktır. Aşağıda belirtilen çap ve adetlerde Bilyalar (38,1 mm; 43 adet, 31,75 mm ; 67 adet, 25,40 mm; 10 adet, 19,05 mm; 71 adet, 15,87 mm; 94 adet)  ile birlikte verilmektedir. 220 V, 50-60 Hz, 1 ph</t>
  </si>
  <si>
    <t>Bond Değirmeni; hem yaş hem de kuru öğütme işlemine uygun olarak tasarlanmıştır. 22 lt lik silindirik değirmen haznesine sahiptir. 100 x 300 mm ebadında yandan kauçuk conta kapaklıdır. Dönüş Hızı Ayarlanabilmektedir. Standart hız 70 d/d Olarak ayarlanacaktır. Aşağıda belirtilen çap ve adetlerde Bilyalar (38,1 mm; 43 adet, 31,75 mm ; 67 adet, 25,40 mm; 10 adet, 19,05 mm; 71 adet, 15,87 mm; 94 adet) ile birlikte verilmektedir. 220 V, 50-60 Hz, 1 ph</t>
  </si>
  <si>
    <t>Bilyalı Değirmen için Bilya Seti; 38,1 mm; 43 adet, 31,75 mm ; 67 adet, 25,40 mm; 10 adet, 19,05 mm; 71 adet, 15,87 mm; 94 adet.</t>
  </si>
  <si>
    <t xml:space="preserve">Dinamik Konik Penetrometre, 8 Kg lık Tokmak, Penetrasyon Çubuğu, 2 adet konik uç, Örs, Alt ve Üst Uzatma çubukları, Uzatma çubukları için adaptör, Açık ağız anahtar ve 8 mm, Allen anahtar  13,17, 4 mm, Çelik cetvel ve Taşıma çantası ile birlikte set olarak verilmektedir.  </t>
  </si>
  <si>
    <t>Dinamik Konik Penetrometre için 8 Kg lık Tokmak</t>
  </si>
  <si>
    <t>Konik Uç, 60°</t>
  </si>
  <si>
    <t>Örs</t>
  </si>
  <si>
    <t>Alt Uzatma Çubuğu</t>
  </si>
  <si>
    <t>Üst Uzatma Çubuğu</t>
  </si>
  <si>
    <t>Uzatma çubukları için adaptör</t>
  </si>
  <si>
    <t>ARAZİ İNCELEME KİTİ</t>
  </si>
  <si>
    <t>SU SEVİYESİ ÖLÇÜM CİHAZI</t>
  </si>
  <si>
    <t>İğne Deliği Deneyi Aparatı,sıkıştırılmış bir numuneye açılan küçük bir delikten su akıtılması yolu ile killi zeminlerin erozyon duyarlılığı ölçülür.  Ø 33mm İç Çaplı</t>
  </si>
  <si>
    <t>İğne Deliği Deneyi Aparatı,sıkıştırılmış bir numuneye açılan küçük bir delikten su akıtılması yolu ile killi zeminlerin erozyon duyarlılığı ölçülür.  Ø 44mm İç Çaplı</t>
  </si>
  <si>
    <t>Havası Alınmış Su Tankı, 7 lt</t>
  </si>
  <si>
    <t>Kesafet Deneyleri için Özel kum. 1000 gr. No.30 (600 mikron) ile No.50 (300 mikron) mikron arasında.</t>
  </si>
  <si>
    <t>Kesafet Deneyleri için Özel kum. 1000 gr. No. 16 (1,18 mm) ile No.30 (600 mikron) arasında.</t>
  </si>
  <si>
    <t>Cep Tipi Kesme Vane Deney Ekipmanı,kohezyonlu zeminlerde, kesme dayanımının arazide veya laboratuvarda belirlemesinde kullanılabilen pratik bir aparattır. Deney çukurlarında ya da shelby tüplerinden elde edilmiş numunelere sıklıkla uygulanan, hızlı ve etkili kesme dayanımı belirleme yöntemidir. Plastik taşıma kabı ile birlikte verilmektedir.</t>
  </si>
  <si>
    <t xml:space="preserve">LABORATUVAR TİPİ VANE KESME CİHAZI 
</t>
  </si>
  <si>
    <t xml:space="preserve">MOTORLU LABORATUVAR TİPİ VANE KESME CİHAZI </t>
  </si>
  <si>
    <t xml:space="preserve">Yüzey Numunesi Alma Seti; BS, Çakma bileziği, Çakma tokmağı ve numune alma tüpü ile birlikte set olarak verilmektedir. 
Tokmak 5 kg ağırlığındadır, Bilezik ve Numune Alma Tüpü 73 mm çapındadır. </t>
  </si>
  <si>
    <t>Numune Alma Tüpü, BS, Ø 73 mm x 66 mm.</t>
  </si>
  <si>
    <t xml:space="preserve">Yüzey Numunesi Alma Seti; BS, Çakma bileziği, Çakma tokmağı ve numune alma tüpü ile birlikte set olarak verilmektedir. 
Tokmak 10 kg ağırlığındadır, Bilezik ve Numune Alma Tüpü 100 mm çapındadır. </t>
  </si>
  <si>
    <t>Numune Alma Tüpü, BS, Ø 100 mm x 130 mm.</t>
  </si>
  <si>
    <t xml:space="preserve">Yüzey Numunesi Alma Seti; BS, Çakma bileziği, Çakma tokmağı ve numune alma tüpü ile birlikte set olarak verilmektedir. 
Tokmak 16 kg ağırlığındadır, Bilezik ve Numune Alma Tüpü 150 mm çapındadır. </t>
  </si>
  <si>
    <t>Numune Alma Tüpü, BS, Ø 150 mm x 180 mm.</t>
  </si>
  <si>
    <t xml:space="preserve">Yüzey Numunesi Alma Seti; ASTM/CNR, Tokmak, Çakma kafalı tokmak kılavuzu ve numune alma tüpü ile birlikte set olarak verilmektedir. 
Tokmak 5 kg ağırlığındadır, Numune Alma Tüpü 3" mm çapındadır. </t>
  </si>
  <si>
    <t>Numune Alma Tüpü, ASTM/CNR, Ø 3" x 70 mm.</t>
  </si>
  <si>
    <t xml:space="preserve">Yüzey Numunesi Alma Seti; ASTM/CNR, Tokmak, Çakma kafalı tokmak kılavuzu ve numune alma tüpü ile birlikte set olarak verilmektedir. 
Tokmak 5 kg ağırlığındadır, Numune Alma Tüpü 4" mm çapındadır. </t>
  </si>
  <si>
    <t>Numune Alma Tüpü, ASTM/CNR, Ø 4" x 127 mm.</t>
  </si>
  <si>
    <t xml:space="preserve">Manual toprak burgusu seti, T tipi burgu kolu (1 m), 1m uzatma kolu, Ø80mm, Ø100mm ve Ø150mm auger kafaları ile birlikte. </t>
  </si>
  <si>
    <t>Zemin Proktor Penetrometresi; 4,52 - 5,23 - 6,40 - 9,07 - 12,83 - 16,54 - 20, 22 - 24,79 - 28,55 mm çaplı penetrasyon iğneleri ve Taşıma Çantası ile birlikte verilmektedir.</t>
  </si>
  <si>
    <t>Zemin Proktor Penetrometre İğnesi; Ø 4,52 mm</t>
  </si>
  <si>
    <t>Zemin Proktor Penetrometre İğnesi; Ø 5,23 mm</t>
  </si>
  <si>
    <t>Zemin Proktor Penetrometre İğnesi; Ø 6,40 mm</t>
  </si>
  <si>
    <t>Zemin Proktor Penetrometre İğnesi; Ø 9,07 mm</t>
  </si>
  <si>
    <t>Zemin Proktor Penetrometre İğnesi; Ø 12,83 mm</t>
  </si>
  <si>
    <t>Zemin Proktor Penetrometre İğnesi; Ø 16,54 mm</t>
  </si>
  <si>
    <t>Zemin Proktor Penetrometre İğnesi; Ø 20,22 mm</t>
  </si>
  <si>
    <t>Zemin Proktor Penetrometre İğnesi; Ø 24,79 mm</t>
  </si>
  <si>
    <t>Zemin Proktor Penetrometre İğnesi; Ø 28,55 mm</t>
  </si>
  <si>
    <t>Cep Tipi Zemin Penetrometresi</t>
  </si>
  <si>
    <t>Cep Tipi Zemin Penetrometresi YERLİ</t>
  </si>
  <si>
    <t>Motorlu Hidrolik Numune Çıkarıcı. Yatay Tip. 38 ile 160 mm çaplı tüplerden ve Proktor, CBR ve Marshall kalıplarından numune çıkartılabilmektedir. 60 kN kapasiteli ve Strok boyu: 70 cm.  Ø 100 mm (4”) ve Ø 150 mm (6”) kalıplar için adaptörleri ile birlikte verilmektedir. Farklı ölçüler için adaptörler ayrıca sipariş edilmelidir. 220 V, 50-60 Hz, 1 ph</t>
  </si>
  <si>
    <t>Motorlu Hidrolik Numune Çıkarıcı. Dikey Tip. 38 ile 160 mm çaplı tüplerden ve Proktor, CBR ve Marshall kalıplarından numune çıkartılabilmektedir. 60 kN kapasiteli ve Strok boyu: 70 cm.  Ø 100 mm (4”) ve Ø 150 mm (6”) kalıplar için adaptörleri ile birlikte verilmektedir. Farklı ölçüler için adaptörler ayrıca sipariş edilmelidir. 220 V, 50-60 Hz, 1 ph</t>
  </si>
  <si>
    <t xml:space="preserve">Adaptör Ø 38 mm tüpler için </t>
  </si>
  <si>
    <t xml:space="preserve">Adaptör Ø 50 mm tüpler için </t>
  </si>
  <si>
    <t xml:space="preserve">Adaptör Ø 70 mm tüpler için </t>
  </si>
  <si>
    <t xml:space="preserve">Adaptör Ø 100 mm tüpler için </t>
  </si>
  <si>
    <t xml:space="preserve">Adaptör Ø 150 mm tüpler için </t>
  </si>
  <si>
    <t>Yatay Universal Manuel Numune Çıkarıcı. 35 ile 101,6 mm çaplı tüplerden ve Proktor, CBR ve Marshall kalıplarından numune çıkartılabilmektedir. 60 kN kapasiteli ve Strok boyu: 650 cm. 
Ø 38 ve 100 mm çaplı numuneleri çıkartmak için adaptörleri ve ayarlanabilir numune alma tablası ile birlikte verilmektedir.
Farklı ölçüler için adaptörler ayrıca sipariş edilmelidir. 
220 V, 50-60 Hz, 1 ph</t>
  </si>
  <si>
    <t>Soil Lathe Numune Çıkarıcı</t>
  </si>
  <si>
    <t>Kıl Testere</t>
  </si>
  <si>
    <t>Kıl Testere Teli</t>
  </si>
  <si>
    <t>Düzeltme Bıçağı</t>
  </si>
  <si>
    <t>Tekstür Analiz Seti; Hızlı Karıştırıcı, 152 H Hidrometer, Bouyoucos Silindiri ve Paslanmaz Çelik Karıştırma Çubuğu ile birlikte verilmektedir. 220-240 V 50-60 Hz</t>
  </si>
  <si>
    <t>Hızlı Toprak Mikseri; boşken 10,000 dev/dk üzeri dönebilmektedir, Inox karıştırma kabı ile birlikte verilmektedir.</t>
  </si>
  <si>
    <t>Hidrometre 152H, ASTM D422, AASHTO T88;, -5 - +60g 1° bölmeli</t>
  </si>
  <si>
    <t xml:space="preserve">Hidrometre (Bouyoucos) Silindiri. (1205 mL) </t>
  </si>
  <si>
    <t>Karıştırma Çubuğu</t>
  </si>
  <si>
    <t>Hidrometre deney seti, Hidrometre Su Banyosu, Sirkülasyon Pompası, Isıtıcı, Tıpa, Hızlı Toprak Mikseri, 6 adet 1000 ml Sedimantasyon Mezürü, 1 adet 151 H Hidrometre, 1 kg Sodyum Hegzametafosfat ve 600 ml Beher ile birlikte set olarak verilmektedir.</t>
  </si>
  <si>
    <t>Dijital Hidrometre deney seti, Dijital Hidrometre Su Banyosu, Sirkülasyon Pompası, Isıtıcı, Tıpa, Hızlı Toprak Mikseri, 6 adet 1000 ml Sedimantasyon Mezürü, 1 adet 151 H Hidrometre, 1 kg Sodyum Hegzametafosfat ve 600 ml Beher ile birlikte set olarak verilmektedir.</t>
  </si>
  <si>
    <t xml:space="preserve">Hidrometre Banyosu; sirkülasyonludur. Ortam sıcaklığı  +35°C sıcaklık aralığında, ±0.5°C hassasiyette çalışmaktadır. 8 mezür kapasiteli, 50 litre tank kapasitelidir. Plastik kılıflı cam gövdeden imal edilmiştir. 
230V, 50-60Hz </t>
  </si>
  <si>
    <t xml:space="preserve">Dijital Hidrometre Banyosu; sirkülasyonludur. Ortam sıcaklığı + 35°C sıcaklık aralığında, ±0.5°C hassasiyette çalışmaktadır. 8 mezür kapasiteli, 50 litre tank kapasitelidir. Plastik kılıflı cam gövdeden imal edilmiştir. 
230V, 50-60Hz </t>
  </si>
  <si>
    <t>Isıtıcı</t>
  </si>
  <si>
    <t>Hidrometre 151H, ASTM D422, AASHTO T88; 0,995 - 1,038g 0,001° bölmeli</t>
  </si>
  <si>
    <t>Sedimantasyon Mezürü, 1000 ml.kapasiteli, düz cilalı ağızlı, 18" (457mm) x 2-½" dış çap</t>
  </si>
  <si>
    <t>Sodyum Hegzametafosfat, 1 kg</t>
  </si>
  <si>
    <t>Imhoff Hunisi</t>
  </si>
  <si>
    <t>Yarı Otomatik Konik Penetrometre; dijital uzama ölçer, 30° açılı paslanmaz çelik koni ve batma zamanı ayarlama ünitesi ile birlikte. 
220 V, 50-60 Hz, 1 ph</t>
  </si>
  <si>
    <t>Paslanmaz çelik Penetrasyon Konisi, 30° açılı</t>
  </si>
  <si>
    <t>30° Penetrasyon Konisi için Konik Test Aparatı</t>
  </si>
  <si>
    <t>Paslanmaz çelik Penetrasyon Konisi, 60° açılı</t>
  </si>
  <si>
    <t>60° Penetrasyon Konisi için Konik Test Aparatı</t>
  </si>
  <si>
    <t>Büzülme Limit Test Seti, 2 adet Ø 45 x 10 mm rutubet kutusu, 1 adet Ø 55 x 35 mm rutubet kutusu, büzülme limit camı, Ø 120 mm porselen pota, 150 mm spatula, 25 ml cam mezür ve taşıma çantası ile birlikte set olarak verilmektedir.</t>
  </si>
  <si>
    <t>Büzülme limit camı</t>
  </si>
  <si>
    <t>Numune Kutusu, Kapaklı, Alüminyum, Ø: 45 x 10 mm</t>
  </si>
  <si>
    <t>Numune Kutusu, Kapaklı, Alüminyum, Ø: 55 x 35 mm</t>
  </si>
  <si>
    <t>Porselen Pota, Ø 120 mm</t>
  </si>
  <si>
    <t>Spatula Orta Boy, Tahta Saplı, Esnek, 150 mm</t>
  </si>
  <si>
    <t>Cam Mezür, 25ml</t>
  </si>
  <si>
    <t>Büzülme Limit Kalıbı</t>
  </si>
  <si>
    <t>Manuel Likit Limit Aleti, BS. Metal Oluk açma bıçağı ile birlikte verilmektedir.(Casagranda)</t>
  </si>
  <si>
    <t>Manuel Likit Limit Aleti, ASTM. Metal Oluk açma bıçağı ile birlikte verilmektedir.(Casagranda)</t>
  </si>
  <si>
    <t>Otomatik(Casagranda) Likit Limit Aleti, BS. Metal Oluk açma bıçağı ile birlikte verilmektedir.</t>
  </si>
  <si>
    <t>Otomatik Likit Limit Aleti, ASTM. Metal Oluk açma bıçağı ile birlikte verilmektedir.</t>
  </si>
  <si>
    <t>Metal Oluk Açma Bıçağı, ASTM.</t>
  </si>
  <si>
    <t>Plastik Oluk Açma Bıçağı, ASTM</t>
  </si>
  <si>
    <t>Plastik Oluk Açma Bıçağı, BS</t>
  </si>
  <si>
    <t>Yedek Prinç Kap</t>
  </si>
  <si>
    <t>Plastik Limit Test Seti; 6 adet Ø 55 cm x 35 mm numune kutusu, 300x300x5mm Cam Plaka, Ø12 cm Porselen Pota, Ø 3 x 100 mm Referans Çubuğu ve 100 mm Spatula  ile birlikte set olarak verilmektedir.</t>
  </si>
  <si>
    <t>Plastik Limit Cam Plakası, 300x300x5 mm</t>
  </si>
  <si>
    <t>Plastik Limit Referans Çubuğu, Ø3 x 100 mm</t>
  </si>
  <si>
    <t>Spatula Küçük, Tahta Saplı, Esnek, 100 mm</t>
  </si>
  <si>
    <t>Standart Proktor Kalıp, ASTM.  
İç çap: 101.6 ± 0,4 mm, Boy: 116,4 ± 0,5 mm</t>
  </si>
  <si>
    <t>Modifiye Proktor Kalıp, ASTM.  
İç çap: 152.4 ± 0,7 mm, Boy: 116,4 ± 0,5 mm</t>
  </si>
  <si>
    <t>A Tipi Standart Proktor Kalıp, EN. 
İç çap: 100 ± 1 mm, Boy: 120 ± 1 mm</t>
  </si>
  <si>
    <t>A Tipi Standart Proktor Kalıp için Çelik Tabla</t>
  </si>
  <si>
    <t>B Tipi Modifiye Proktor Kalıp, EN. 
İç çap: 150 ± 1 mm, Boy: 120 ± 1 mm</t>
  </si>
  <si>
    <t>B Tipi Standart Proktor Kalıp için Çelik Tabla</t>
  </si>
  <si>
    <t>1 Litre Standart Proktor Kalıp, BS, TS1900-1. 
İç çap:  105 ± 0,5 mm, Boy: 115,5 ± 0,5 mm</t>
  </si>
  <si>
    <t>Düzeltme Bıçağı. 40 cm</t>
  </si>
  <si>
    <t>Standart Proktor Tokmak, ASTM. 
Tokmak çapı: 50.8 mm, Serbest düşme yüksekliği: 304.8± 1 mm, Tokmak ağırlığı: 2495 ± 23 g</t>
  </si>
  <si>
    <t>Modifiye Proktor Tokmak, ASTM. 
Tokmak çapı: 50.8 mm, Serbest düşme yüksekliği: 457 ± 1.3 mm, Tokmak ağırlığı: 4540 ± 10 g</t>
  </si>
  <si>
    <t>A Tipi Standart Proktor Tokmak, EN. 
Tokmak çapı: 50 ± 0.5 mm, Serbest düşme yüksekliği: 305± 3 mm, Tokmak ağırlığı: 2500 ± 20 g</t>
  </si>
  <si>
    <t>B Tipi Modifiye Proktor Tokmak, EN. 
Tokmak çapı: 50 ± 0.5 mm, Serbest düşme yüksekliği: 457 ± 3 mm, Tokmak ağırlığı: 4500 ± 40 g</t>
  </si>
  <si>
    <t>2,5 kg Sıkıştırma Tokmağı, BS.
Tokmak çapı: 50 ± 0.5 mm, Serbest düşme yüksekliği: 300± 3 mm, Tokmak ağırlığı: 2500 ± 25 g</t>
  </si>
  <si>
    <t>4,5 kg Sıkıştırma Tokmağı, BS.
Tokmak çapı: 50 ± 0.5 mm, Serbest düşme yüksekliği: 450 ± 4 mm, Tokmak ağırlığı: 4500 ± 50 g</t>
  </si>
  <si>
    <t>Otomatik Toprak Kompaktörü; Vuruş sayısının kontrol edildiği Dijital sayaç, cihaz üzerinde bulunmaktadır. Çekicin düşme yüksekliği (305 mm, 457 mm) ve ağırlığı (2.5 kg , 4.5 kg) istenilen şekilde ayarlanabilir. 220 V, 50-60 Hz, 1 ph</t>
  </si>
  <si>
    <t>Toprak Kompaktörü Tokmağı, EN</t>
  </si>
  <si>
    <t>Toprak Kompaktörü Tokmağı, ASTM</t>
  </si>
  <si>
    <t>Toprak Kompaktörü Tokmağı, BS</t>
  </si>
  <si>
    <t>Otomatik Toprak Kompaktörü, CBR, standard ve modifiye proktor kalıplarında numunelerin sıkıştırılması amacıyla kullanılır. Programlanabilen dijital sayaçlı, düşme yüksekliği (300mm, 305mm, 450mm, 457mm) ve tokmak ağırlığı (2,5 kg, 4,5 kg) ayarlanabilir. ASTM/AASHTO/EN/BS tokmağı, Ø50,8mm ASTM/AASHTO dairesel kafa ve Ø50mm EN/BS kafası ile birlikte komple. 220-240V, 50Hz, 1faz.</t>
  </si>
  <si>
    <t>Dijital CBR Test Cihazı, 50kN kapasiteli, çift kolonlu. Deney hızı 1,27 mm/dakikaya ayarlanabilmektedir. LCD ekranlı Dijital Kontrol Ünitesi , 50kN kapasiteli Yük Hücresi, 25 x 0,01 mm  Deformasyon Transduseri ve Penetrasyon Pistonu ile birlikte verilmektedir.  220-240 V, 50-60 Hz, 1 ph</t>
  </si>
  <si>
    <t>CBR Penetrasyon Pistonu</t>
  </si>
  <si>
    <t>Dijital CBR/MARSHALL Test Cihazı, 50kN kapasiteli, çift kolonlu. Deney hızı CBR Testleri için 1,27 mm/dak., MARSHALL testleri için 50,8 mm/dak.'dır. LCD ekranlı dijital kontrol ünitesi , 50kN kapasiteli yük hücresi, 25mmx0,001  deformasyon transduseri, Penetrasyon pistonu ve Kırma Başlığı ile birlikte verilmektedir.  
220-240V, 50-60Hz, 1ph</t>
  </si>
  <si>
    <t>Load Ringli CBR Test Cihazı, 50kN kapasiteli, çift kolonlu. Deney hızı 1,27 mm/dakikaya ayarlanabilmektedir.  50kN kapasiteli Yük Halkası, 30 x 0,01 mm komparatör saati ve Penetrasyon Pistonu ile birlikte verilmektedir.  220-240 V, 50-60 Hz, 1 ph</t>
  </si>
  <si>
    <t>Load Ring 5 kN Capacity</t>
  </si>
  <si>
    <t>Load Ring 10 kN Capacity</t>
  </si>
  <si>
    <t>Load Ring 28 kN Capacity</t>
  </si>
  <si>
    <t>Load Ring 50 kN Capacity</t>
  </si>
  <si>
    <t>CBR Kalıp Seti, ASTM, AASHTO. 
Ø 152.4 (6”) x 177.8 (7”) mm CBR Kalıp, Uzatma Yakası ve Delikli Alt Plakası ile birlikte verilmektedir.</t>
  </si>
  <si>
    <t>CBR Kalıp. Ø 152.4 (6”) x 177.8 (7”) mm. ASTM, AASHTO.</t>
  </si>
  <si>
    <t>Kesme Yakası. Ø 152.4 (6”) x 50 (2”) mm. ASTM, AASHTO</t>
  </si>
  <si>
    <t>Delikli Alt Plaka. ASTM, AASHTO</t>
  </si>
  <si>
    <t>CBR Düz Taban Plakası. ASTM, AASHTO</t>
  </si>
  <si>
    <t>Ara Mesafe Diski. Ø 150.8 x 61.4 mm. ASTM, AASHTO</t>
  </si>
  <si>
    <t>Delikli sürsaj ağırlık. ASTM, AASHTO</t>
  </si>
  <si>
    <t>Yarıklı sürsaj ağırlık. ASTM, AASHTO</t>
  </si>
  <si>
    <t>Düzeltme Bıçağı. 300x30x5 mm</t>
  </si>
  <si>
    <t>Filtre Kağıdı. No.5 x Ø 150 mm. 1 Paket: 100 adet. ASTM, AASHTO</t>
  </si>
  <si>
    <t>Filtre Eleği, 150 μm. Ø 144 mm. ASTM, AASHTO</t>
  </si>
  <si>
    <t>CBR Kalıp Seti, EN 13286-47 
Ø 150 ± 1 mm x 120 ± 1 mm CBR Kalıp, Uzatma Yakası ve Delikli Alt Plakası ile birlikte verilmektedir.</t>
  </si>
  <si>
    <t>CBR Kalıp. (B Tipi Modifiye Proktor Kalıp), EN13286-47
İç çap: 150 ± 1 mm, Boy: 120 ± 1 mm</t>
  </si>
  <si>
    <t>Kesme Yakası. EN13286-47</t>
  </si>
  <si>
    <t>CBR Düz Taban Plakası. EN 13286-47</t>
  </si>
  <si>
    <t>Delikli Alt Plaka. EN 13286-47</t>
  </si>
  <si>
    <t>Ara Mesafe Diski. EN 13286-47</t>
  </si>
  <si>
    <t>Delikli sürsaj ağırlık. BS, EN 13286-4</t>
  </si>
  <si>
    <t>Yarıklı sürsaj ağırlık. BS, EN 13286-4</t>
  </si>
  <si>
    <t>Filtre Kağıdı. Kaba. Ø 148 mm. 1 Paket: 100 adet. BS, EN 13286-4</t>
  </si>
  <si>
    <t>CBR Kalıp Seti, BS, EN 
Ø 152 mm x 127 mm CBR Kalıp, Uzatma Yakası ve Düz Taban Plakası ile birlikte verilmektedir.</t>
  </si>
  <si>
    <t>CBR Kalıp. (B Tipi Modifiye Proktor Kalıp), BS, EN 
İç çap: 152 mm, Boy: 127 mm</t>
  </si>
  <si>
    <t xml:space="preserve">Kesme Yakası. BS, EN </t>
  </si>
  <si>
    <t xml:space="preserve">CBR Düz Taban Plakası. BS, EN </t>
  </si>
  <si>
    <t>Delikli Alt Plaka. BS, EN</t>
  </si>
  <si>
    <t xml:space="preserve">Ara Mesafe Diski. BS, EN </t>
  </si>
  <si>
    <t xml:space="preserve">Delikli sürsaj ağırlık. BS, EN </t>
  </si>
  <si>
    <t xml:space="preserve">Yarıklı sürsaj ağırlık. BS, EN </t>
  </si>
  <si>
    <t xml:space="preserve">Filtre Kağıdı. No.1 x Ø 150 mm. 1 Paket: 100 adet. BS, EN </t>
  </si>
  <si>
    <t>C-Anahtar, 2 adet</t>
  </si>
  <si>
    <t>Alt Tabla için Montaj Ekipmanı</t>
  </si>
  <si>
    <t>Şişme Plakası CBR şişme testi için</t>
  </si>
  <si>
    <t>Üçayak CBR şişme testi için</t>
  </si>
  <si>
    <t>CBR Islatma Tankı, sert plastik. 6 adet CBR kalıbı kapasiteli, 
İç Ölçüler: 500*700*400 mm.</t>
  </si>
  <si>
    <t>CBR Islatma Tankı,  sert plastik. 15 adet CBR kalıbı kapasiteli.
İç Ölçüler: 770*1100*640 mm.</t>
  </si>
  <si>
    <t>Analog Komparatör Saati, 30 x 0,01 mm</t>
  </si>
  <si>
    <t>Dijital Komparatör Saati, 25 x 0,01 mm</t>
  </si>
  <si>
    <t>Arazi Tipi CBR Test Aparatı, yol inşaatlarında zeminin taşıma kapasitesini arazide belirlenmesinde kullanılır. 50 kN kapasitelidir. 50 kN kapasiteli Küresel başlıklı Mekanik Kriko, 50 kN kapasiteli Yük Halkası,  Penetrasyon Pistonu, Analog Komparatör Saati (30 x 0,01 mm), Ayarlanabilir Komparatör Saati Tutucusu, Uzatma Manşonları (2 adet 102 mm, 1 adet 305 mm and 1 adet 610 mm), 2 ayaklı röper barı ve 4,5 kg Delikli Sürsaj Ağırlık, 4,5 kg ve 9 kg Yarıklı Sürsaj Ağırlıkları, Araç bağlantı aparatı ve Taşıma Çantası ile birlikte set olarak verilmektedir. Dönüştürme Çerçevesi ile arazi CBR deney Cihazı, Laboratuvar tipi CBR deney cihazına kolay bir şekilde dönüştürülebilir. Dönüştürme Çerçevesi, ayrıca sipariş edilmelidir.</t>
  </si>
  <si>
    <t>Küresel başlıklı Mekanik Kriko, 50 kN kapasiteli</t>
  </si>
  <si>
    <t>Yük Halkası, 50 kN</t>
  </si>
  <si>
    <t>Ayarlanabilir Komparatör Saati Tutucusu (Manyetik Ayak)</t>
  </si>
  <si>
    <t>Uzatma Manşonları 
(2 adet 102 mm, 1 adet 305 mm and 1 adet 610 mm)</t>
  </si>
  <si>
    <t>2 ayaklı röper barı</t>
  </si>
  <si>
    <t>4,5 kg Delikli Sürsaj Ağırlık</t>
  </si>
  <si>
    <t>4,5 Kg Yarıklı Sürsaj Ağırlık</t>
  </si>
  <si>
    <t>9 Kg Yarıklı Sürsaj Ağırlık</t>
  </si>
  <si>
    <t>Dönüştürme Çerçevesi</t>
  </si>
  <si>
    <t>Plaka Yükleme Deney Seti, arazide yapılan yükleme deneyidir. Hidrolik lift 30 ton kapasitelidir. Set; 300 kN kapasiteli Piston Ekipmanı ve Hidrolik El Pompası, Analog Manometre, 2,4 m uzunluğunda Çivi ayaklı Referans Barı, 3 adet 30 mm x 0.01 mm Analog Komparatör Saati ve Tutucuları, Ø 12”(305 mm) ve Ø 18”(457 mm) çaplı galvaniz kaplı plakalar ile birlikte verilmektedir.</t>
  </si>
  <si>
    <t>Plaka Yükleme Deney Seti, arazide yapılan yükleme deneyidir. Hidrolik lift 50 ton kapasitelidir. Set; 500 kN kapasiteli Piston Ekipmanı ve Hidrolik El Pompası, Analog Manometre, 2,4 m uzunluğunda Çivi ayaklı Referans Barı, 6 adet 30 mm x 0.01 mm Analog Komparatör Saati ve Tutucuları, Ø 24”(610 mm)
ve Ø 30”(762 mm) çaplı galvaniz kaplı plakalar ile birlikte verilmektedir.</t>
  </si>
  <si>
    <t>Plaka Yükleme Deney Seti, arazide yapılan yükleme deneyidir. Hidrolik lift 100 ton kapasitelidir. Set; 1000 kN kapasiteli Piston Ekipmanı ve Hidrolik El Pompası, Analog Manometre, 2,4 m uzunluğunda Çivi ayaklı Referans Barı, 3 adet 30 mm x 0.01 mm Analog Komparatör Saati ve Tutucuları, Ø 24”(610 mm)
ve Ø 30”(762 mm) çaplı galvaniz kaplı plakalar ile birlikte verilmektedir.</t>
  </si>
  <si>
    <t>Dijital Plaka Yükleme Deney Seti, arazide yapılan yükleme deneyidir. Hidrolik lift 30 ton kapasitelidir. Set; 300 kN kapasiteli Piston Ekipmanı ve Hidrolik El Pompası, Basınç Transduseri, LPI Dijital Okuma Ünitesi, 2,4 m uzunluğunda Çivi ayaklı Referans Barı, 3 adet 30 mm x 0.01 mm Analog Komparatör Saati ve Tutucuları, Ø 12”(305 mm) ve Ø 18”(457 mm) çaplı galvaniz kaplı plakalar ile birlikte verilmektedir.</t>
  </si>
  <si>
    <t>Dijital Plaka Yükleme Deney Seti, arazide yapılan yükleme deneyidir. Hidrolik lift 50 ton kapasitelidir. Set; 500 kN kapasiteli Piston Ekipmanı ve Hidrolik El Pompası, Basınç Transduseri, LPI Dijital Okuma Ünitesi, 2,4 m uzunluğunda Çivi ayaklı Referans Barı, 3 adet 30 mm x 0.01 mm Analog Komparatör Saati ve Tutucuları,  Ø 24”(610 mm) ve Ø 30”(762 mm) çaplı galvaniz kaplı plakalar ile birlikte verilmektedir.</t>
  </si>
  <si>
    <t>300 kN kapasiteli Piston Ekipmanı</t>
  </si>
  <si>
    <t>500 kN kapasiteli Piston Ekipmanı</t>
  </si>
  <si>
    <t>1000 kN kapasiteli Piston Ekipmanı</t>
  </si>
  <si>
    <t>Analog Manometre</t>
  </si>
  <si>
    <t>2,4 m uzunluğunda Çivi ayaklı Referans Barı</t>
  </si>
  <si>
    <t>Yükleme Plakası, Ø 12”(305 mm)</t>
  </si>
  <si>
    <t>Yükleme Plakası, Ø 18”(457 mm)</t>
  </si>
  <si>
    <t>Yükleme Plakası, Ø 24”(610 mm)</t>
  </si>
  <si>
    <t>Yükleme Plakası, Ø 30”(762 mm)</t>
  </si>
  <si>
    <t>Kum Konisi Seti  6,5”, vanalı koni, 5 lt plastik hazne ve flanşlı taban plakası ile birlikte</t>
  </si>
  <si>
    <t>Kum Konisi 6,5” için Vanalı Koni</t>
  </si>
  <si>
    <t>Kum Konisi 6,5” için Flanşlı Taban Plakası</t>
  </si>
  <si>
    <t>Kum konisi plastik bidonu, 5 lt</t>
  </si>
  <si>
    <t>Kum Konisi Seti  12”, vanalı koni, 15 lt hazne ve taban plakası ile birlikte</t>
  </si>
  <si>
    <t>Yoğunluk Kasnağı, 12"</t>
  </si>
  <si>
    <t>Kum Kesafet Seti 100 mm, arazi koşullarında, yoğunluk ve rutubet tayini deneylerinde kullanılır. Kum Kesafet Silindiri, Merkezi Delikli Metal Tepsi ve Kalibrasyon Konteynerı ile birlikte verilmektedir.</t>
  </si>
  <si>
    <t>Kum Kesafet Silindiri, Ø 100 mm Kum Kesafet Seti için.</t>
  </si>
  <si>
    <t>Kalibrasyon Konteynerı, Ø 100 mm Kum Kesafet Seti için.</t>
  </si>
  <si>
    <t>Metal Tepsi, Ø 100 mm Kum Kesafet Seti için.</t>
  </si>
  <si>
    <t>Kum Kesafet Seti 150 mm, arazi koşullarında, yoğunluk ve rutubet tayini deneylerinde kullanılır. Kum Kesafet Silindiri, Merkezi Delikli Metal Tepsi ve Kalibrasyon Konteynerı ile birlikte verilmektedir.</t>
  </si>
  <si>
    <t>Kum Kesafet Silindiri, Ø 150 mm Kum Kesafet Seti için.</t>
  </si>
  <si>
    <t>Kalibrasyon Konteynerı, Ø 150 mm Kum Kesafet Seti için.</t>
  </si>
  <si>
    <t>Metal Tepsi, Ø 150 mm Kum Kesafet Seti için.</t>
  </si>
  <si>
    <t>Kum Kesafet Seti 200 mm, arazi koşullarında, yoğunluk ve rutubet tayini deneylerinde kullanılır. Kum Kesafet Silindiri, Merkezi Delikli Metal Tepsi ve Kalibrasyon Konteynerı ile birlikte verilmektedir.</t>
  </si>
  <si>
    <t>Kum Kesafet Silindiri, Ø 200 mm Kum Kesafet Seti için.</t>
  </si>
  <si>
    <t>Kalibrasyon Konteynerı, Ø 200 mm Kum Kesafet Seti için.</t>
  </si>
  <si>
    <t>Metal Tepsi, Ø 200 mm Kum Kesafet Seti için.</t>
  </si>
  <si>
    <t>Sabit Seviyeli Permeabilite Test Seti: 1 adet  Ø 75 mm Sabit Seviyeli Permeabilite Hücresi, 1 adet ayaklı stand, 3 adet Manometre Tüpü,  (Boy:1m İç Çap: 6mm), 1 adet Sabit Seviyeli Tank, 3 metre Lastik Hortum ve 1m çelik cetvel ile birlikte verilmektedir. Havası alınmış su üretilebilmesi için gerekli aparatlar ve sıkıştırma çubuğu ayrıca sipariş edilmelidir.</t>
  </si>
  <si>
    <t>Ø 75 mm Sabit Seviyeli Permeabilite Hücresi</t>
  </si>
  <si>
    <t>Sabit Seviyeli Permeabilite Test Seti: 1 adet  Ø 114 mm Sabit Seviyeli Permeabilite Hücresi, 1 adet Stand, 3 adet Manometre Tüpü,  (Boy:1m İç Çap: 6mm), 1 adet Sabit Seviyeli Tank, 3 metre Lastik Hortum ve 1m çelik cetvel ile birlikte verilmektedir. Havası alınmış su üretilebilmesi için gerekli aparatlar ve sıkıştırma çubuğu ayrıca sipariş edilmelidir.</t>
  </si>
  <si>
    <t>Ø 114 mm Sabit Seviyeli Permeabilite Hücresi</t>
  </si>
  <si>
    <t xml:space="preserve">Stand, 3 adet Boy:1m İç Çap: 6mm Manometre Tüpü ile birlikte. </t>
  </si>
  <si>
    <t>Sabit Seviyeli Tank</t>
  </si>
  <si>
    <t>Lastik Hortum, 3 m</t>
  </si>
  <si>
    <t>Çelik Cetvel, 1 m</t>
  </si>
  <si>
    <t>Şişleme Çubuğu. Ø 8 x 300 mm</t>
  </si>
  <si>
    <t>Havası alınmış su üretilebilmesi için gerekli aparatlar</t>
  </si>
  <si>
    <t>Düşen Seviyeli Permeabilite Test Seti;  1 adet Ø 100 mm Düşen  Seviyeli Permeabilite Hücresi, 1 adet Stand, 4 adet Ø 2, Ø 4, Ø 6, Ø 8 mm x 1,5 m Manometre Tüpü, 1 adet Daldırma Tankı, 3 m Lastik Hortum ve bağlantı aparatları ile birlikte verilmektedir.</t>
  </si>
  <si>
    <t>Ø 100 mm Düşen  Seviyeli Permeabilite Hücresi</t>
  </si>
  <si>
    <t xml:space="preserve">Stand, 4 adet  Ø 2, Ø 4, Ø 6, Ø 8 mm x 1,5 m Manometre Tüpü ile birlikte. </t>
  </si>
  <si>
    <t>Daldırma Tankı</t>
  </si>
  <si>
    <t>Yüksek Basınç Konsolidasyon Test Seti; 3 adet (9:1, 10:1, 11:1 oranlı yükleme kolları) Yükleme Çerçevesi,  3 oedometre taşıma kapasiteli Konsolidasyon Masası, 3 set Ø 50 mm Konsolidasyon hücresi, Alt ve Üst poroz taşı, Basınç Yastığı, Kesme halkası, 10x0,01 mm Analog Komparatör Saati, 3 set 64 Kg Ağırlık Seti (4x 10 kg, 3x 5 kg, 2x 2 kg, 3x 1 kg, 3x 0,5 kg, 2x 0,25 kg)  ve ile birlikte set olarak verilmektedir. Diğer aksesuarlar ayrıca sipariş edilmelidir.</t>
  </si>
  <si>
    <t>ASTM Konsolidasyon Test Seti; 3 adet (9:1, 10:1, 11:1 oranlı yükleme kolları) Yükleme Çerçevesi,  3 oedometre taşıma kapasiteli Konsolidasyon Masası, 3 set Ø 63,5 mm Konsolidasyon hücresi, Alt ve Üst poroz taşı, Basınç Yastığı, Kesme halkası, 10x0,01 mm Analog Komparatör Saati, 3 set 64 Kg Ağırlık Seti (4x 10 kg, 3x 5 kg, 2x 2 kg, 3x 1 kg, 3x 0,5 kg, 2x 0,25 kg)  ve ile birlikte set olarak verilmektedir. Diğer aksesuarlar ayrıca sipariş edilmelidir.</t>
  </si>
  <si>
    <t>BS/EN Konsolidasyon Test Seti; 3 adet (9:1, 10:1, 11:1 oranlı yükleme kolları) Yükleme Çerçevesi,  3 oedometre taşıma kapasiteli Konsolidasyon Masası, 3 set Ø 75 mm Konsolidasyon hücresi, Alt ve Üst poroz taşı, Basınç Yastığı, Kesme halkası, 10x0,01 mm Analog Komparatör Saati,  3 set 80 Kg Ağırlık Seti (6x 10 kg, 2x 5 kg, 3x 2 kg, 2x 1 kg, 3x 0,5 kg, 2x 0,25 kg) ve ile birlikte set olarak verilmektedir. Diğer aksesuarlar ayrıca sipariş edilmelidir.</t>
  </si>
  <si>
    <t>Konsolidasyon Test Seti 20 kg ağırlığında</t>
  </si>
  <si>
    <t xml:space="preserve">Yükleme Çerçevesi (9:1, 10:1, 11:1 oranlı yükleme kolları) </t>
  </si>
  <si>
    <t>Konsolidasyon Masası, 3 oedometre taşıma kapasiteli.</t>
  </si>
  <si>
    <t>Konsolidasyon hücresi, Ø 50 mm. Alt ve Üst poroz taşı, Basınç Yastığı ve Kesme Halkası ile birlikte.</t>
  </si>
  <si>
    <t>Alt ve Üst poroz taşı, Ø 50 mm Hücre için</t>
  </si>
  <si>
    <t>Basınç Yastığı, Ø 50 mm Hücre için</t>
  </si>
  <si>
    <t>Kesme halkası, Ø 50 mm Hücre için</t>
  </si>
  <si>
    <t>Kalibrasyon Diski, Ø 50 mm Hücre için</t>
  </si>
  <si>
    <t>Numune Hazırlama Aparatı, Ø 50 mm Hücre için</t>
  </si>
  <si>
    <t>Konsolidasyon hücresi, Ø 63,5 mm, Alt ve Üst poroz taşı, Basınç Yastığı ve Kesme Halkası ile birlikte.</t>
  </si>
  <si>
    <t>Alt ve Üst poroz taşı, Ø 63,5 mm Hücre için</t>
  </si>
  <si>
    <t>Basınç Yastığı, Ø 63,5 mm Hücre için</t>
  </si>
  <si>
    <t>Kesme halkası, Ø 63,5 mm Hücre için</t>
  </si>
  <si>
    <t>Kalibrasyon Diski, Ø 63,5 mm Hücre için</t>
  </si>
  <si>
    <t>Numune Hazırlama Aparatı, Ø 63,5 mm Hücre için</t>
  </si>
  <si>
    <t>Konsolidasyon hücresi, Ø 75 mm, Alt ve Üst poroz taşı, Basınç Yastığı ve Kesme Halkası ile birlikte.</t>
  </si>
  <si>
    <t>Alt ve Üst poroz taşı, Ø 75 mm Hücre için</t>
  </si>
  <si>
    <t>Basınç Yastığı, Ø 75 mm Hücre için</t>
  </si>
  <si>
    <t>Kesme halkası, Ø 75 mm Hücre için</t>
  </si>
  <si>
    <t>Kalibrasyon Diski, Ø 75 mm Hücre için</t>
  </si>
  <si>
    <t>Numune Hazırlama Aparatı, Ø 75 mm Hücre için</t>
  </si>
  <si>
    <t>Dijital Komparatör Saati, 12,7 x 0,01 mm</t>
  </si>
  <si>
    <t>Dijital Komparatör Saati, 25 x 0,001 mm</t>
  </si>
  <si>
    <t>16 kg Ağırlık Seti 
( 2x 5 kg, 1x 2 kg, 2x 1 kg, 3x 0,5 kg, 2x 0,25 kg)</t>
  </si>
  <si>
    <t>32 kg Ağırlık Seti 
(1x 10 kg, 3x 5 kg, 2x 2 kg, 1x 1 kg, 3x 0,5 kg, 2x 0,25 kg)</t>
  </si>
  <si>
    <t>50 kg Ağırlık Seti 
(3x 10 kg, 2x 5 kg, 3x 2 kg, 2x 1 kg, 3x 0,5 kg, 2x 0,25 kg)</t>
  </si>
  <si>
    <t>64 kg Ağırlık Seti 
(4x 10 kg, 3x 5 kg, 2x 2 kg, 3x 1 kg, 3x 0,5 kg, 2x 0,25 kg)</t>
  </si>
  <si>
    <t>80 kg Ağırlık Seti
(6x 10 kg, 2x 5 kg, 3x 2 kg, 2x 1 kg, 3x 0,5 kg, 2x 0,25 kg)</t>
  </si>
  <si>
    <t xml:space="preserve">Otomatik Konsoldasyon Test Seti. Otomatik yükleme çerçevesi , 15 kn kapasiteli. 1 set Ø 50 mm Konsoldasyon Hücresi,  Alt ve Üst poroz taşı, Basınç Yastığı, Kesme halkası, 10x0,01 mm LVDT ile birlikte verilmektedir. </t>
  </si>
  <si>
    <t xml:space="preserve">Multispeed Test Cihazı; Tek Eksenli, Üç Eksenli, CBR ve Marshall Testleri yapılabilmektedir. Test Hızı 0,001 mm/dak ile 51mm/dak arasında ayarlanabilmektedir. 50 kN Yük Hücresi, 25 mm Uzama Sensörü ve Dijital Okuma ve Kontrol Ünitesi ile birlikte verilmektedir. Diğer aksesuarlar ayrıca sipariş edilmelidir. Üç Eksenli Testleri için 5 kN kapasiteli Yük Hücresi, Tek Eksenli Testleri için Oynar Başlıklı Basınç Plakaları, CBR Testtleri için Penetrasyon Pistonu ve Marshall Testleri için Kırma Başlığı  ayrıca sipariş edilmelidir. </t>
  </si>
  <si>
    <r>
      <t>Dijital Tek Eksenli Serbest Basınç Test Cihazı. 50 kN kapasiteli, çift kolonlu.</t>
    </r>
    <r>
      <rPr>
        <sz val="10"/>
        <rFont val="Cambria"/>
        <family val="1"/>
        <charset val="162"/>
      </rPr>
      <t xml:space="preserve"> Deney hızı 0,5 mm/dak yada 1 mm/dakikaya ayarlanabilmektedir. LCD ekranlı Dijital Kontrol Ünitesi , 50kN kapasiteli Yük Hücresi ve Oynar Başlıklı Basınç Plakaları ile birlikte verilmektedir.  220-240 V, 50-60 Hz, 1 ph</t>
    </r>
  </si>
  <si>
    <t xml:space="preserve">Üç Eksenli Test Cihazı; Test Hızı 0.0001mm/dak ile 51 mm/dak arasında ayarlanabilmektedir.  50 kN Yük Hücresi, 25 x 0,01 mm Lİneer Potansiyometrik Transduser, Üç Eksenli Testleri için 5 kN kapasiteli Yük Hücresi, 1700 kpa kapasiteli Yağ-Su Sabit Basınç Ünitesi, , 50 mm lik numuneler ile test yapabilmek için , üç eksenli hücresi, Numune Hazırlama kalıbı, Membran yerleştirme Aparatı, Dijital Okuma ve Kontrol Ünitesi ve Yazılımı ile birlikte verilmektedir. 
220-240 V, 50-60 Hz, 1 ph
</t>
  </si>
  <si>
    <t xml:space="preserve">Tek Eksenli Testleri için Oynar Başlıklı Basınç Plakaları </t>
  </si>
  <si>
    <t>Load cell, 5 kN kapasiteli</t>
  </si>
  <si>
    <t>Üçeksenli Hücresi, Ø 38 ve Ø 50 mm numuneler için</t>
  </si>
  <si>
    <t>Üçeksenli Hücresi, Ø 70 ve Ø 100 mm numuneler için</t>
  </si>
  <si>
    <t>Dijital Manometre (Opsiyonel)</t>
  </si>
  <si>
    <t>Volume Change</t>
  </si>
  <si>
    <t xml:space="preserve">Yağ ve Su Sabit Basınç Sistemi </t>
  </si>
  <si>
    <t>Üç Eksenli UU Testleri için Yazılım</t>
  </si>
  <si>
    <t>Plastik Hortum, Ø 8 mm x 6 m</t>
  </si>
  <si>
    <t>İki parçalı vakum kalıp, Ø 38 mm kum numuneleri için</t>
  </si>
  <si>
    <t>İki parçalı bölme kalıp, Ø 38 mm numuneler için</t>
  </si>
  <si>
    <t>Numune Alıcı (Kesici) Ø 38 mm numuneler için</t>
  </si>
  <si>
    <t>Numune Çıkarıcı ( İtici) Aparat, Alüminyum, Ø 38 mm numuneler için</t>
  </si>
  <si>
    <t>İki parçalı vakum kalıp, Ø 50 mm kum numuneleri için</t>
  </si>
  <si>
    <t>İki parçalı bölme kalıp, Ø 50 mm numuneler için</t>
  </si>
  <si>
    <t>Numune Alıcı (Kesici) Ø 50 mm numuneler için</t>
  </si>
  <si>
    <t>Numune Çıkarıcı ( İtici) Aparat, Alüminyum, Ø 50 mm numuneler için</t>
  </si>
  <si>
    <t>İki parçalı vakum kalıp, Ø 70 mm kum numuneleri için</t>
  </si>
  <si>
    <t>İki parçalı bölme kalıp, Ø 70 mm numuneler için</t>
  </si>
  <si>
    <t>Numune Alıcı (Kesici) Ø 70 mm numuneler için</t>
  </si>
  <si>
    <t>Numune Çıkarıcı ( İtici) Aparat, Alüminyum, Ø 70 mm numuneler için</t>
  </si>
  <si>
    <t>İki parçalı vakum kalıp, Ø 100 mm kum numuneleri için</t>
  </si>
  <si>
    <t>İki parçalı bölme kalıp, Ø 100 mm numuneler için</t>
  </si>
  <si>
    <t>Numune Alıcı (Kesici) Ø 100 mm numuneler için</t>
  </si>
  <si>
    <t>Numune Çıkarıcı ( İtici) Aparat, Alüminyum, Ø 100 mm numuneler için</t>
  </si>
  <si>
    <t>Alt Taban, Ø 38 mm numuneler için</t>
  </si>
  <si>
    <t>Üst Başlık, Ø 38 mm numuneler için</t>
  </si>
  <si>
    <t>Şeffaf Drenaj Hortumu, Ø 38 mm numuneler için</t>
  </si>
  <si>
    <t>1 çift poroz taş, Ø 38 mm numuneler için</t>
  </si>
  <si>
    <t>Kauçuk Membran, Ø 38 mm numuneler için</t>
  </si>
  <si>
    <t>Membran Yerleştirme Aparatı, Ø 38 mm numuneler için</t>
  </si>
  <si>
    <t>0 Ring (1 paket= 10 adet), Ø 38 mm numuneler için</t>
  </si>
  <si>
    <t>0 Ring Yerleştirme Aparatı, Ø 38 mm numuneler için</t>
  </si>
  <si>
    <t>Yatay Filtre Kağıdı (1 Paket= 50 adet),  Ø 38 mm numuneler için</t>
  </si>
  <si>
    <t>Filtre Kağıdı (1 Paket= 100 adet),  Ø 38 mm numuneler için</t>
  </si>
  <si>
    <t>Plastik Disk (1 Paket=2 adet), Ø 38 mm numuneler için</t>
  </si>
  <si>
    <t>Alt Taban, Ø 50 mm numuneler için</t>
  </si>
  <si>
    <t>Üst Başlık, Ø 50 mm numuneler için</t>
  </si>
  <si>
    <t>Şeffaf Drenaj Hortumu, Ø 50 mm numuneler için</t>
  </si>
  <si>
    <t>1 çift poroz taş, Ø 50 mm numuneler için</t>
  </si>
  <si>
    <t>Kauçuk Membran, Ø 50 mm numuneler için</t>
  </si>
  <si>
    <t>Membran Yerleştirme Aparatı, Ø 50 mm numuneler için</t>
  </si>
  <si>
    <t>0 Ring (1 paket= 10 adet), Ø 50 mm numuneler için</t>
  </si>
  <si>
    <t>0 Ring Yerleştirme Aparatı, Ø 50 mm numuneler için</t>
  </si>
  <si>
    <t>Yatay Filtre Kağıdı (1 Paket= 50 adet),  Ø 50 mm numuneler için</t>
  </si>
  <si>
    <t>Filtre Kağıdı (1 Paket= 100 adet),  Ø 50 mm numuneler için</t>
  </si>
  <si>
    <t>Plastik Disk (1 Paket=2 adet), Ø 50 mm numuneler için</t>
  </si>
  <si>
    <t>Alt Taban, Ø 70 mm numuneler için</t>
  </si>
  <si>
    <t>Üst Başlık, Ø 70 mm numuneler için</t>
  </si>
  <si>
    <t>Şeffaf Drenaj Hortumu, Ø 70 mm numuneler için</t>
  </si>
  <si>
    <t>1 çift poroz taş, Ø 70 mm numuneler için</t>
  </si>
  <si>
    <t>Kauçuk Membran, Ø 70 mm numuneler için</t>
  </si>
  <si>
    <t>Membran Yerleştirme Aparatı, Ø 70 mm numuneler için</t>
  </si>
  <si>
    <t>0 Ring (1 paket= 10 adet), Ø 70 mm numuneler için</t>
  </si>
  <si>
    <t>0 Ring Yerleştirme Aparatı, Ø 70 mm numuneler için</t>
  </si>
  <si>
    <t>Yatay Filtre Kağıdı (1 Paket= 50 adet),  Ø 70 mm numuneler için</t>
  </si>
  <si>
    <t>Filtre Kağıdı (1 Paket= 100 adet),  Ø 70 mm numuneler için</t>
  </si>
  <si>
    <t>Plastik Disk (1 Paket=2 adet), Ø 70 mm numuneler için</t>
  </si>
  <si>
    <t>Alt Taban, Ø 100 mm numuneler için</t>
  </si>
  <si>
    <t>Üst Başlık, Ø 100 mm numuneler için</t>
  </si>
  <si>
    <t>Şeffaf Drenaj Hortumu, Ø 100 mm numuneler için</t>
  </si>
  <si>
    <t>1 çift poroz taş, Ø 100 mm numuneler için</t>
  </si>
  <si>
    <t>Kauçuk Membran, Ø 100 mm numuneler için</t>
  </si>
  <si>
    <t>Membran Yerleştirme Aparatı, Ø 100 mm numuneler için</t>
  </si>
  <si>
    <t>0 Ring (1 paket= 10 adet), Ø 100 mm numuneler için</t>
  </si>
  <si>
    <t>0 Ring Yerleştirme Aparatı, Ø 100 mm numuneler için</t>
  </si>
  <si>
    <t>Yatay Filtre Kağıdı (1 Paket= 50 adet),  Ø 100 mm numuneler için</t>
  </si>
  <si>
    <t>Filtre Kağıdı (1 Paket= 100 adet),  Ø 100 mm numuneler için</t>
  </si>
  <si>
    <t>Plastik Disk (1 Paket=2 adet), Ø 100 mm numuneler için</t>
  </si>
  <si>
    <t>5 kn kapasiteli Otomatik Direk Kesme Cihazı,Kesme hızı 0,00001 ile 9,00000 arası kesintisiz ayarlanabilir. 5 kn yük hücresi kesme kuvvetini ölçmek için kullanılır. 10x0,002 mm lik ve 25x0,01 mm lik hassasiyetli yerdeğiştirme sensörleri yatay ve dikey yerdeğişim ölçümleri için kullanılır. 50 kg lık (4x10 kg + 1x5 kg + 2x2 kg + 1x1 kg) yarıklı ağırlık seti ile birlikte verilmektedir. 60x60 mm numuneler için Kesme kutusu, Numune Alıcı(kesici) ve Numune Çıkarıcı ile birlikte verilmektedir.</t>
  </si>
  <si>
    <t>Yarıklı Ağırlık Seti, 50 kg
(4x10 kg + 1x5 kg + 2x2 kg + 1x1 kg)</t>
  </si>
  <si>
    <t>Kesme kutusu takımı; 60x60mm Numune alıcı ve numune çıkarıcı ile birlikte.</t>
  </si>
  <si>
    <t>Kesme kutusu 60x60 mm numuneler için</t>
  </si>
  <si>
    <t>Yükleme başlığı  60x60 mm numuneler için</t>
  </si>
  <si>
    <t>Oluklu taban plakası 60x60 mm numuneler için</t>
  </si>
  <si>
    <t>Poroz taş 60x60 mm numuneler için</t>
  </si>
  <si>
    <t>Düz Izgara Plaka 60x60 mm numuneler için</t>
  </si>
  <si>
    <t>Delikli Izgara Plaka 60x60 mm numuneler için</t>
  </si>
  <si>
    <t>Numune Alıcı(kesici) 60x60 mm numuneler için</t>
  </si>
  <si>
    <t>Numune Çıkarıcı 60x60 mm numuneler için</t>
  </si>
  <si>
    <t>Kesme kutusu takımı; Ø 60 mm Numune alıcı ve numune çıkarıcı ile birlikte.</t>
  </si>
  <si>
    <t>Kesme kutusu Ø 60 mm numuneler için.</t>
  </si>
  <si>
    <t>Yükleme başlığı Ø 60 mm numuneler için.</t>
  </si>
  <si>
    <t>Oluklu taban plakası Ø 60 mm numuneler için</t>
  </si>
  <si>
    <t>Poroz taş Ø 60 mm numuneler için</t>
  </si>
  <si>
    <t>Düz Izgara Plaka Ø 60 mm numuneler için.</t>
  </si>
  <si>
    <t>Delikli Izgara Plaka Ø 60 mm numuneler için</t>
  </si>
  <si>
    <t>Numune Alıcı(kesici) Ø 60 mm numuneler için</t>
  </si>
  <si>
    <t>Numune Çıkarıcı Ø 60 mm numuneler için</t>
  </si>
  <si>
    <t>Kesme kutusu takımı; 100x100 mm Numune alıcı ve numune çıkarıcı ile birlikte.</t>
  </si>
  <si>
    <t xml:space="preserve">Kesme kutusu 100x100 mm numuneler için. </t>
  </si>
  <si>
    <t>Yükleme başlığı 100x100 mm numuneler için.</t>
  </si>
  <si>
    <t>Oluklu taban plakası 100x100 mm numuneler için.</t>
  </si>
  <si>
    <t>Poroz taş 100x100 mm numuneler için.</t>
  </si>
  <si>
    <t>Düz Izgara Plaka 100x100 mm numuneler için.</t>
  </si>
  <si>
    <t>Delikli Izgara Plaka 100x100 mm numuneler için</t>
  </si>
  <si>
    <t>Numune Alıcı(kesici)  100x100 mm numuneler için</t>
  </si>
  <si>
    <t xml:space="preserve">Numune Çıkarıcı 100x100 mm numuneler için </t>
  </si>
  <si>
    <t>Kesme kutusu takımı; Ø 100 mm Numune alıcı ve numune çıkarıcı ile birlikte.</t>
  </si>
  <si>
    <t xml:space="preserve">Kesme kutusu Ø 100 mm numuneler için. </t>
  </si>
  <si>
    <t xml:space="preserve">Yükleme başlığı Ø 100 mm numuneler için. </t>
  </si>
  <si>
    <t>Oluklu taban plakası  Ø 100 mm numuneler için.</t>
  </si>
  <si>
    <t>Poroz taş Ø 100 mm numuneler için.</t>
  </si>
  <si>
    <t>Düz Izgara Plaka  Ø 100 mm numuneler için.</t>
  </si>
  <si>
    <t>Delikli Izgara Plaka Ø 100 mm numuneler için</t>
  </si>
  <si>
    <t xml:space="preserve">Numune Alıcı(kesici)  Ø 100 mm numuneler için </t>
  </si>
  <si>
    <t>Numune Çıkarıcı Ø 100 mm numuneler için</t>
  </si>
  <si>
    <t>Kesme kutusu takımı; Ø 2.5 inch Numune alıcı ve numune çıkarıcı ile birlikte.</t>
  </si>
  <si>
    <t xml:space="preserve">Kesme kutusu Ø 2.5 inch numuneler için. </t>
  </si>
  <si>
    <t xml:space="preserve">Yükleme başlığı Ø 2.5 inch numuneler için. </t>
  </si>
  <si>
    <t>Oluklu taban plakası  Ø 2.5 inch numuneler için.</t>
  </si>
  <si>
    <t>Poroz taş Ø 2.5 inch numuneler için.</t>
  </si>
  <si>
    <t xml:space="preserve">Düz Izgara Plaka Ø 2.5 inch numuneler için. </t>
  </si>
  <si>
    <t>Delikli Izgara Plaka Ø 2.5 inch numuneler için</t>
  </si>
  <si>
    <t xml:space="preserve">Numune Alıcı(kesici)   Ø 2.5 inch numuneler için </t>
  </si>
  <si>
    <t>Numune Çıkarıcı Ø 2.5 inch numuneler için</t>
  </si>
  <si>
    <t>GENİŞ ÖLÇEKLİ DİREK KESME CİHAZI  (10 TON KAYA DA DİREK KESME)</t>
  </si>
  <si>
    <t>5 kn kapasiteli TAM Otomatik Direk Kesme</t>
  </si>
  <si>
    <t xml:space="preserve">Kil Aşındırma Test Cihazı; Kağıt, Mürekkep, Boya,  v.b maddelerin üretiminde kullanılan Kil, Kalsit, Sepiyolit, Talk gibi malzemelerin aşındırma özelliklerini belirlemek için kullanılmaktadır. 1000 adet 210 μm göz açıklığında, 22,4 x 8,7 cm boyutlarında prinç tel ile birlikte verilmektedir. </t>
  </si>
  <si>
    <t xml:space="preserve">210 μm göz açıklığında, 22,4 x 8,7 cm boyutlarında prinç Tel.
1000 adet </t>
  </si>
  <si>
    <t>Balon Yoğunluk Seti</t>
  </si>
  <si>
    <t xml:space="preserve">Bağıl Yoğunluk Test Seti ( Relative Density), ASTM, 380V, 50Hz, 3faz. Kontrol Üniteli Elektromanyetik Vibrasyon/Titreşim Masası, Rölatif Yoğunluk Kalıp Setleri (0,1 ft.3 ve 0,5 ft.3) ve Rölatif Yoğunluk Ölçüm Setinden  oluşur. </t>
  </si>
  <si>
    <t>Vibrasyon Masası, 762x762 mm</t>
  </si>
  <si>
    <t>Rölatif Yoğunluk Kalıp Seti, 0,1 ft.3, ASTM, Taşıma Kulplu İlave Ağırlık, Taşıma Kollu İlave Ağırlık Taban Plakası, Sökülüp Takılabilir Yaka ve Yaka Sabitleme Aparatları ile birlikte.</t>
  </si>
  <si>
    <t>Rölatif Yoğunluk Kalıp Seti, 0,5 ft.3, ASTM, Taşıma Kulplu İlave Ağırlık, Taşıma Kollu İlave Ağırlık Taban Plakası, Sökülüp Takılabilir Yaka ve Yaka Sabitleme Aparatları ile birlikte.</t>
  </si>
  <si>
    <t>Rölatif Yoğunluk Deneyi Deplasman Ölçüm Seti, ASTM, Rölatif Yoğunluk Deney Kalıpları ile birlikte kullanılır.
Analog Komparatör saati (50 x 0.01mm bölmeli, 0-100 skalalı) , Komparatör saati Tutucu ve Metal Kalibrasyon Plakası ndan (75x300x6mm) oluşur.</t>
  </si>
  <si>
    <t>Mekanik Terazi, Cent-O-Gram, 311 x 0,01 g kapasiteli.
OHAUS, İsviçre</t>
  </si>
  <si>
    <t>Mekanik Terazi, Dial-O-Gram, 310 x 0,01 g kapasiteli.
OHAUS, İsviçre</t>
  </si>
  <si>
    <t>Mekanik Terazi, Triple Beam, 2610 x 0,1 g kapasiteli.
OHAUS, İsviçre</t>
  </si>
  <si>
    <t>Mekanik Terazi, Heavy Duty, 20 kg x 1 g kapasiteli.
OHAUS, İsviçre</t>
  </si>
  <si>
    <t xml:space="preserve">Elektronik Analitik Terazi, 220 g kap. 60 gr a kadar 0.01mg, 60-220gr arasında 0,1 mg hassasiyetindedir. </t>
  </si>
  <si>
    <t>Elektronik Analitik Terazi, 220 g kap. 0,0001 g (0,1 mg) hassasiyetli.</t>
  </si>
  <si>
    <t xml:space="preserve">Elektronik Analitik Terazi, 220 g kap. 0,0001 g (0,1 mg) hassasiyetli. </t>
  </si>
  <si>
    <t xml:space="preserve">Elektronik Analitik Terazi, 310 g kap. 0,0001 g (0,1 mg) hassasiyetli. </t>
  </si>
  <si>
    <t>Elektronik Hassas Terazi, 500 g kap. 0,001 g (1mg) hassasiyetli.</t>
  </si>
  <si>
    <t>Elektronik Hassas Terazi, 510 g kap. 0,001 g (1mg) hassasiyetli, Radwag, Polonya.</t>
  </si>
  <si>
    <t>Elektronik Hassas Terazi, 750 g kap. 0,001 g (1mg) hassasiyetli, Radwag, Polonya.</t>
  </si>
  <si>
    <t>Elektronik Hassas Terazi, 4500 gr kap., 0,01 gr hassasiyetli.
Radwag, Polonya.</t>
  </si>
  <si>
    <t>Elektronik Hassas Terazi, 5000 gr kap., 0,01 gr hassasiyetli.</t>
  </si>
  <si>
    <t xml:space="preserve">Elektronik Hassas Terazi, 6000 gr kap., 0,01 gr hassasiyetli.
Radwag, Polonya.Marka :AXİS(Polonya) Model:ACZ 6200 Hassasiyet:0,01g kapasite:6200g harici kalibre </t>
  </si>
  <si>
    <t>Elektronik Hassas Terazi, 10 kg kap., 0,01 gr hassasiyetli.
Radwag, Polonya.</t>
  </si>
  <si>
    <t xml:space="preserve">Elektronik Terazi, 600 gr kap. 0,01 gr hassasiyetli </t>
  </si>
  <si>
    <t>Elektronik Terazi, 3000 gr kap., 0,01 gr hassasiyetli</t>
  </si>
  <si>
    <t>Elektronik Terazi, 6000 gr kap., 0,01 gr hassasiyetli.
Radwag, Polonya.</t>
  </si>
  <si>
    <t>Elektronik Terazi, 6000 g kap. 0,1 g hassasiyetli</t>
  </si>
  <si>
    <t>Elektronik Terazi, 30 kg kap. 0,5 g hassasiyetli</t>
  </si>
  <si>
    <t>Elektronik Terazi, 30Kg kap. 0,1 gr hassasiyetli, alttan tartım özellikli</t>
  </si>
  <si>
    <t>Elektronik Terazi, 60 kg kap. 2 g hassasiyetli.</t>
  </si>
  <si>
    <t xml:space="preserve">Elektronik Terazi, 150 kg kap. 5 g hassasiyetli. </t>
  </si>
  <si>
    <t>Elektronik Terazi, 150 kg kap. 10 g hassasiyetli. 35x45 cm</t>
  </si>
  <si>
    <t>Elektronik Terazi, 150 kg kap. 10 g hassasiyetli. 40x50 cm</t>
  </si>
  <si>
    <t>Elektronik Terazi, 300 kg kap. 10 g hassasiyetli. 40x50 cm Platform</t>
  </si>
  <si>
    <t>Elektronik Terazi, 600 kg kap. 20 g hassasiyetli. 60x70 cm Platform</t>
  </si>
  <si>
    <t>Nem Tayin Terazisi, 50 g kap. 0,0001 g (0,1mg) hassasiyetli.</t>
  </si>
  <si>
    <t>Nem Tayin Terazisi, 50 g kap. 0,001 g (1mg) hassasiyetli.
Radwag, Polonya          Model:ATS 120 hassasiyet:0,001g(1mg) Kapasite:120g</t>
  </si>
  <si>
    <t>Nem Tayin Terazisi, 110 g kap. 0,001 g (1mg) hassasiyetli.
Radwag, Polonya</t>
  </si>
  <si>
    <t xml:space="preserve">Nem Tayin Terazisi, 210 g kap. 0,001 g (1mg) hassasiyetli.
</t>
  </si>
  <si>
    <t>Nem Tayin Terazisi, 60 g kap. 0,001 g (1mg) hassasiyetli.
İnfrared/Dark. Harici Kalibrasyon. Precisa, İsviçre</t>
  </si>
  <si>
    <t>Nem Tayin Terazisi, 124 g kap. 0,001 g (1mg) hassasiyetli.
İnfrared/Dark. Harici Kalibrasyon. Precisa, İsviçre</t>
  </si>
  <si>
    <t>Nem Tayin Terazisi, 124 g kap. 0,0001 g (0,1mg) hassasiyetli.
İnfrared/Dark. Harici Kalibrasyon. Precisa, İsviçre</t>
  </si>
  <si>
    <t>Nem Tayin Terazisi, 310 g kap. 0,001 g (1mg) hassasiyetli.
İnfrared/Dark. Harici Kalibrasyon. Precisa, İsviçre</t>
  </si>
  <si>
    <t>Nem Tayin Terazisi, 124 g kap. 0,0001 g (0,1mg) hassasiyetli.
İnfrared/Dark. Otomatik Kalibrasyon. Precisa, İsviçre</t>
  </si>
  <si>
    <t>Kalibrasyon Ağırlığı; M1 Sınıfı; Paslanmaz Çelik.  1 mg</t>
  </si>
  <si>
    <t>Kalibrasyon Ağırlığı; M1 Sınıfı; Paslanmaz Çelik.  2 mg</t>
  </si>
  <si>
    <t>Kalibrasyon Ağırlığı; M1 Sınıfı; Paslanmaz Çelik.  5 mg</t>
  </si>
  <si>
    <t>Kalibrasyon Ağırlığı; M1 Sınıfı; Paslanmaz Çelik.  10 mg</t>
  </si>
  <si>
    <t>Kalibrasyon Ağırlığı; M1 Sınıfı; Paslanmaz Çelik.  20 mg</t>
  </si>
  <si>
    <t>Kalibrasyon Ağırlığı; M1 Sınıfı; Paslanmaz Çelik.  50 mg</t>
  </si>
  <si>
    <t>Kalibrasyon Ağırlığı; M1 Sınıfı; Paslanmaz Çelik.  100 mg</t>
  </si>
  <si>
    <t>Kalibrasyon Ağırlığı; M1 Sınıfı; Paslanmaz Çelik.  200 mg</t>
  </si>
  <si>
    <t>Kalibrasyon Ağırlığı; M1 Sınıfı; Paslanmaz Çelik.  500 mg</t>
  </si>
  <si>
    <t>Kalibrasyon Ağırlığı; M1 Sınıfı; Paslanmaz Çelik. 1 g</t>
  </si>
  <si>
    <t>Kalibrasyon Ağırlığı; M1 Sınıfı; Paslanmaz Çelik. 2 g</t>
  </si>
  <si>
    <t>Kalibrasyon Ağırlığı; M1 Sınıfı; Paslanmaz Çelik. 5 g</t>
  </si>
  <si>
    <t>Kalibrasyon Ağırlığı; M1 Sınıfı; Paslanmaz Çelik. 10 g</t>
  </si>
  <si>
    <t>Kalibrasyon Ağırlığı; M1 Sınıfı; Paslanmaz Çelik. 20 g</t>
  </si>
  <si>
    <t>Kalibrasyon Ağırlığı; M1 Sınıfı; Paslanmaz Çelik. 50 g</t>
  </si>
  <si>
    <t>Kalibrasyon Ağırlığı; M1 Sınıfı; Paslanmaz Çelik. 100 g</t>
  </si>
  <si>
    <t>Kalibrasyon Ağırlığı; M1 Sınıfı; Paslanmaz Çelik. 200 g</t>
  </si>
  <si>
    <t>Kalibrasyon Ağırlığı; M1 Sınıfı; Paslanmaz Çelik. 500 g</t>
  </si>
  <si>
    <t>Kalibrasyon Ağırlığı; M1 Sınıfı; Pik Döküm. 500 g</t>
  </si>
  <si>
    <t>Kutu; 1 - 500 g  M1 Sınıfı; Paslanmaz Çelik Kalibrasyon Ağırlığı için</t>
  </si>
  <si>
    <t>Kalibrasyon Ağırlığı; M1 Sınıfı; Paslanmaz Çelik. 1 kg</t>
  </si>
  <si>
    <t>Kutu; 1 kg  M1 Sınıfı; Paslanmaz Çelik Kalibrasyon Ağırlığı için</t>
  </si>
  <si>
    <t>Kalibrasyon Ağırlığı; M1 Sınıfı; Pik Döküm. 1 kg</t>
  </si>
  <si>
    <t>Kalibrasyon Ağırlığı; M1 Sınıfı; Paslanmaz Çelik. 2 kg</t>
  </si>
  <si>
    <t>Kutu; 2 kg  M1 Sınıfı; Paslanmaz Çelik Kalibrasyon Ağırlığı için</t>
  </si>
  <si>
    <t>Kalibrasyon Ağırlığı; M1 Sınıfı; Pik Döküm. 2 kg</t>
  </si>
  <si>
    <t>Kalibrasyon Ağırlığı; M1 Sınıfı; Paslanmaz Çelik.  5 kg</t>
  </si>
  <si>
    <t>Kutu; 5 kg  M1 Sınıfı; Paslanmaz Çelik Kalibrasyon Ağırlığı için</t>
  </si>
  <si>
    <t>Kalibrasyon Ağırlığı; M1 Sınıfı; Pik Döküm.  5 kg</t>
  </si>
  <si>
    <t>Ahşap Kutu; 5 kg  M1 Sınıfı; Pik Döküm Kalibrasyon Ağırlığı için</t>
  </si>
  <si>
    <t>Kalibrasyon Ağırlığı; M1 Sınıfı; Paslanmaz Çelik.  10 kg</t>
  </si>
  <si>
    <t>Kutu; 10 kg  M1 Sınıfı; Paslanmaz Çelik Kalibrasyon Ağırlığı için</t>
  </si>
  <si>
    <t>Kalibrasyon Ağırlığı; M1 Sınıfı; Pik Döküm.  10 kg</t>
  </si>
  <si>
    <t>Ahşap Kutu; 10 kg  M1 Sınıfı; Pik Döküm Kalibrasyon Ağırlığı için</t>
  </si>
  <si>
    <t>Kalibrasyon Ağırlığı; M1 Sınıfı; Paslanmaz Çelik.  20 kg</t>
  </si>
  <si>
    <t>Kutu; 20 kg  M1 Sınıfı; Paslanmaz Çelik Kalibrasyon Ağırlığı için</t>
  </si>
  <si>
    <t>Kalibrasyon Ağırlığı; M1 Sınıfı; Pik Döküm.  20 kg</t>
  </si>
  <si>
    <t>Ahşap Kutu; 20 kg  M1 Sınıfı; Pik Döküm Kalibrasyon Ağırlığı için</t>
  </si>
  <si>
    <t>Kalibrasyon Ağırlığı; M1 Sınıfı; Pik Döküm.  50 kg</t>
  </si>
  <si>
    <t>Kalibrasyon Ağırlığı; M1 Sınıfı; Pik Döküm.  100 kg</t>
  </si>
  <si>
    <t>Kalibrasyon Ağırlığı; M1 Sınıfı; Pik Döküm. 200 kg</t>
  </si>
  <si>
    <t>Kalibrasyon Ağırlığı; M1 Sınıfı; Pik Döküm. 500 kg</t>
  </si>
  <si>
    <t>Kalibrasyon Ağırlığı; M1 Sınıfı; Pik Döküm. 1000 kg</t>
  </si>
  <si>
    <t>TÜRKAK Kalibrasyon Sertifikası. 500 g - 5 kg</t>
  </si>
  <si>
    <t>TÜRKAK Kalibrasyon Sertifikası. 10 kg - 20 kg</t>
  </si>
  <si>
    <t>TÜRKAK Kalibrasyon Sertifikası. 50 kg</t>
  </si>
  <si>
    <t>Kalibrasyon Ağırlığı; F1 Sınıfı; Paslanmaz Çelik.  1 mg</t>
  </si>
  <si>
    <t>Kalibrasyon Ağırlığı; F1 Sınıfı; Paslanmaz Çelik.  2 mg</t>
  </si>
  <si>
    <t>Kalibrasyon Ağırlığı; F1 Sınıfı; Paslanmaz Çelik.  5 mg</t>
  </si>
  <si>
    <t>Kalibrasyon Ağırlığı; F1 Sınıfı; Paslanmaz Çelik.  10 mg</t>
  </si>
  <si>
    <t>Kalibrasyon Ağırlığı; F1 Sınıfı; Paslanmaz Çelik.  20 mg</t>
  </si>
  <si>
    <t>Kalibrasyon Ağırlığı; F1 Sınıfı; Paslanmaz Çelik.  50 mg</t>
  </si>
  <si>
    <t>Kalibrasyon Ağırlığı; F1 Sınıfı; Paslanmaz Çelik.  100 mg</t>
  </si>
  <si>
    <t>Kalibrasyon Ağırlığı; F1 Sınıfı; Paslanmaz Çelik.  200 mg</t>
  </si>
  <si>
    <t>Kalibrasyon Ağırlığı; F1 Sınıfı; Paslanmaz Çelik.  500 mg</t>
  </si>
  <si>
    <t>Kalibrasyon Ağırlığı; F1 Sınıfı; Paslanmaz Çelik.  1 g</t>
  </si>
  <si>
    <t>Kalibrasyon Ağırlığı; F1 Sınıfı; Paslanmaz Çelik.  2 g</t>
  </si>
  <si>
    <t>Kalibrasyon Ağırlığı; F1 Sınıfı; Paslanmaz Çelik.  5 g</t>
  </si>
  <si>
    <t>Kalibrasyon Ağırlığı; F1 Sınıfı; Paslanmaz Çelik.  10 g</t>
  </si>
  <si>
    <t>Kalibrasyon Ağırlığı; F1 Sınıfı; Paslanmaz Çelik.  20 g</t>
  </si>
  <si>
    <t>Kalibrasyon Ağırlığı; F1 Sınıfı; Paslanmaz Çelik.  50 g</t>
  </si>
  <si>
    <t>Kalibrasyon Ağırlığı; F1 Sınıfı; Paslanmaz Çelik.  100 g</t>
  </si>
  <si>
    <t>Kalibrasyon Ağırlığı; F1 Sınıfı; Paslanmaz Çelik.  200 g</t>
  </si>
  <si>
    <t>Kalibrasyon Ağırlığı; F1 Sınıfı; Paslanmaz Çelik.  500 g</t>
  </si>
  <si>
    <t>Kalibrasyon Ağırlığı; F1 Sınıfı; Paslanmaz Çelik.  1 kg</t>
  </si>
  <si>
    <t>Kalibrasyon Ağırlığı; F1 Sınıfı; Paslanmaz Çelik.  2 kg</t>
  </si>
  <si>
    <t>Kalibrasyon Ağırlığı; F1 Sınıfı; Paslanmaz Çelik.  5 kg</t>
  </si>
  <si>
    <t>Kalibrasyon Ağırlığı; F1 Sınıfı; Paslanmaz Çelik.  10 kg</t>
  </si>
  <si>
    <t>Kalibrasyon Ağırlığı; F1 Sınıfı; Paslanmaz Çelik.  20 kg</t>
  </si>
  <si>
    <t>Kalibrasyon Ağırlığı; F1 Sınıfı; Paslanmaz Çelik.  50 kg</t>
  </si>
  <si>
    <t>Kutu; 1 mg - 500 g  F1 Sınıfı;  Paslanmaz Çelik Kalibrasyon Ağırlığı için</t>
  </si>
  <si>
    <t>Kutu; 1 kg - 2 kg  F1 Sınıfı;  Paslanmaz Çelik Kalibrasyon Ağırlığı için</t>
  </si>
  <si>
    <t>Kutu; 5 kg  F1 Sınıfı;  Paslanmaz Çelik Kalibrasyon Ağırlığı için</t>
  </si>
  <si>
    <t>Kutu; 10 kg  F1 Sınıfı;  Paslanmaz Çelik Kalibrasyon Ağırlığı için</t>
  </si>
  <si>
    <t>Kutu; 20 kg  F1 Sınıfı;  Paslanmaz Çelik Kalibrasyon Ağırlığı için</t>
  </si>
  <si>
    <t>Kutu; 50 kg  F1 Sınıfı;  Paslanmaz Çelik Kalibrasyon Ağırlığı için</t>
  </si>
  <si>
    <t>TÜRKAK Kalibrasyon Sertifikası. 1 mg - 2 kg</t>
  </si>
  <si>
    <t>TÜRKAK Kalibrasyon Sertifikası. 5 kg - 10 kg</t>
  </si>
  <si>
    <t>TÜRKAK Kalibrasyon Sertifikası. 20 kg</t>
  </si>
  <si>
    <t>Kalibrasyon Ağırlığı; E2 Sınıfı; Paslanmaz Çelik. 1 mg</t>
  </si>
  <si>
    <t>Kalibrasyon Ağırlığı; E2 Sınıfı; Paslanmaz Çelik. 2 mg</t>
  </si>
  <si>
    <t>Kalibrasyon Ağırlığı; E2 Sınıfı; Paslanmaz Çelik. 5 mg</t>
  </si>
  <si>
    <t>Kalibrasyon Ağırlığı; E2 Sınıfı; Paslanmaz Çelik. 10 mg</t>
  </si>
  <si>
    <t>Kalibrasyon Ağırlığı; E2 Sınıfı; Paslanmaz Çelik. 20 mg</t>
  </si>
  <si>
    <t>Kalibrasyon Ağırlığı; E2 Sınıfı; Paslanmaz Çelik. 50 mg</t>
  </si>
  <si>
    <t>Kalibrasyon Ağırlığı; E2 Sınıfı; Paslanmaz Çelik. 100 mg</t>
  </si>
  <si>
    <t>Kalibrasyon Ağırlığı; E2 Sınıfı; Paslanmaz Çelik. 200 mg</t>
  </si>
  <si>
    <t>Kalibrasyon Ağırlığı; E2 Sınıfı; Paslanmaz Çelik. 500 mg</t>
  </si>
  <si>
    <t>Kalibrasyon Ağırlığı; E2 Sınıfı; Paslanmaz Çelik.  1 g</t>
  </si>
  <si>
    <t>Kalibrasyon Ağırlığı; E2 Sınıfı; Paslanmaz Çelik.  2 g</t>
  </si>
  <si>
    <t>Kalibrasyon Ağırlığı; E2 Sınıfı; Paslanmaz Çelik.  5 g</t>
  </si>
  <si>
    <t>Kalibrasyon Ağırlığı; E2 Sınıfı; Paslanmaz Çelik.  10 g</t>
  </si>
  <si>
    <t>Kalibrasyon Ağırlığı; E2 Sınıfı; Paslanmaz Çelik.  20 g</t>
  </si>
  <si>
    <t>Kalibrasyon Ağırlığı; E2 Sınıfı; Paslanmaz Çelik.  50 g</t>
  </si>
  <si>
    <t>Kalibrasyon Ağırlığı; E2 Sınıfı; Paslanmaz Çelik.  100 g</t>
  </si>
  <si>
    <t>Kalibrasyon Ağırlığı; E2 Sınıfı; Paslanmaz Çelik.  200 g</t>
  </si>
  <si>
    <t>Kalibrasyon Ağırlığı; E2 Sınıfı; Paslanmaz Çelik.  500 g</t>
  </si>
  <si>
    <t>Kalibrasyon Ağırlığı; E2 Sınıfı; Paslanmaz Çelik.  1 kg</t>
  </si>
  <si>
    <t>Kalibrasyon Ağırlığı; E2 Sınıfı; Paslanmaz Çelik.  2 kg</t>
  </si>
  <si>
    <t>Kalibrasyon Ağırlığı; E2 Sınıfı; Paslanmaz Çelik.  5 kg</t>
  </si>
  <si>
    <t>Kalibrasyon Ağırlığı; E2 Sınıfı; Paslanmaz Çelik.  10 kg</t>
  </si>
  <si>
    <t>Kalibrasyon Ağırlığı; E2 Sınıfı; Paslanmaz Çelik.  20 kg</t>
  </si>
  <si>
    <t>Kalibrasyon Ağırlığı; E2 Sınıfı; Paslanmaz Çelik.  50 kg</t>
  </si>
  <si>
    <t>Cam Beher, 10 ml</t>
  </si>
  <si>
    <t>Cam Beher, 25 ml</t>
  </si>
  <si>
    <t>Cam Beher, 50 ml</t>
  </si>
  <si>
    <t>Cam Beher, 100 ml</t>
  </si>
  <si>
    <t>Cam Beher, 250 ml</t>
  </si>
  <si>
    <t>Cam Beher, 400 ml</t>
  </si>
  <si>
    <t>Cam Beher, 600 ml</t>
  </si>
  <si>
    <t>Cam Beher, 800 ml</t>
  </si>
  <si>
    <t>Cam Beher, 1000 ml</t>
  </si>
  <si>
    <t>Cam Beher, 2000 ml</t>
  </si>
  <si>
    <t>Cam Beher, 3000 ml</t>
  </si>
  <si>
    <t>Cam Beher, 5000 ml</t>
  </si>
  <si>
    <t>Cam Mezür, 10 ml</t>
  </si>
  <si>
    <t>Cam Mezür, 25 ml</t>
  </si>
  <si>
    <t>Cam Mezür, 50 ml</t>
  </si>
  <si>
    <t>Cam Mezür, 100 ml</t>
  </si>
  <si>
    <t>Cam Mezür, 250 ml</t>
  </si>
  <si>
    <t>Cam Mezür, 500 ml</t>
  </si>
  <si>
    <t>Cam Mezür, 1000 ml</t>
  </si>
  <si>
    <t>Cam Mezür, 2000 ml</t>
  </si>
  <si>
    <t>Erlenmayer, dar boyunlu, dereceli, 50ml</t>
  </si>
  <si>
    <t>Erlenmayer, dar boyunlu, dereceli, 100ml</t>
  </si>
  <si>
    <t>Erlenmayer, dar boyunlu, dereceli, 150ml</t>
  </si>
  <si>
    <t>Erlenmayer, dar boyunlu, dereceli, 250ml</t>
  </si>
  <si>
    <t>Erlenmayer, dar boyunlu, dereceli, 300ml</t>
  </si>
  <si>
    <t>Erlenmayer, dar boyunlu, dereceli, 500ml</t>
  </si>
  <si>
    <t>Erlenmayer, dar boyunlu, dereceli, 1000ml</t>
  </si>
  <si>
    <t>Erlenmayer, dar boyunlu, dereceli, 2000ml</t>
  </si>
  <si>
    <t>Erlenmayer, dar boyunlu, dereceli, 5000ml</t>
  </si>
  <si>
    <t>Nuce Erlenmayer 500ml</t>
  </si>
  <si>
    <t>Nuce Erlenmayer 1000ml</t>
  </si>
  <si>
    <t>Nuce Erlenmayer 2000ml</t>
  </si>
  <si>
    <t>Carsten-Röhrchen Flask</t>
  </si>
  <si>
    <t>Balon Joje, 5  ml</t>
  </si>
  <si>
    <t>Balon Joje,  10 ml</t>
  </si>
  <si>
    <t>Balon Joje,  25 ml</t>
  </si>
  <si>
    <t>Balon Joje,  50 ml</t>
  </si>
  <si>
    <t>Balon Joje,  100 ml</t>
  </si>
  <si>
    <t>Balon Joje,  250 ml</t>
  </si>
  <si>
    <t>Balon Joje,  500 ml</t>
  </si>
  <si>
    <t>Balon Joje,  1000 ml</t>
  </si>
  <si>
    <t>Balon Joje,  2000 ml</t>
  </si>
  <si>
    <t>Balon Joje,  3000 ml</t>
  </si>
  <si>
    <t>Balon Joje,  5000 ml</t>
  </si>
  <si>
    <t>Derecelendirilmiş Test Şişeleri, Cam, 250 ml</t>
  </si>
  <si>
    <t>Derecelendirilmiş Test Şişeleri, Cam, 500 ml</t>
  </si>
  <si>
    <t>Derecelendirilmiş Test Şişeleri, Cam, 1000 ml</t>
  </si>
  <si>
    <t>Derecelendirilmiş Test Şişeleri, Cam, 2000 ml</t>
  </si>
  <si>
    <t>Cam Huni; kısa saplı. 40 mm</t>
  </si>
  <si>
    <t xml:space="preserve">Cam Huni; kısa saplı. 60 mm </t>
  </si>
  <si>
    <t>Cam Huni; kısa saplı. 75 mm</t>
  </si>
  <si>
    <t>Cam Huni; kısa saplı. 100 mm</t>
  </si>
  <si>
    <t>Cam Huni; kısa saplı. 120 mm</t>
  </si>
  <si>
    <t>Cam Huni; kısa saplı. 200 mm</t>
  </si>
  <si>
    <t>Saat Camı; 70 mm</t>
  </si>
  <si>
    <t>Saat Camı; 100 mm</t>
  </si>
  <si>
    <t>Saat Camı; 120 mm</t>
  </si>
  <si>
    <t>Saat Camı; 150 mm</t>
  </si>
  <si>
    <t>Petri Kutusu, Cam, 100 mm</t>
  </si>
  <si>
    <t>Petri Kutusu, Cam, 120 mm</t>
  </si>
  <si>
    <t>Pipet, 1 ml</t>
  </si>
  <si>
    <t>Pipet, 2 ml</t>
  </si>
  <si>
    <t>Pipet, 5 ml</t>
  </si>
  <si>
    <t>Pipet, 10 ml</t>
  </si>
  <si>
    <t>Pipet, 25 ml</t>
  </si>
  <si>
    <t>Pipet,50 ml</t>
  </si>
  <si>
    <t>Pastör Pipeti, 150 ml, 1 paket= 250 adet</t>
  </si>
  <si>
    <t>Pastör Pipeti, 230 ml, 1 paket= 250 adet</t>
  </si>
  <si>
    <t>Cam Büret, 10 ml</t>
  </si>
  <si>
    <t>Cam Büret, 25 ml</t>
  </si>
  <si>
    <t>Cam Büret, 100 ml</t>
  </si>
  <si>
    <t>Amber Büret, 10 ml</t>
  </si>
  <si>
    <t>Amber Büret, 25 ml</t>
  </si>
  <si>
    <t>Amber Büret, 50 ml</t>
  </si>
  <si>
    <t>Otomatik Büret. Tek musluklu. 10 ml</t>
  </si>
  <si>
    <t>Otomatik Büret. Tek musluklu. 25 ml</t>
  </si>
  <si>
    <t>Otomatik Büret. Tek musluklu. 50 ml</t>
  </si>
  <si>
    <t>Otomatik Büret. Çift musluklu. 10 ml</t>
  </si>
  <si>
    <t>Otomatik Büret. Çift musluklu. 25 ml</t>
  </si>
  <si>
    <t>Otomatik Büret. Çift musluklu. 50 ml</t>
  </si>
  <si>
    <t>Otomatik Büret. Çift musluklu. 100 ml</t>
  </si>
  <si>
    <t>Otomatik Amber Büret. Çift musluklu. 10 ml</t>
  </si>
  <si>
    <t>Otomatik Amber Büret. Çift musluklu. 25 ml</t>
  </si>
  <si>
    <t>Otomatik Amber Büret. Çift musluklu. 50 ml</t>
  </si>
  <si>
    <t>Amber Otomatik Büret Deposu. 2000 ml</t>
  </si>
  <si>
    <t>Otomatik Büret Deposu. 2000 ml</t>
  </si>
  <si>
    <t>Cam Baget; 6*200 mm</t>
  </si>
  <si>
    <t>Desikatör Kabini</t>
  </si>
  <si>
    <t>Dansimetre, 700-800</t>
  </si>
  <si>
    <t>Dansimetre, 800-900</t>
  </si>
  <si>
    <t>Dansimetre, 900-1000</t>
  </si>
  <si>
    <t>Dansimetre, 1000-1100</t>
  </si>
  <si>
    <t>Dansimetre, 1100-1200</t>
  </si>
  <si>
    <t>Dansimetre, 1200-1300</t>
  </si>
  <si>
    <t>Dansimetre, 1300-1400</t>
  </si>
  <si>
    <t>Dansimetre, 1400-1500</t>
  </si>
  <si>
    <t>Dansimetre, 1500-1600</t>
  </si>
  <si>
    <t>Dansimetre, 1600-1700</t>
  </si>
  <si>
    <t>Dansimetre, 1700-1800</t>
  </si>
  <si>
    <t>Dansimetre, 1800-1900</t>
  </si>
  <si>
    <t>Dansimetre, 1900-2000</t>
  </si>
  <si>
    <t>Plastik Mezür, 10 ml</t>
  </si>
  <si>
    <t>Plastik Mezür, 25 ml</t>
  </si>
  <si>
    <t>Plastik Mezür, 50 ml</t>
  </si>
  <si>
    <t>Plastik Mezür, 100 ml</t>
  </si>
  <si>
    <t>Plastik Mezür, 250 ml</t>
  </si>
  <si>
    <t>Plastik Mezür, 500 ml</t>
  </si>
  <si>
    <t>Plastik Mezür, 1000 ml</t>
  </si>
  <si>
    <t>Plastik Mezür, 2000 ml</t>
  </si>
  <si>
    <t>Piset, 100 ml</t>
  </si>
  <si>
    <t>Piset, 250 ml</t>
  </si>
  <si>
    <t>Piset, 500 ml</t>
  </si>
  <si>
    <t>Piset, 1000 ml</t>
  </si>
  <si>
    <t>Plastik Beher, 25 ml</t>
  </si>
  <si>
    <t>Plastik Beher, 50 ml</t>
  </si>
  <si>
    <t>Plastik Beher, 100 ml</t>
  </si>
  <si>
    <t>Plastik Beher, 250 ml</t>
  </si>
  <si>
    <t>Plastik Beher, 500 ml</t>
  </si>
  <si>
    <t>Plastik Beher, 2000 ml</t>
  </si>
  <si>
    <t>Plastik Beher, Kulplu, 250 ml</t>
  </si>
  <si>
    <t>Plastik Beher, Kulplu, 500 ml</t>
  </si>
  <si>
    <t>Plastik Beher, Kulplu, 1000 ml</t>
  </si>
  <si>
    <t>Plastik Beher, Kulplu, 3000 ml</t>
  </si>
  <si>
    <t>Plastik Beher, Kulplu, 5000 ml</t>
  </si>
  <si>
    <t>Plastik Balon Joje, 25ml</t>
  </si>
  <si>
    <t>Plastik Balon Joje, 50ml</t>
  </si>
  <si>
    <t>Plastik Balon Joje, 100ml</t>
  </si>
  <si>
    <t>Plastik Balon Joje, 250ml</t>
  </si>
  <si>
    <t>Plastik Balon Joje, 500ml</t>
  </si>
  <si>
    <t>Plastik Balon Joje, 1000ml</t>
  </si>
  <si>
    <t>Plastik Huni, 50 mm</t>
  </si>
  <si>
    <t>Plastik Huni, 70 mm</t>
  </si>
  <si>
    <t>Plastik Huni, 90 mm</t>
  </si>
  <si>
    <t>Plastik Huni, 120 mm</t>
  </si>
  <si>
    <t>Plastik Huni, 150 mm</t>
  </si>
  <si>
    <t>Su Kovası, 25 lt</t>
  </si>
  <si>
    <t>Su Kovası, 35 lt</t>
  </si>
  <si>
    <t>Su Kovası, 50 lt</t>
  </si>
  <si>
    <t>Su Kovası, 70 lt</t>
  </si>
  <si>
    <t>Numune Torbası, Şeffaf, Ağzı kilitli, 17x23 cm, 1 paket= 300 adet</t>
  </si>
  <si>
    <t>Numune Torbası, Şeffaf, Ağzı kilitli, 19x25 cm, 1 paket= 300 adet</t>
  </si>
  <si>
    <t>Numune Torbası, Şeffaf, Ağzı kilitli, 21x27 cm, 1 paket= 300 adet</t>
  </si>
  <si>
    <t>Numune Torbası, Şeffaf, Ağzı kilitli, 23x31 cm, 1 paket= 300 adet</t>
  </si>
  <si>
    <t>Numune Torbası, Şeffaf, Ağzı kilitli, 26x35 cm, 1 paket= 200 adet</t>
  </si>
  <si>
    <t>Numune Torbası, Branda Bezi, Ağzı ip büzgülü, 25x40 cm</t>
  </si>
  <si>
    <t>Numune Torbası, Branda Bezi, Ağzı ip büzgülü, 40x80 cm</t>
  </si>
  <si>
    <t>Numune Torbası, Branda Bezi, Ağzı ip büzgülü, 50x80 cm</t>
  </si>
  <si>
    <t>Numune Torbası, Branda Bezi, Ağzı ip büzgülü, 60x40 cm</t>
  </si>
  <si>
    <t>Numune Torbası, Branda Bezi, Ağzı ip büzgülü, 50x100 cm</t>
  </si>
  <si>
    <t>Plastik Pastör Pipeti, 3 ml, 1 paket= 500 adet</t>
  </si>
  <si>
    <t>Pipet/Büret için El Pompası (Tek Yollu Puar)</t>
  </si>
  <si>
    <t>Pipet/Büret için El Pompası (Üç Yollu Puar)</t>
  </si>
  <si>
    <t>Pipet Pompası, 2 ml (Mavi), 10 ml (Yeşil), 25 ml (Kırmızı)</t>
  </si>
  <si>
    <t xml:space="preserve">Porselen Havan ve Tokmak, Ø 80 mm </t>
  </si>
  <si>
    <t xml:space="preserve">Porselen Havan ve Tokmak, Ø 100 mm </t>
  </si>
  <si>
    <t xml:space="preserve">Porselen Havan ve Tokmak, Ø 130 mm </t>
  </si>
  <si>
    <t xml:space="preserve">Porselen Havan ve Tokmak, Ø 160 mm </t>
  </si>
  <si>
    <t xml:space="preserve">Porselen Havan ve Tokmak, Ø 190 mm </t>
  </si>
  <si>
    <t>Porselen Pota, Ø 50 mm</t>
  </si>
  <si>
    <t>Porselen Pota, Ø 70 mm</t>
  </si>
  <si>
    <t>Porselen Pota, Ø 80 mm</t>
  </si>
  <si>
    <t>Porselen Pota, Ø 100 mm</t>
  </si>
  <si>
    <t>Porselen Kroze, 25 ml</t>
  </si>
  <si>
    <t>Porselen Kroze, 30 ml</t>
  </si>
  <si>
    <t>Porselen Kroze, 45 ml</t>
  </si>
  <si>
    <t>Porselen Buchner Hunisi, 100 ml</t>
  </si>
  <si>
    <t>Porselen Buchner Hunisi, 120 ml</t>
  </si>
  <si>
    <t>Dijital Termometre, -50 + 300 °C  10 cm</t>
  </si>
  <si>
    <t xml:space="preserve">Dijital Termometre, -50 + 300 °C 31 Cm </t>
  </si>
  <si>
    <t>Dijital, kablolu, Max-Min Termometre, -50 + 70 °C
Ölçüm kablosu : 50 cm, Pil : 1 adet 1.5V AAA</t>
  </si>
  <si>
    <t>Dijital, kablolu Max-Min Termo-Higrometre, -50 + 70 °C</t>
  </si>
  <si>
    <t>Dijital Infrared (Lazer) Termometre, -50 + 380 °C</t>
  </si>
  <si>
    <t xml:space="preserve">Manuel Higrometre. % 20 - % 100 </t>
  </si>
  <si>
    <t>Mekanik Barometre, 940...1060 mb, Ø 100 mm</t>
  </si>
  <si>
    <t>Cam Termometre, Max. 110 °C</t>
  </si>
  <si>
    <t>Cam Termometre, Max. 360 °C</t>
  </si>
  <si>
    <t>Dijital Kronometre</t>
  </si>
  <si>
    <t>Hesap Makinası</t>
  </si>
  <si>
    <t>Mekanik Kumpas, 150 mm</t>
  </si>
  <si>
    <t>Mekanik Kumpas, 300 mm</t>
  </si>
  <si>
    <t>Mekanik Kumpas, 500 mm</t>
  </si>
  <si>
    <t>Mekanik Kumpas, 600 mm</t>
  </si>
  <si>
    <t>Mekanik Kumpas, 1000 mm</t>
  </si>
  <si>
    <t>Dijital Kumpas, 150 mm</t>
  </si>
  <si>
    <t>Dijital Kumpas, 200 mm</t>
  </si>
  <si>
    <t>Dijital Kumpas, 300 mm</t>
  </si>
  <si>
    <t>Dijital Kumpas, 500 mm</t>
  </si>
  <si>
    <t>Nitril Eldiven 1 paket=100 adet</t>
  </si>
  <si>
    <t>Lateks Eldiven, 1 paket= 100 adet</t>
  </si>
  <si>
    <t>Amyant Eldiven</t>
  </si>
  <si>
    <t>Deri Eldiven</t>
  </si>
  <si>
    <t>Nitril Kaplama Pamuk Eldiven</t>
  </si>
  <si>
    <t xml:space="preserve">Lastik Eldiven </t>
  </si>
  <si>
    <t>İşçi Eldiveni, Sarı, Nitril</t>
  </si>
  <si>
    <t>Kıl Fırça, No.1</t>
  </si>
  <si>
    <t>Kıl Fırça, No.1,5</t>
  </si>
  <si>
    <t>Kıl Fırça, No.2</t>
  </si>
  <si>
    <t>Kıl Fırça, No.2,5</t>
  </si>
  <si>
    <t>Kıl Fırça, No.3</t>
  </si>
  <si>
    <t>Kıl Fırça, No.4</t>
  </si>
  <si>
    <t>Tel Fırça, Saplı</t>
  </si>
  <si>
    <t xml:space="preserve">Karıştırma Kabı, Paslanmaz Çelik, Ø 160 mm </t>
  </si>
  <si>
    <t xml:space="preserve">Karıştırma Kabı, Paslanmaz Çelik, Ø 180 mm </t>
  </si>
  <si>
    <t xml:space="preserve">Karıştırma Kabı, Paslanmaz Çelik, Ø 200 mm </t>
  </si>
  <si>
    <t>Şerit Metre, 3 metre</t>
  </si>
  <si>
    <t>Şerit Metre, 5 metre</t>
  </si>
  <si>
    <t>Mikrometre, Analog, 0-25 x  0,01 mm</t>
  </si>
  <si>
    <t>Mikrometre, Analog, 25-50 x  0,01 mm</t>
  </si>
  <si>
    <t>Mikrometre, Dijital, 0-25 mm 
MICROMAR 40 EWR Koruma Sınıfı mevcuttur.</t>
  </si>
  <si>
    <t>Sentil Takımı. 20 parça                                                           
0,05-1,00 arası / 0,05 mm atlamalı.</t>
  </si>
  <si>
    <t>Çelik Cetvel, 150 mm</t>
  </si>
  <si>
    <t>Çelik Cetvel, 300 mm</t>
  </si>
  <si>
    <t>Çelik Cetvel, 500 mm</t>
  </si>
  <si>
    <t>Çelik Cetvel, 1000 mm</t>
  </si>
  <si>
    <t>Kıl Mastar, Paslanmaz Çelik, 75 mm</t>
  </si>
  <si>
    <t>Kıl Mastar, Paslanmaz Çelik, 100 mm</t>
  </si>
  <si>
    <t>Kıl Mastar, Paslanmaz Çelik, 150 mm</t>
  </si>
  <si>
    <t>Kıl Mastar, Paslanmaz Çelik, 200 mm</t>
  </si>
  <si>
    <t>Kıl Mastar, Paslanmaz Çelik, 250 mm</t>
  </si>
  <si>
    <t>Kıl Gönye, 50x40 mm</t>
  </si>
  <si>
    <t>Kıl Gönye, 75x50 mm</t>
  </si>
  <si>
    <t>Kıl Gönye, 100x70 mm</t>
  </si>
  <si>
    <t>Kıl Gönye, 150x100 mm</t>
  </si>
  <si>
    <t>Kıl Gönye, 200x130 mm</t>
  </si>
  <si>
    <t>Şapkalı Gönye, 100x70 mm</t>
  </si>
  <si>
    <t>Şapkalı Gönye, 150x100 mm</t>
  </si>
  <si>
    <t>Şapkalı Gönye, 200x130 mm</t>
  </si>
  <si>
    <t>Şapkalı Gönye, 250x165 mm</t>
  </si>
  <si>
    <t>Şapkalı Gönye, 300x175 mm</t>
  </si>
  <si>
    <t>Şapkalı Gönye, 400x200 mm</t>
  </si>
  <si>
    <t>Şapkalı Gönye, 500x250 mm</t>
  </si>
  <si>
    <t>Düz Gönye, 100x70 mm</t>
  </si>
  <si>
    <t>Düz Gönye, 150x100 mm</t>
  </si>
  <si>
    <t>Düz Gönye, 200x130 mm</t>
  </si>
  <si>
    <t>Düz Gönye, 250x165 mm</t>
  </si>
  <si>
    <t>Düz Gönye, 300x175 mm</t>
  </si>
  <si>
    <t>Düz Gönye, 400x200 mm</t>
  </si>
  <si>
    <t>Düz Gönye, 500x250 mm</t>
  </si>
  <si>
    <t>Gönye, 300x175 mm</t>
  </si>
  <si>
    <t>Numune Kutusu, Kapaklı, Alüminyum, Ø: 150 x 170 mm</t>
  </si>
  <si>
    <t>Numune Kutusu, Kapaklı, Alüminyum, Ø: 140 x 9,5 mm</t>
  </si>
  <si>
    <t>Numune Kutusu, Kapaklı, Alüminyum, Ø: 120 x 120 mm</t>
  </si>
  <si>
    <t>Numune Kutusu, Kapaklı, Alüminyum, Ø: 125 x 100 mm</t>
  </si>
  <si>
    <t>Numune Kutusu, Kapaklı, Alüminyum, Ø: 105 x 100 mm</t>
  </si>
  <si>
    <t>Numune Kutusu, Kapaklı, Alüminyum, Ø: 100 x 70 mm</t>
  </si>
  <si>
    <t>Numune Kutusu, Kapaklı, Alüminyum, Ø: 80 x 90 mm</t>
  </si>
  <si>
    <t>Numune Kutusu, Kapaklı, Alüminyum, Ø: 80 x 45 mm</t>
  </si>
  <si>
    <t>Numune Kutusu, Kapaklı, Alüminyum, Ø: 70 x 45 mm</t>
  </si>
  <si>
    <t>Numune Kutusu, Kapaklı, Alüminyum, Ø: 60 x 60 mm</t>
  </si>
  <si>
    <t>Laboratuvar Küreği, Küçük Boy</t>
  </si>
  <si>
    <t>Laboratuvar Küreği, Orta Boy</t>
  </si>
  <si>
    <t>Laboratuvar Küreği, Büyük Boy</t>
  </si>
  <si>
    <t>Laboratuvar Küreği, Battal Boy</t>
  </si>
  <si>
    <t>Laboratuar Küreği, 5 kg, Beton için. EN 12350-1, BS 1881:101</t>
  </si>
  <si>
    <t>Numune Tepsisi, Paslanmaz Çelik, 20x30x4 cm (No.1)</t>
  </si>
  <si>
    <t>Numune Tepsisi, Paslanmaz Çelik, 23x33x4 cm (No.2)</t>
  </si>
  <si>
    <t>Numune Tepsisi, Paslanmaz Çelik, 26x38x4 cm (No.3)</t>
  </si>
  <si>
    <t>Numune Tepsisi, Paslanmaz Çelik, 29x44x4 cm (No.4)</t>
  </si>
  <si>
    <t>Numune Tepsisi, Paslanmaz Çelik, 31x48x4 cm(No.5)</t>
  </si>
  <si>
    <t>Numune Tepsisi, Paslanmaz Çelik, 20x20x5 cm</t>
  </si>
  <si>
    <t>Numune Tepsisi, Paslanmaz Çelik, 30x30x5 cm</t>
  </si>
  <si>
    <t>Numune Tepsisi, Paslanmaz Çelik, 40x40x5 cm</t>
  </si>
  <si>
    <t>Numune Tepsisi, Paslanmaz Çelik, 50x50x5 cm</t>
  </si>
  <si>
    <t>Numune Tepsisi, Paslanmaz Çelik, 60x60x5 cm</t>
  </si>
  <si>
    <t>Numune Tepsisi, Paslanmaz Çelik, 100x100x5 cm</t>
  </si>
  <si>
    <t>Numune Tepsisi, Paslanmaz Çelik, 30x30x7 cm</t>
  </si>
  <si>
    <t>Numune Tepsisi, Paslanmaz Çelik, 40x40x7 cm</t>
  </si>
  <si>
    <t>Numune Tepsisi, Paslanmaz Çelik, 50x50x7 cm</t>
  </si>
  <si>
    <t>Numune Tepsisi, Paslanmaz Çelik, 60x60x7 cm</t>
  </si>
  <si>
    <t>Numune Tepsisi, Paslanmaz Çelik, 100x100x7 cm</t>
  </si>
  <si>
    <t>Numune Tepsisi, Paslanmaz Çelik, 30x30x8 cm</t>
  </si>
  <si>
    <t>Numune Tepsisi, Paslanmaz Çelik, 40x40x8 cm</t>
  </si>
  <si>
    <t>Numune Tepsisi, Paslanmaz Çelik, 50x50x8 cm</t>
  </si>
  <si>
    <t>Numune Tepsisi, Paslanmaz Çelik, 60x60x8 cm</t>
  </si>
  <si>
    <t>Numune Tepsisi, Paslanmaz Çelik, 100x100x8 cm</t>
  </si>
  <si>
    <t>Numune Tepsisi, Paslanmaz Çelik, 40x40x10 cm</t>
  </si>
  <si>
    <t>Numune Tepsisi, Paslanmaz Çelik, 50x50x10 cm</t>
  </si>
  <si>
    <t>Numune Tepsisi, Paslanmaz Çelik, 60x60x10 cm</t>
  </si>
  <si>
    <t>Numune Tepsisi, Paslanmaz Çelik, 100x100x10 cm</t>
  </si>
  <si>
    <t>Esnek Spatula, Tahta Saplı, 100 mm</t>
  </si>
  <si>
    <t>Esnek Spatula, Tahta Saplı, 150 mm</t>
  </si>
  <si>
    <t>Esnek Spatula, Tahta Saplı, 200 mm</t>
  </si>
  <si>
    <t>Spatula, Küçük Boy</t>
  </si>
  <si>
    <t>Spatula, Orta Boy</t>
  </si>
  <si>
    <t>Spatula, Büyük Boy</t>
  </si>
  <si>
    <t>Kroze Maşası, 250 mm</t>
  </si>
  <si>
    <t>Kroze Maşası, 300 mm</t>
  </si>
  <si>
    <t>Kroze Maşası, 450 mm</t>
  </si>
  <si>
    <t>Maşa</t>
  </si>
  <si>
    <t>Su Terazisi, 60 cm</t>
  </si>
  <si>
    <t>Su Terazisi, 100 cm</t>
  </si>
  <si>
    <t>Kaba Filtre Kağıdı. 1 paket=250 adet</t>
  </si>
  <si>
    <t>Ayarlı Pense</t>
  </si>
  <si>
    <t>Makas</t>
  </si>
  <si>
    <t>Düz Tornavida</t>
  </si>
  <si>
    <t>Yıldız Tornavida</t>
  </si>
  <si>
    <t>Alyan Takımı</t>
  </si>
  <si>
    <t>Bıçak</t>
  </si>
  <si>
    <t>Sivri uçlu Kazma</t>
  </si>
  <si>
    <t>Numune Alma Kaşığı</t>
  </si>
  <si>
    <t>Mala</t>
  </si>
  <si>
    <t>Tirfil Mala</t>
  </si>
  <si>
    <t>Çekiç 0.5 Kg</t>
  </si>
  <si>
    <t>Çekiç 1 Kg</t>
  </si>
  <si>
    <t>Çekiç 1.5 Kg</t>
  </si>
  <si>
    <t>Çekiç 2 Kg</t>
  </si>
  <si>
    <t>Balyoz 3 Kg ve Balyoz Sapı</t>
  </si>
  <si>
    <t>Balyoz 5 Kg ve Balyoz Sapı</t>
  </si>
  <si>
    <t>Kürek ve Kürek Sapı</t>
  </si>
  <si>
    <t>Murç. 30 cm. Kullanıcı güvenliği açısından plastik tutma kollu.</t>
  </si>
  <si>
    <t>Düz Keski</t>
  </si>
  <si>
    <t>Keser</t>
  </si>
  <si>
    <t>Kıl Testere Teli 1 paket:12 ad.</t>
  </si>
  <si>
    <t>Kafa Lambası</t>
  </si>
  <si>
    <t>Laboratuvar Arabası. 3 Katlı. Galvaniz kaplama. 60 x 90 cm</t>
  </si>
  <si>
    <t>El Arabası</t>
  </si>
  <si>
    <t>Takım Çantası</t>
  </si>
  <si>
    <t>Vakum Pompası, Tek Kademe, 70 lt/dak. Akış Hızı, 2 Pa Vakum Gücü, Yağlı Tip, 220 V, 50-60 Hz, 1 Ph</t>
  </si>
  <si>
    <t>Vakum Pompası, Tek Kademe, 100 lt/dak. Akış Hızı, 2 Pa Vakum Gücü, Yağlı Tip, 220 V, 50-60 Hz, 1 Ph</t>
  </si>
  <si>
    <t>Vakum Pompası, Tek Kademe, 170 lt/dak. Akış Hızı, 2 Pa Vakum Gücü, Yağlı Tip, 220 V, 50-60 Hz, 1 Ph</t>
  </si>
  <si>
    <t>Vakum Pompası, Tek Kademe, 226 lt/dak. Akış Hızı, 2 Pa Vakum Gücü, Yağlı Tip, 220 V, 50-60 Hz, 1 Ph</t>
  </si>
  <si>
    <r>
      <t>Vakum Pompası, Çift Kademe, 42 lt/dak. Akış Hızı, 2x10</t>
    </r>
    <r>
      <rPr>
        <sz val="10"/>
        <rFont val="Cambria"/>
        <family val="1"/>
        <charset val="162"/>
      </rPr>
      <t>‾¹</t>
    </r>
    <r>
      <rPr>
        <sz val="10"/>
        <rFont val="Cambria"/>
        <family val="1"/>
        <charset val="162"/>
      </rPr>
      <t xml:space="preserve"> Pa Vakum Gücü, Yağlı Tip, 220 V, 50-60 Hz, 1 Ph</t>
    </r>
  </si>
  <si>
    <r>
      <t>Vakum Pompası, Çift Kademe, 70 lt/dak. Akış Hızı, 2x10</t>
    </r>
    <r>
      <rPr>
        <sz val="10"/>
        <rFont val="Cambria"/>
        <family val="1"/>
        <charset val="162"/>
      </rPr>
      <t>‾¹</t>
    </r>
    <r>
      <rPr>
        <sz val="10"/>
        <rFont val="Cambria"/>
        <family val="1"/>
        <charset val="162"/>
      </rPr>
      <t xml:space="preserve"> Pa Vakum Gücü, Yağlı Tip, 220 V, 50-60 Hz, 1 Ph</t>
    </r>
  </si>
  <si>
    <r>
      <t>Vakum Pompası, Çift Kademe, 128 lt/dak. Akış Hızı, 2x10</t>
    </r>
    <r>
      <rPr>
        <sz val="10"/>
        <rFont val="Cambria"/>
        <family val="1"/>
        <charset val="162"/>
      </rPr>
      <t>‾¹</t>
    </r>
    <r>
      <rPr>
        <sz val="10"/>
        <rFont val="Cambria"/>
        <family val="1"/>
        <charset val="162"/>
      </rPr>
      <t xml:space="preserve"> Pa Vakum Gücü, Yağlı Tip, 220 V, 50-60 Hz, 1 Ph</t>
    </r>
  </si>
  <si>
    <r>
      <t>Vakum Pompası, Çift Kademe, 170 lt/dak. Akış Hızı, 2x10</t>
    </r>
    <r>
      <rPr>
        <sz val="10"/>
        <rFont val="Cambria"/>
        <family val="1"/>
        <charset val="162"/>
      </rPr>
      <t>‾¹</t>
    </r>
    <r>
      <rPr>
        <sz val="10"/>
        <rFont val="Cambria"/>
        <family val="1"/>
        <charset val="162"/>
      </rPr>
      <t xml:space="preserve"> Pa Vakum Gücü, Yağlı Tip, 220 V, 50-60 Hz, 1 Ph</t>
    </r>
  </si>
  <si>
    <r>
      <t>Vakum Pompası, Çift Kademe, 226 lt/dak. Akış Hızı, 2x10</t>
    </r>
    <r>
      <rPr>
        <sz val="10"/>
        <rFont val="Cambria"/>
        <family val="1"/>
        <charset val="162"/>
      </rPr>
      <t>‾¹</t>
    </r>
    <r>
      <rPr>
        <sz val="10"/>
        <rFont val="Cambria"/>
        <family val="1"/>
        <charset val="162"/>
      </rPr>
      <t xml:space="preserve"> Pa Vakum Gücü, Yağlı Tip, 220 V, 50-60 Hz, 1 Ph</t>
    </r>
  </si>
  <si>
    <t>Ø 63 mm 1000 mbar Manometre</t>
  </si>
  <si>
    <t>Kompresör 8 Bar / 50 lt. 220 V, 50 Hz, 1 ph
Hava Tabancası ve Spiral hortum ile birlikte</t>
  </si>
  <si>
    <t>Kompresör 8 Bar / 100 lt. 220 V, 50 Hz, 1 ph
Hava Tabancası ve Spiral hortum ile birlikte</t>
  </si>
  <si>
    <t>Kompresör 10Bar / 100 lt. 380 V, 50 Hz, 3 ph
Hava Tabancası ve Spiral hortum ile birlikte</t>
  </si>
  <si>
    <t>Kompresör 12 Bar / 200 lt. 380 V, 50 Hz, 3 ph
Hava Tabancası ve Spiral hortum ile birlikte</t>
  </si>
  <si>
    <t>Kompresör 8 Bar / 200 lt. 220 V, 50 Hz, 1 ph
Hava Tabancası ve Spiral hortum ile birlikte</t>
  </si>
  <si>
    <t>Darbeli Matkap;
Giriş gücü 650 W
Çıkış gücü 338 W
Maks. tork 9,0 Nm
Boştaki devir sayısı 50 – 3.000 dak-1
Darbe sayısı 48.000 dak-1
Ağırlığı 1,9 kg
Delme çapı
Betonda maks. delme çapı 14 mm
Çelikte maks. delme çapı 12 mm
Ahşapta maks. delme çapı 30 mm</t>
  </si>
  <si>
    <t>Darbeli Matkap;
Giriş gücü 500 W
Çıkış gücü 228 W
Maks. tork 7,5 Nm
Boştaki devir sayısı 50 – 3.000dev/dak
Darbe sayısı 33000dev/dak
Ağırlığı 1,6 kg
Delme çapı
Betonda maks. delme çapı 10 mm
Çelikte maks. delme çapı 8 mm
Ahşapta maks. delme çapı 25 mm</t>
  </si>
  <si>
    <t xml:space="preserve">Dijital Lazer Metre, 25 m. 
4 x 1,5 V LR03 (AAA) pil ve Koruma Kılıfı ile birlikte verilmektedir. </t>
  </si>
  <si>
    <t xml:space="preserve">Dijital Lazer Metre, 50 m. 
4 x 1,5 V LR03 (AAA) pil ve Koruma Kılıfı ile birlikte verilmektedir. </t>
  </si>
  <si>
    <t>Cep Tipi pH metre</t>
  </si>
  <si>
    <t>Cep Tipi pH metre. HANNA Marka.</t>
  </si>
  <si>
    <t>Portatif pH metre</t>
  </si>
  <si>
    <t>Portatif pH metre. HANNA Marka.</t>
  </si>
  <si>
    <t>Masa Üstü pH metre</t>
  </si>
  <si>
    <t>Masa Üstü pH metre. HANNA Marka.</t>
  </si>
  <si>
    <t>Masa Üstü pH metre. Bilgisayar Bağlantılı.</t>
  </si>
  <si>
    <t>Ph kağıdı (0-14)</t>
  </si>
  <si>
    <t>Ph metre solüsyonu. 100 ml SACHET Kalibrasyon Sıvısı</t>
  </si>
  <si>
    <t>Ph metre solüsyonu. 250 ml ambalajlı Kalibrasyon Sıvısı</t>
  </si>
  <si>
    <t>Ph metre solüsyonu. 500 ml ambalajlı Kalibrasyon Sıvısı</t>
  </si>
  <si>
    <t>Civa. 100 gr</t>
  </si>
  <si>
    <t>Trikloretilen. 1 lt</t>
  </si>
  <si>
    <t>Trikloretilen 20 kg</t>
  </si>
  <si>
    <t>Trikloretilen 50 kg</t>
  </si>
  <si>
    <t>30 lt Trikloretilen kapasiteli Bidon</t>
  </si>
  <si>
    <t>60 lt Trikloretilen kapasiteli Bidon</t>
  </si>
  <si>
    <t>Trikloretilen. 1 varil 300kg</t>
  </si>
  <si>
    <t>Gümüş Nitrat. 100 g</t>
  </si>
  <si>
    <t>Potasyum Nitrat 1 kg</t>
  </si>
  <si>
    <t>Potasyum Kromat 1 kg</t>
  </si>
  <si>
    <t>Sodyum Hidroksit, 1 kg (Merck)</t>
  </si>
  <si>
    <t>Sodyum Sülfat, Na2SO4, 50 kg</t>
  </si>
  <si>
    <t>Baryum Klorür 1 kg</t>
  </si>
  <si>
    <t>Potasyum Hidroksit, 1 kg (Merck)</t>
  </si>
  <si>
    <t>Saf su, 5 lt</t>
  </si>
  <si>
    <t>Etil Alkol, 1 lt</t>
  </si>
  <si>
    <t>Hidroklorik asit, 1 lt</t>
  </si>
  <si>
    <t>Sülfürik Asit 1 lt</t>
  </si>
  <si>
    <t>Kaolinit, 500 gr</t>
  </si>
  <si>
    <t>Metilen toz; 100 gr</t>
  </si>
  <si>
    <t>Kristal Kalsiyum Klorür, 1 kg</t>
  </si>
  <si>
    <t>Gliserin, 1 kg</t>
  </si>
  <si>
    <t>Gliserin, 5 kg</t>
  </si>
  <si>
    <t>Sodyum hekzametafosfat, 1 kg</t>
  </si>
  <si>
    <t>Formaldehit, 1 lt</t>
  </si>
  <si>
    <t>Parafin, 1kg</t>
  </si>
  <si>
    <t>Silika Jel, 1 kg</t>
  </si>
  <si>
    <t>Lityum klorür 250 gr Merck</t>
  </si>
  <si>
    <t>Kesafet Deneyleri için Özel kum. 1000 gr</t>
  </si>
  <si>
    <t>Saf su cihazı 4 lt, 220 V, 50 Hz, 1 ph</t>
  </si>
  <si>
    <t>Saf su cihazı 6 lt, 380 V, 50-60 Hz, 3 ph</t>
  </si>
  <si>
    <t>Saf su cihazı 7 lt, 380 V, 50-60 Hz, 3 ph</t>
  </si>
  <si>
    <t>Saf su cihazı 8 lt, 380 V, 50-60 Hz, 3 ph</t>
  </si>
  <si>
    <t>Saf su cihazı 10 lt, 380 V, 50-60 Hz, 3 ph</t>
  </si>
  <si>
    <t>Saf su cihazı 12 lt, 380 V, 50-60 Hz, 3 ph</t>
  </si>
  <si>
    <t>Yük Hücresi -1 kN Kapasiteli, S tipi</t>
  </si>
  <si>
    <t>Yük Hücresi -2 kN Kapasiteli, S tip</t>
  </si>
  <si>
    <t>Yük Hücresi -5 kN Kapasiteli, S tipi</t>
  </si>
  <si>
    <t>Yük Hücresi -10 kN Kapasiteli, Yassı tip</t>
  </si>
  <si>
    <t>Yük Hücresi -20 kN Kapasiteli, Yassı tip</t>
  </si>
  <si>
    <t>Yük Hücresi -50 kN Kapasiteli, Yassı tip</t>
  </si>
  <si>
    <t>Yük Hücresi -100 kN Kapasiteli, Yassı tip</t>
  </si>
  <si>
    <t>Yük Hücresi -300 kN Kapasiteli, Yassı tip</t>
  </si>
  <si>
    <t>Yük Hücresi -600 kN Kapasiteli, Yassı tip</t>
  </si>
  <si>
    <t>Yük Hücresi -1000 kN Kapasiteli, Yassı tip</t>
  </si>
  <si>
    <t>Yük Halkası -10 kN Kapasiteli</t>
  </si>
  <si>
    <t>Yük Halkası -28 kN Kapasiteli</t>
  </si>
  <si>
    <t>Yük Halkası -50 kN Kapasiteli</t>
  </si>
  <si>
    <t>Statik Unilogger, 4 Kanallı Veri Okuma Ünitesi</t>
  </si>
  <si>
    <t>Elektromekanik Karo Eğilme Test Cihazı. Dijital grafik ekranlı okuma ünitesi ile birliktedir.  Cihaz elektromekanik bir motor ile çalışmaktadır ve maksimum kapasitesi 50 kN'dur. Cihaz, bilgisayardan otomatik olarak yada kontrol ünitesinden manuel yada otomatik olarak kontrol edilebilmektedir. Cİhaz, herhangi bir bilgisayara seri port yada USB ile bağlanabilmektedir. Programda test verileri kaydedilebilir ve yazıcıdan çıktı alınabilmektedir. Yazılım, cihaz ile birlikte ücretsiz olarak verilmektedir.</t>
  </si>
  <si>
    <t>Elektromekanik Üniversal Test Cihazı, 5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</si>
  <si>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Elektromekanik Üniversal Test Cihazı, 10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</si>
  <si>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Elektromekanik Üniversal Test Cihazı, 20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</si>
  <si>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Elektromekanik Üniversal Test Cihazı, 50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</si>
  <si>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Elektromekanik Üniversal Test Cihazı, 100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</si>
  <si>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Elektromekanik Üniversal Test Cihazı, 200 kN kapasiteli, tam otomatik, çekme çeneleri ile birlikte. Yük ve deplasman kontrollü çekme, basma eğilme deneyleri yapılabilir. Metal, zemin, beton, asfalt, çimento ve benzeri malzemelerde test yapmak için uygun aksesuarlar ayrıca sipariş edilmelidir. 220-240V, 50-60Hz, 1faz.</t>
  </si>
  <si>
    <t>20 kN Kapasiteli Servo-Elektromekanik Universal Test Cihazı
20 kN Kapasiteli Servo-Elektromekanik Universal Cam Test Sistemi: Duvarlı tip test gövdesi, yük
ölçüm ve kontrolü için yük hücresi, posizyon ölçüm ve kontrolü için ipli encoder sisteminden
oluşmaktadır. Cihaz tek test alanlı yapıya sahiptir. Eğilme test aparatları fiyata dahildir.
Yük Ölçüm ve Kontrolü: Yük hücresi ile ISO 7500-1 standartlarına göre sınıf 0.5 ve daha iyi
hassasiyetle gerçekleştirilir. Pozisyon ölçümü ve kontrolü ipli encoder ile 0.001 mm hassasiyetle
yapılabilir. Pozisyon yükleme hızı 0.001/dk ile 150 mm/dk arasında ayarlanabilir.
Elektronik kontrol ünitesi: Kontrol ünitesi kullanılarak saniyede 1000 veri alma hızı (1 kHz). 24 bir
çözünürlik ve yüksek hassasiyete sahiptir.
Test Yazılımı: Test Yazılımı (Yük ve deplasman) vb. kontrollüne uygun . Liyatest Universal Test
Yazılımı ile yük, deplasman ve deformasyon(strain) kontrolüne izin verir yapıda çekme, basma, eğilme,
kısa süreli creep, stress relaxation gibi testlerin yanı sıra tekrarlı yüklemelere elverişlidir.
Hız ölçüm hassasiyeti %±0,1 Deplasman ölçüm ve kontrol çözünürlüğü ; 0,001 mm ( Encoder Sistemi
ile) Dikey test açıklığı ;≥ 250 mm</t>
  </si>
  <si>
    <t>150 Joule Charpy/Izod Test Cihazı</t>
  </si>
  <si>
    <t>300 Joule Charpy/Izod Test Cihazı</t>
  </si>
  <si>
    <t>450 Joule Charpy/Izod Test Cihazı</t>
  </si>
  <si>
    <t>Konteyner 3*7 m;
Elektrik, su tesisatı, mutfak dolabı ve mutfak tezgahı bulunmaktadır. Cihazlar konteynıra monte edilmiş bir şekilde teslim edilecektir.</t>
  </si>
  <si>
    <t xml:space="preserve">CLOR ION GEÇİRGENLİK TEST CİHAZI 4 KANALLI 4 SET KALIP İLE BİRLİKTE VERİLMEKTEDİR. VAKUM POMPASI VE VAKUM HORTUMU , BÜYÜK TİP VAKUMLU DESİKATÖR, SODYUM HİDROOKSİT (1 KG), SODYUM KLORÜR (1 KG) AYRICA SİPARİŞ VERİLMELİDİR. </t>
  </si>
  <si>
    <t>Karot Yarilama Makinasi(Taş Kesme Makinasi). Max.120 mm çap min. 45 mm arasindaki çeşitli ebatlardaki kayaç beton ve karot numunelerini kesmek ve karot numunelerinden iki yarim silindir elde etmek için tasarlanmiştir.  350 mm biçak çapi, 125 mm kesme derinliği 1 metre de yarilama uzunluğu kapasitelidir.</t>
  </si>
  <si>
    <t>Çeneli Kırıcı; Çene açıklığı 100x100 mm 'dir.
Cihaz ; kırılan numuneleri toplamak için 5 litre kapasiteli toplama kabına sahiptir. 380 V, 50-60 Hz, 3 ph</t>
  </si>
  <si>
    <t>100 MM lik Çene kırıcı çenesi (Manganlı  döküm)</t>
  </si>
  <si>
    <t>Çeneli Kırıcı; Çene açıklığı 100x200 mm 'dir.
Cihaz ; kırılan numuneleri toplamak için 5 litre kapasiteli toplama kabına sahiptir. 380 V, 50-60 Hz, 3 ph</t>
  </si>
  <si>
    <t>Çeneli Kırıcı; Çene açıklığı 200x300 mm 'dir.
Cihaz ; kırılan numuneleri toplamak için toplama kabına sahiptir. 380 V, 50-60 Hz, 3 ph</t>
  </si>
  <si>
    <t>Çeneli Kırıcı Güvenlik Kabini</t>
  </si>
  <si>
    <r>
      <t>LT2000-P Pnömatik Diskli Öğütücü, öğütücü sesini azaltan ses yalıtımlı koruma kapağı ve koruma kapağı emniyet sensörü ile birlikte. CE kalite kontrol belgeli.  
Öğütme sistemi, 2000 cc hacimli kaplara kadar alabilmektedir.
Öğütme tablasına bağlı olan egzantrik eksen sayesinde 3 boyutlu öğütme hareketi
10-15mm boyutundaki numuneyi %80 ni 75 mic. boyutuna öğütebilme .</t>
    </r>
    <r>
      <rPr>
        <i/>
        <sz val="10"/>
        <rFont val="Cambria"/>
        <family val="1"/>
        <charset val="162"/>
      </rPr>
      <t xml:space="preserve"> </t>
    </r>
    <r>
      <rPr>
        <sz val="10"/>
        <rFont val="Cambria"/>
        <family val="1"/>
        <charset val="162"/>
      </rPr>
      <t>380 V, 50-60 Hz, 3 ph</t>
    </r>
    <r>
      <rPr>
        <i/>
        <sz val="10"/>
        <rFont val="Cambria"/>
        <family val="1"/>
        <charset val="162"/>
      </rPr>
      <t xml:space="preserve">.                         </t>
    </r>
    <r>
      <rPr>
        <b/>
        <i/>
        <sz val="10"/>
        <rFont val="Cambria"/>
        <family val="1"/>
        <charset val="162"/>
      </rPr>
      <t>(Kompresör Ayrıca Şipariş verilmelidir.)</t>
    </r>
  </si>
  <si>
    <t>Diskli Öğütücü Haznesi 100 cc</t>
  </si>
  <si>
    <t>Diskli Öğütücü Haznesi 600 cc</t>
  </si>
  <si>
    <t>Diskli Öğütücü Haznesi 800 cc</t>
  </si>
  <si>
    <t>Diskli Öğütücü Haznesi 1000 cc</t>
  </si>
  <si>
    <t>Diskli Öğütücü Haznesi 2000 cc</t>
  </si>
  <si>
    <t xml:space="preserve">Basınçlı filtrenin süzme yapan silindir haznesinin dış çapı 250±5 mm ve 304 paslanmaz çelikten imal edilmiştir.
Silindir haznenin boyu 400±5 mm olup, haznedeki et kalınlığı 6 mm’dir. 10 bara kadar Ayarlama yapan şartlandırıcı ile basınç ayarı Yapılabilmektedir. Cihaz ile birlikte 50 adet filtre kağıdı, 5 adet filtre bezi ve 1 adet filtre teli verilmektedir. </t>
  </si>
  <si>
    <t>Vakumlu Filtre, Ø 250 x 60 mm çelikten imal edilmiş, korozyona karşı çinko kaplı   filtre haznesi ve kapağı, Çift Kademeli İsviçre Malı  Refco Vakum Pompası ile cam  su ayırıcı ara kabı ile, filtre kağıtları ile ve Vakum Hortumları ile birlikte verilmektedir.</t>
  </si>
  <si>
    <r>
      <t xml:space="preserve">Yatay Aşındırma Cihazı (BÖHME CİHAZI); Numune yüzeylerinin düzgün olacak
şekilde ıslak yöntemle aşındırması için kullanılır.
Dönme hızı 30 </t>
    </r>
    <r>
      <rPr>
        <sz val="11"/>
        <color theme="1"/>
        <rFont val="Calibri"/>
        <family val="2"/>
        <scheme val="minor"/>
      </rPr>
      <t>±</t>
    </r>
    <r>
      <rPr>
        <sz val="8.5"/>
        <rFont val="Cambria"/>
        <family val="1"/>
        <charset val="162"/>
      </rPr>
      <t xml:space="preserve"> 1 </t>
    </r>
    <r>
      <rPr>
        <sz val="10"/>
        <rFont val="Cambria"/>
        <family val="1"/>
        <charset val="162"/>
      </rPr>
      <t>dev/dak. İstenilen devir sayısı sonunda(22 devir) otomatik devre kesme tertibatı bulunmaktadır. Dijital Devir göstergeli, Aşınmaya karşı dayanıklı tabla 750 mm çapındadır.
Aşındırma Tozu Ayrıca Sipariş Edilmelidir.
220 V, 50-60 Hz, 1 ph</t>
    </r>
  </si>
  <si>
    <t>Yatay Aşındırma Tozu, 50Kg</t>
  </si>
  <si>
    <t>Merdaneli Kırıcı;
Merdane Ölçüleri: 250x150 mm,
Kırılan parça büyüklüğü en fazla 12 mm.
380 V, 50-60 Hz, 3 ph.</t>
  </si>
  <si>
    <t>Doğal Taşlar ve Beton için Dikey Aşındırma Cihazı; Aşınma diskinin kalınlığı 70mm ve devir sayısı 75 dev/dak.'dır. Dijital sayıcısı sayesinde ayarlanan dönüş sayısı sonunda otomatik olarak durur.
380V, 50-60 Hz, 1 ph</t>
  </si>
  <si>
    <t>Dikey Aşındırma Tozu, 50Kg</t>
  </si>
  <si>
    <t>Dikey Aşındırma Tozu, 1 Kg</t>
  </si>
  <si>
    <t xml:space="preserve">Kalibrasyon (Boulonnaise) Mermeri </t>
  </si>
  <si>
    <t>Tuğla ve Fayans için Dikey Aşındırma Cihazı; Aşınma diskinin kalınlığı 10mm ve devir sayısı 75 dev/dak.'dır. Dijital sayıcısı sayesinde ayarlanan dönüş sayısı sonunda otomatik olarak durur.
380V, 50-60 Hz, 1 ph</t>
  </si>
  <si>
    <t>Tuğla ve Fayans Aşındırma için Özel Kalıp (EN 12808-2)</t>
  </si>
  <si>
    <t>Diskli öğütücü ( BICO Muadili). 200X30 mm Diskler arası mesafe 0 ile 10 mm arası ayarlanabilir.  380 V, 50-60 Hz, 3 ph (Halkalı Öğütücü Özel Hazneli)</t>
  </si>
  <si>
    <t xml:space="preserve"> (Halkalı Öğütücü  380 V, 50-60 Hz, 3 ph</t>
  </si>
  <si>
    <t>Halkalı Öğütücü için Öğütme Seti. 50cc</t>
  </si>
  <si>
    <t>Halkalı Öğütücü için Öğütme Seti. 100cc,</t>
  </si>
  <si>
    <t>Halkalı Öğütücü için Öğütme Seti. 250cc</t>
  </si>
  <si>
    <t>Halkalı Öğütücü için Öğütme Seti. 800cc</t>
  </si>
  <si>
    <t>Devirme Mekanizmalı Bilyalı – Çubuklu Değirmen , Değirmen dönme hızı 0–100 dev/dak arası kademesiz ayarlanabilir. Cihaz ekranından çalışma süresi girilibelir olup, süre bittiği zaman cihaz otomatik olarak durmaktadır. Degirmen tüpü, Ø178×362 mm iç ölçülerde 9 lt, iç hacimlidir. Cihaz  304 kalite paslanmaz çubuk seti ile birilikte verilmektedir. 220 V, 50-60 hZ, 1 ph</t>
  </si>
  <si>
    <t>BİLYALI VE ÇUBUKLU DEĞİRMEN DÖNDÜRÜCÜ BOTTLE ROLL TABLE  , Denver Tipi Benzeri tasarımlı,  2 adet Ø 80 x 900 mm ölçüsünde kauçuk kaplı rulolu şekilde verilmektedir. BİLYALI DEĞİRMEN DÖNDÜRÜCÜ İÇİN  SES VE TOZ İZOLASYON KABİNİ,Önden açılır kapaklı, içi akustik  sünger kaplamalı olcak şekilde tasarlanmıştır.</t>
  </si>
  <si>
    <t xml:space="preserve">PASLANMAZ ÇELİK 6 lt DEĞİRMEN TÜPÜ ,1 adet 6 lt lik Ø 200 x 200 mm iç ölçülerinde kauçuk contalı, yaş ve kuru öğütmeye uygun AISI  304 Kalite  paslanmaz çelik değirmen tüpü, 1 şarj  ısıl işlemle  
sertleştirilmiş, aşınmaya mukavim öğütme bilyeleri  ile birlikte verilmektedir.
</t>
  </si>
  <si>
    <t xml:space="preserve">PASLANMAZ ÇELİK 9 lt DEĞİRMEN TÜPÜ , tasarımlı 1 adet 9 lt lik Ø 200 x 300 mm iç ölçülerinde kauçuk contalı, yaş ve kuru öğütmeye uygun AISI  304 Kalite  paslanmaz çelik değirmen tüpü, 1 şarj  ısıl işlemle sertleştirilmiş, krom alaşımlı aşınmaya mukavim öğütme bilyeleri ve 1 şarj AISI 304 kalite paslanmaz çelik çubuk ile birlikte verilmekteir.
</t>
  </si>
  <si>
    <t>HİDROLİK MADEN KIRMA PRESİ 30 TON</t>
  </si>
  <si>
    <t>TAMBURLU  ÖĞÜTÜCÜ 50LT</t>
  </si>
  <si>
    <t>PLANET BİLYALI DEĞİRMEN</t>
  </si>
  <si>
    <t>Şişe Çevirici (Bottle Roller Machine) 
Sistem 3 Katlı olup her katında 5 adet şişe aynı anda, toplamda 15 şişe dönmekteidr. Cihaz zaman ayarlı olup zaman bsayacı sıfırlandıktan sonra cihaz ototmatik olarak durmaktadır. 
Şişeler Ayrıca Sipariş Edilmelidir.</t>
  </si>
  <si>
    <t>Şişe Çevirici (Bottle Roller Machine) Hava Dağıtım Sistemli
Sistem 3 Katlı olup her katında 5 adet şişe aynı anda, toplamda 15 şişe dönmekteidr. Cihaz zaman ayarlı olup zaman bsayacı sıfırlandıktan sonra cihaz ototmatik olarak durmaktadır. 
Şişeler Ayrıca Sipariş Edilmelidir.</t>
  </si>
  <si>
    <t>Şişe Çevirici (Bottle Roller Machine) 
1 SIRALI TOPLAM 2 ADET PLASTİK ŞİŞELİ OTOMATİK ŞİŞE DÖNDÜRME MAKİNASI,
PLASTİK ŞİŞELER AYRICA SİPARİŞ EDİLMELİDİR</t>
  </si>
  <si>
    <t>120 lt Otomatik Numune Bölücü</t>
  </si>
  <si>
    <t xml:space="preserve">Döner Numune Bölücü (8x250ml)-Şişeli </t>
  </si>
  <si>
    <t xml:space="preserve">Döner Numune Bölücü (8x500ml)-Şişeli </t>
  </si>
  <si>
    <t xml:space="preserve">Döner Numune Bölücü (8x1000ml)-Şişeli </t>
  </si>
  <si>
    <t>DÖNER NUMUNE BÖLÜCÜ 20-100 LT</t>
  </si>
  <si>
    <t>ÇÖZÜNÜRLÜK KOLONLARI</t>
  </si>
  <si>
    <t>Flotasyon Cihazı
Makinenin tabanı dökme demirden; destek kolonu ve kolu, sürüş muhafazası dökme alüminyumdan imal edilmiştir.
Pervane hızı 700-2800 devir arasında kademesiz olarak ayarlanabilir
Dijital elektronik devir göstergesi ve koruyucu motor başlatma/durdurma anahtarı
Bir seferde 250-2000 gram arasında örnekle çalışabilir
Flotasyon kafaları kolayca değiştirilebilir
Pleksiglas flotasyon hücresi hacimleri 3, 4 litredir
Elektrik Motoru: 1 hp, 1400 rpm, 380 V, 3p</t>
  </si>
  <si>
    <t xml:space="preserve">Jeolog Çekici Pointed Tip
</t>
  </si>
  <si>
    <t>ALTIN YIKAMA TAVASI</t>
  </si>
  <si>
    <t>ŞİŞE DÖNDÜRÜCÜ</t>
  </si>
  <si>
    <t>Vakum Filtresi</t>
  </si>
  <si>
    <t xml:space="preserve">ORANTILI NUMUNE BÖLÜCÜ </t>
  </si>
  <si>
    <t>Çekiçli Kırıcı Ø 300 X 190 mm</t>
  </si>
  <si>
    <t>Tambur Test Cihazı, Motor, 2 adet  tambura 5-31 devir/dakika arasında dönme hızı uygulayabilmektedir. Cihaz içinde 2 adet 900x50x5 mm kanat bulunmaktadır. Tamburum ölçüleri iç Ø 800 mm x 900 mm dir. Devir sayıcısı sayesinde motor ayarlanan sayıda dönerek durur. 220 V, 50-60Hz, 1ph</t>
  </si>
  <si>
    <t xml:space="preserve">DRUM MILL 50LT </t>
  </si>
  <si>
    <t>MICUM TAMBUR CİHAZI</t>
  </si>
  <si>
    <t>Soğuk Basma Test Cihazı (Misket Kırma)</t>
  </si>
  <si>
    <t>Soğuk Bükme Test Cihazı</t>
  </si>
  <si>
    <t>Bölgeç 7mm, 12 oluklu, 3 adet toplama kabı ile birlikte verilmektedir.Elektrostatik toz boya</t>
  </si>
  <si>
    <t>Bölgeç 13mm, 12 oluklu, 3 adet toplama kabı ile birlikte verilmektedir.Elektrostatik toz boya</t>
  </si>
  <si>
    <t>Bölgeç 15mm, 12 oluklu, 3 adet toplama kabı ile birlikte verilmektedir.Elektrostatik toz boya</t>
  </si>
  <si>
    <t>Bölgeç 19mm, 12 oluklu, 3 adet toplama kabı ile birlikte verilmektedir.Elektrostatik toz boya</t>
  </si>
  <si>
    <t>Bölgeç 25mm, 12 oluklu, 3 adet toplama kabı ile birlikte verilmektedir.Elektrostatik toz boya</t>
  </si>
  <si>
    <t>Bölgeç 30mm, 12 oluklu, 3 adet toplama kabı ile birlikte verilmektedir.Elektrostatik toz boya</t>
  </si>
  <si>
    <t>Bölgeç 38mm, 12 oluklu, 3 adet toplama kabı ile birlikte verilmektedir.Elektrostatik toz boya</t>
  </si>
  <si>
    <t>Bölgeç 45mm, 12 oluklu, 3 adet toplama kabı ile birlikte verilmektedir.Elektrostatik toz boya</t>
  </si>
  <si>
    <t>Bölgeç 50mm, 12 oluklu, 3 adet toplama kabı ile birlikte verilmektedir.Elektrostatik toz boya</t>
  </si>
  <si>
    <t>Bölgeç 64mm, 12 oluklu, 3 adet toplama kabı ile birlikte verilmektedir.Elektrostatik toz boya</t>
  </si>
  <si>
    <t>Bölgeç 75mm, 12 oluklu, 3 adet toplama kabı ile birlikte verilmektedir.Elektrostatik toz boya</t>
  </si>
  <si>
    <t>Pota karıştırıcı, 25 adet pota kapasiteli, dönüş hızı ve süresi ayarlanabilir. Özel yapısı sayesinde potaların üstü streç ile kaplanarak dönüş sırasında potalardaki malzemelerin birbirleriyle karışmasını önler.  750 W, 220 V, 10-60 rpm, 50-60 Hz.</t>
  </si>
  <si>
    <t>Manuel Pellet Presi</t>
  </si>
  <si>
    <t>Otomatik Pellet Presi</t>
  </si>
  <si>
    <t>Pellet Kalıbı  Ø32 mm</t>
  </si>
  <si>
    <t>Pellet Kalıbı  Ø35 mm</t>
  </si>
  <si>
    <t>Pellet Kalıbı  Ø40 mm</t>
  </si>
  <si>
    <t>Pellet Kalıbı  Ø51.5 mm</t>
  </si>
  <si>
    <t>Bate</t>
  </si>
  <si>
    <t>Tüp Çalkalayıcı</t>
  </si>
  <si>
    <t>Parafin Eritme Potası,Ø250x180 mm ölçülerindedir.  Termostat kontrollü ısıtıcı, 40- 350°C arasında sıcaklığı sabit tutabilmektedir. Kapaklıdır. Kepçe ile birlikte verilmektedir. Parafin ayrıca sipariş edilmelidir. 220 V, 50/60 Hz, 1 ph</t>
  </si>
  <si>
    <t>Parafin 1 kg</t>
  </si>
  <si>
    <t>Karot Sehbası 4 karotluk, karot sandıklarının yerleştirilmesi için tasarlanmıştır.</t>
  </si>
  <si>
    <t>Fotoğraf Sehbası 2 karotluk</t>
  </si>
  <si>
    <t>Tekerlekli Bilgisayar Sehbası</t>
  </si>
  <si>
    <t>50 Ton Otomatik Hidrolik Yığın Presi</t>
  </si>
  <si>
    <t>120 Ton Hidrolik Kaya ve Mineral Kırma Presi</t>
  </si>
  <si>
    <t>Çift Diskli Numune Zımpara Cihazı</t>
  </si>
  <si>
    <t xml:space="preserve"> V Type Mixer 100 lt Capacity</t>
  </si>
  <si>
    <t xml:space="preserve"> V Type Mixer 300 lt Capacity</t>
  </si>
  <si>
    <t xml:space="preserve"> V Type Mixer 500 lt Capacity</t>
  </si>
  <si>
    <t>Perkolosyan Kolonları, Ø90 x Ø84 x 600 mm ebadında şeffaf pleksiglas kolon kullanılarak, borunun üst ucu açık, taban da 150 X150 X 16 mm şeffaf pleksiglas flanş ile  kapalı ve alt yandan 1 adet R ½” veya R ¾” plastik tahliye vanası ile birlikte verilmektedir.</t>
  </si>
  <si>
    <t>Çözünürlük Kolonları,  Ø160 x Ø154 x 2000 mm ebadında şeffaf pleksiglas kolon kullanılarak, borunun üst ucu açık, alt ucu pleksiglas ile tam kapalı ve alt taban merkezinde 1 adet Ø 10 mm tahliye delikli olarak tasarlanmıştır.</t>
  </si>
  <si>
    <t>Füzyon Fırını(Elektrik yada Doğal Gaz), Tek seferde 50 x 65g veya 45x75g Pota alır. %70 alümina ateş tuğlasından üretilmiştir. Elektronik otomatik kontrol sıcaklık sistemi bulunmaktadır. 1200°C sıcaklığa çaıkabilen Silisyum Karbür rezistans kullanılmaktadır.“K” tipi Termokupl kullanılmaktadır, Kapı açılıp kapanması pnömatik bir sistem ve ayak kumandası yardımı ile yapılmaktadır. Füzyon Fırınları, ISO 9001:2015 kalite yönetim sistemi altında birinci sınıf hammaddelerden üretilir.</t>
  </si>
  <si>
    <t>Kupelasyon Fırını(Elektrik yada Doğal Gaz), Tek seferde 90 adet Kupel alır. %70 alümina ateş tuğlasından üretilmiştir. Elektronik otomatik kontrol sıcaklık sistemi bulunmaktadır. 900°C sıcaklığa çaıkabilen Silisyum Karbür rezistans kullanılmaktadır.“K” tipi Termokupl kullanılmaktadır, Kapı açılıp kapanması pnömatik bir sistem ve ayak kumandası yardımı ile yapılmaktadır. Füzyon Fırınları, ISO 9001:2015 kalite yönetim sistemi altında birinci sınıf hammaddelerden üretilir.</t>
  </si>
  <si>
    <t>Çalışma Tezgahı (180 X 75 X 90 cm)</t>
  </si>
  <si>
    <t>Pot Tavası 45 Numunelik</t>
  </si>
  <si>
    <t>Pota Yükleme Arabası</t>
  </si>
  <si>
    <t>Dökme Arabası</t>
  </si>
  <si>
    <t>Pota Taşıyıcı</t>
  </si>
  <si>
    <t>Pota Soğutma Aparatı</t>
  </si>
  <si>
    <t>Pota Rafı</t>
  </si>
  <si>
    <t>Sıcak Pota Arabası</t>
  </si>
  <si>
    <t>Döküm Kalıbı</t>
  </si>
  <si>
    <t>Kalıp Kapağı</t>
  </si>
  <si>
    <t>Kupel Çatalı</t>
  </si>
  <si>
    <t>Kupel Soğutma Rafı</t>
  </si>
  <si>
    <t>Kupel Kırma Masası</t>
  </si>
  <si>
    <t>Fırın Fırçası</t>
  </si>
  <si>
    <t>Fırın Tırmığı</t>
  </si>
  <si>
    <t>Fırın Küüreği</t>
  </si>
  <si>
    <t>Prill Çalışma Masası(140 x 75 x 90 cm)</t>
  </si>
  <si>
    <t>Kupelasyon Fırını Çemberi</t>
  </si>
  <si>
    <t>Kupelasyon Fırını Çember Tuğlası</t>
  </si>
  <si>
    <t>Laboratory oven, 30 L capacity, ambient to 200°C ±2°C, PID digital control system, equipped of a dual safety thermostat, fan circulated, stainless steel interior, electrostatic painted exterior,  2 adjustable shelves. 220 V, 50-60 Hz, 1 ph</t>
  </si>
  <si>
    <t>Laboratory oven, 50 L capacity, ambient to 200°C ±2°C, PID digital control system, equipped of a dual safety thermostat, fan circulated, stainless steel interior, electrostatic painted exterior,  2 adjustable shelves. 220 V, 50-60 Hz, 1 ph</t>
  </si>
  <si>
    <t>Laboratory oven, 120 L capacity, ambient to 200°C ±2°C, PID digital control system, equipped of a dual safety thermostat, fan circulated, stainless steel interior, electrostatic painted exterior,  2 adjustable shelves. 
220 V, 50-60 Hz, 1 ph</t>
  </si>
  <si>
    <t>Laboratory oven, 120 L capacity, ambient to 300°C ±2°C, PID digital control system, equipped of a dual safety thermostat, fan circulated, stainless steel interior, electrostatic painted exterior,  2 adjustable shelves. 220 V, 50-60 Hz, 1 ph</t>
  </si>
  <si>
    <t>Laboratory oven, 250 L capacity, ambient to 200°C ±2°C, PID digital control system, equipped of a dual safety thermostat, fan circulated, stainless steel interior, electrostatic painted exterior,  3 adjustable shelves. 220 V, 50-60 Hz, 1 ph</t>
  </si>
  <si>
    <t>Laboratory oven, 250 L capacity, ambient to 300°C ±2°C, PID digital control system, equipped of a dual safety thermostat, fan circulated, stainless steel interior, electrostatic painted exterior,  3 adjustable shelves. 220 V, 50-60 Hz, 1 ph</t>
  </si>
  <si>
    <t>Laboratory oven, 500 L capacity, ambient to 200°C ±2°C, PID digital control system, equipped of a dual safety thermostat, fan circulated, stainless steel interior, electrostatic painted exterior,  4 adjustable shelves. 380 V, 50-60 Hz, 3 ph</t>
  </si>
  <si>
    <t>Laboratory oven, 500 L capacity, ambient to 300°C ±2°C, PID digital control system, equipped of a dual safety thermostat, fan circulated, stainless steel interior, electrostatic painted exterior,  4 adjustable shelves. 380 V, 50-60 Hz, 3 ph</t>
  </si>
  <si>
    <t>Laboratory oven, 700 L capacity, ambient to 200°C ±2°C, PID digital control system, equipped of a dual safety thermostat, fan circulated, stainless steel interior, electrostatic painted exterior,  4 adjustable shelves. 380 V, 50-60 Hz, 3 ph</t>
  </si>
  <si>
    <t>Laboratory oven, 700 L capacity, ambient to 300°C ±2°C, PID digital control system, equipped of a dual safety thermostat, fan circulated, stainless steel interior, electrostatic painted exterior,  4 adjustable shelves. 380 V, 50-60 Hz, 3 ph</t>
  </si>
  <si>
    <t>Laboratory oven, 1000 L capacity, ambient to 200°C ±2°C, PID digital control system, equipped of a dual safety thermostat, fan circulated, stainless steel interior, electrostatic painted exterior,  4 adjustable shelves. 380 V, 50-60 Hz, 3 ph</t>
  </si>
  <si>
    <t>Laboratory oven, 4600 L capacity, ambient to 200°C ±2°C, PID digital control system, equipped of a dual safety thermostat, fan circulated, stainless steel interior, electrostatic painted exterior,  2  trolley. 380 V, 50-60 Hz, 3 ph</t>
  </si>
  <si>
    <t xml:space="preserve">Resistance </t>
  </si>
  <si>
    <t>Laboratory oven Fan</t>
  </si>
  <si>
    <t xml:space="preserve">Muffle furnace, 
Capacity: 4 L,
Max. Temperature: 1100°C 
Control System: PID &amp; MP, 
Temperature Sensitivity: ± 2 ºC
Internal Surface Material: Fiber plate and Fire Brick,
Ext. Surface Material: Steel with Electrostatic Powder Paint
220 V, 50-60 Hz, 1 ph
</t>
  </si>
  <si>
    <t xml:space="preserve">Muffle furnace, 
Capacity: 7 L,
Max. Temperature: 1100°C 
Control System: PID &amp; MP, 
Temperature Sensitivity: ± 2 ºC
Internal Surface Material: Fiber plate and Fire Brick,
Ext. Surface Material: Steel with Electrostatic Powder Paint
220 V, 50-60 Hz, 1 ph
</t>
  </si>
  <si>
    <t xml:space="preserve">Muffle furnace, 
Capacity: 10 L,
Max. Temperature: 1100°C 
Control System: PID &amp; MP, 
Temperature Sensitivity: ± 2 ºC
Internal Surface Material: Fiber plate and Fire Brick,
Ext. Surface Material: Steel with Electrostatic Powder Paint
380 V, 50-60 Hz, 3 ph
</t>
  </si>
  <si>
    <t xml:space="preserve">Muffle furnace, 
Capacity: 20 L,
Max. Temperature: 1100°C 
Control System: PID &amp; MP, 
Temperature Sensitivity: ± 2 ºC
Internal Surface Material: Fiber plate and Fire Brick,
Ext. Surface Material: Steel with Electrostatic Powder Paint
380 V, 50-60 Hz, 3 ph
</t>
  </si>
  <si>
    <t xml:space="preserve">Muffle furnace, 
Capacity: 45 L,
Max. Temperature: 1100°C 
Control System: PID &amp; MP, 
Temperature Sensitivity: ± 2 ºC
Internal Surface Material: Fiber plate and Fire Brick,
Ext. Surface Material: Steel with Electrostatic Powder Paint
380 V, 50-60 Hz, 3 ph
</t>
  </si>
  <si>
    <t>Muffle furnace, 
Capacity: 4 L,
Max. Temperature: 1200°C 
Control System: PID &amp; MP, 
Temperature Sensitivity: ± 2 ºC
Internal Surface Material: Fiber plate and Fire Brick,
Ext. Surface Material: Steel with Electrostatic Powder Paint
220 V, 50-60 Hz, 1 ph</t>
  </si>
  <si>
    <t>Muffle furnace, 
Capacity: 7 L,
Max. Temperature: 1200°C 
Control System: PID &amp; MP, 
Temperature Sensitivity: ± 2 ºC
Internal Surface Material: Fiber plate and Fire Brick,
Ext. Surface Material: Steel with Electrostatic Powder Paint
220 V, 50-60 Hz, 1 ph</t>
  </si>
  <si>
    <t>Muffle furnace, 
Capacity: 10 L,
Max. Temperature: 1200°C 
Control System: PID &amp; MP, 
Temperature Sensitivity: ± 2 ºC
Internal Surface Material: Fiber plate and Fire Brick,
Ext. Surface Material: Steel with Electrostatic Powder Paint
220 V, 50-60 Hz, 1 ph</t>
  </si>
  <si>
    <t>Muffle furnace, 
Capacity: 20 L,
Max. Temperature: 1200°C 
Control System: PID &amp; MP, 
Temperature Sensitivity: ± 2 ºC
Internal Surface Material: Fiber plate and Fire Brick,
Ext. Surface Material: Steel with Electrostatic Powder Paint
220 V, 50-60 Hz, 1 ph</t>
  </si>
  <si>
    <t xml:space="preserve">Muffle furnace, 
Capacity: 45 L,
Max. Temperature: 1200°C 
Control System: PID &amp; MP, 
Temperature Sensitivity: ± 2 ºC
Internal Surface Material: Fiber plate and Fire Brick,
Ext. Surface Material: Steel with Electrostatic Powder Paint
380 V, 50-60 Hz, 3 ph
</t>
  </si>
  <si>
    <t>Digital Electrical Hot Plate
Dimensions : 30x30
Temperature Range is ambient to 350°C.
Controller System : PID Digital Thermostat
Heater Table made from Cast / Sand Blasting Sheet Iron.
Power Supply : 220 V, 50 Hz, 1 ph</t>
  </si>
  <si>
    <t>Digital Electrical Hot Plate
Dimensions : 30x60
Temperature Range is ambient to 350°C.
Controller System : PID Digital Thermostat
Heater Table made from Cast / Sand Blasting Sheet Iron.
Power Supply : 220 V, 50 Hz, 1 ph</t>
  </si>
  <si>
    <t>Digital Electrical Hot Plate
Dimensions : 40x40
Temperature Range is ambient to 350°C.
Controller System : PID Digital Thermostat
Heater Table made from Cast / Sand Blasting Sheet Iron.
Power Supply : 220 V, 50 Hz, 1 ph</t>
  </si>
  <si>
    <t>Single Hot Plate. 1500 Watt. Analog Thermostat.</t>
  </si>
  <si>
    <t>Double Hot Plate. 1000+1500 Watt. Analog Thermostat.</t>
  </si>
  <si>
    <t>Analog Hot plate with magnetic stirrer, ambient to 380 °C temperature range, 80-1500 rpm stirring speed, 20 lt stirring capacity, Ceramic table, 180x180 mm hot plate. 220-240V, 50-60Hz, 1ph</t>
  </si>
  <si>
    <t>Digital Hot plate with magnetic stirrer, ambient to 380 °C temperature range, 80-1500 rpm stirring speed, 20 lt stirring capacity, Ceramic table, 180x180 mm hot plate. 220-240V, 50-60Hz, 1ph</t>
  </si>
  <si>
    <t>Fume Hood</t>
  </si>
  <si>
    <t>Warm-Air Drier, 220 V, 50-60 Hz, 1 ph</t>
  </si>
  <si>
    <t>Hot Air Gun, 250/500 L/min - 350/550°C .
220 V, 50-60 Hz, 1 ph</t>
  </si>
  <si>
    <t>Microwave Oven, 17 L capacity, max 250 °C,  100 min program timer, turntable system, 220 V, 50-60 Hz, 1 ph</t>
  </si>
  <si>
    <t>Speedy Moisture Test, used to determine moisture content in soils, sand and fine aggregates. 20 gr sample can be used. Precision Scale, measuring spoons and cups, 1 box of calcium carbide reagent, cleaning brush, wooden enclosure wit a complete set as.</t>
  </si>
  <si>
    <t>Non-Vacuum Dessicator Ø 210 mm</t>
  </si>
  <si>
    <t>Non-Vacuum Dessicator Ø 240 mm</t>
  </si>
  <si>
    <t>Non-Vacuum Dessicator Ø 300 mm</t>
  </si>
  <si>
    <t>Vacuum Dessicator Ø 210 mm</t>
  </si>
  <si>
    <t>Vacuum Dessicator Ø 240 mm</t>
  </si>
  <si>
    <t>Vacuum Dessicator Ø 300 mm</t>
  </si>
  <si>
    <t>Digital Aggregate Moisture Tester. 1 m measuring probe. Temperature range: -20 to 60 C. Moisture Range:  0-25%, 
Battery: 4 x 1.5 V AA alkaline cells (or equivalent). Weight: 1500 gr</t>
  </si>
  <si>
    <t>Grid Sieve Set, conforming EN 933-3 standard, sheet metal frame, stainless steel bars, 13 units of sieves with 2.50, 3.15, 4.00, 5.00, 6.30, 8.00, 10.00, 12.50, 16.00, 20.00, 25.00, 31.50, 40.00 mm apertures</t>
  </si>
  <si>
    <t xml:space="preserve">Grid Sieve  , 2,5 mm </t>
  </si>
  <si>
    <t xml:space="preserve">Grid Sieve  , 3,15 mm </t>
  </si>
  <si>
    <t xml:space="preserve">Grid Sieve  , 4 mm </t>
  </si>
  <si>
    <t xml:space="preserve">Grid Sieve  , 5 mm </t>
  </si>
  <si>
    <t xml:space="preserve">Grid Sieve  , 6,3 mm </t>
  </si>
  <si>
    <t xml:space="preserve">Grid Sieve  , 8 mm </t>
  </si>
  <si>
    <t xml:space="preserve">Grid Sieve  , 10 mm </t>
  </si>
  <si>
    <t xml:space="preserve">Grid Sieve  , 12,5 mm </t>
  </si>
  <si>
    <t xml:space="preserve">Grid Sieve  , 16 mm </t>
  </si>
  <si>
    <t xml:space="preserve">Grid Sieve  , 20 mm  </t>
  </si>
  <si>
    <t xml:space="preserve">Grid Sieve  , 25 mm  </t>
  </si>
  <si>
    <t xml:space="preserve">Grid Sieve  , 31,5 mm </t>
  </si>
  <si>
    <t xml:space="preserve">Grid Sieve  , 40 mm </t>
  </si>
  <si>
    <t xml:space="preserve">Grid Sieve  , 50 mm </t>
  </si>
  <si>
    <t>Flakiness Sieve Set, 4,9x30, 7,2x40, 10,2x50 , 14,4x60, 19,7x70,  26,3x80, 33,9x100 mm</t>
  </si>
  <si>
    <t xml:space="preserve">Flakiness Sieve 4,9x30mm </t>
  </si>
  <si>
    <t xml:space="preserve">Flakiness Sieve 7,2x40mm </t>
  </si>
  <si>
    <t xml:space="preserve">Flakiness Sieve 10,2x50mm </t>
  </si>
  <si>
    <t xml:space="preserve">Flakiness Sieve 14,4x60mm </t>
  </si>
  <si>
    <t xml:space="preserve">Flakiness Sieve 19,7x70mm </t>
  </si>
  <si>
    <t xml:space="preserve">Flakiness Sieve 26,3x80mm </t>
  </si>
  <si>
    <t xml:space="preserve">Flakiness Sieve 33,9x100mm </t>
  </si>
  <si>
    <t>Wet Washing Sieve, Ø200x100mm deep, stainless steel frame and mesh, woven cloth, 6.3 mm aperture</t>
  </si>
  <si>
    <t>Wet Washing Sieve, Ø200x100mm deep, stainless steel frame and mesh, woven cloth, 4,75 mm aperture</t>
  </si>
  <si>
    <t>Wet Washing Sieve, Ø200x100mm deep, stainless steel frame and mesh, woven cloth, 2 mm aperture</t>
  </si>
  <si>
    <t>Wet Washing Sieve, Ø200x100mm deep, stainless steel frame and mesh, woven cloth, 425 µm mm aperture</t>
  </si>
  <si>
    <t>Wet Washing Sieve, Ø200x100mm deep, stainless steel frame and mesh, woven cloth, 75µm (#200) aperture</t>
  </si>
  <si>
    <t>Wet Washing Sieve, Ø200x100mm deep, stainless steel frame and mesh, woven cloth, 63µm (#230) aperture</t>
  </si>
  <si>
    <t>Wet Washing Sieve, Ø300x100mm deep, stainless steel frame and mesh, woven cloth, 6.3 mm aperture</t>
  </si>
  <si>
    <t>Wet Washing Sieve, Ø300x100mm deep, stainless steel frame and mesh, woven cloth, 4,75 mm aperture</t>
  </si>
  <si>
    <t>Wet Washing Sieve, Ø300x100mm deep, stainless steel frame and mesh, woven cloth, 2 mm aperture</t>
  </si>
  <si>
    <t>Wet Washing Sieve, Ø300x100mm deep, stainless steel frame and mesh, woven cloth, 425 µm mm aperture</t>
  </si>
  <si>
    <t>Wet Washing Sieve, Ø300x100mm deep, stainless steel frame and mesh, woven cloth, 75µm (#200) aperture</t>
  </si>
  <si>
    <t>Wet Washing Sieve, Ø300x100mm deep, stainless steel frame and mesh, woven cloth, 63µm (#230) aperture</t>
  </si>
  <si>
    <t xml:space="preserve">Sieve, Ø200x50mm , stainless steel , 125mm </t>
  </si>
  <si>
    <t xml:space="preserve">Sieve, Ø200x50mm , stainless steel , 100mm (4") </t>
  </si>
  <si>
    <t xml:space="preserve">Sieve, Ø200x50mm , stainless steel , 90mm (3-½") </t>
  </si>
  <si>
    <t xml:space="preserve">Sieve, Ø200x50mm , stainless steel , 80mm </t>
  </si>
  <si>
    <t xml:space="preserve">Sieve, Ø200x50mm , stainless steel , 75mm (3") </t>
  </si>
  <si>
    <t xml:space="preserve">Sieve, Ø200x50mm , stainless steel , 63mm (2-½") </t>
  </si>
  <si>
    <t xml:space="preserve">Sieve, Ø200x50mm , stainless steel , 56mm </t>
  </si>
  <si>
    <t xml:space="preserve">Sieve, Ø200x50mm , stainless steel , 53mm (2.12") </t>
  </si>
  <si>
    <t xml:space="preserve">Sieve, Ø200x50mm , stainless steel , 50mm (2") </t>
  </si>
  <si>
    <t xml:space="preserve">Sieve, Ø200x50mm , stainless steel , 45mm (1-¾") </t>
  </si>
  <si>
    <t xml:space="preserve">Sieve, Ø200x50mm , stainless steel , 40mm </t>
  </si>
  <si>
    <t xml:space="preserve">Sieve, Ø200x50mm , stainless steel , 37,5mm (1-½") </t>
  </si>
  <si>
    <t xml:space="preserve">Sieve, Ø200x50mm , stainless steel , 31,5mm (1-¼") </t>
  </si>
  <si>
    <t xml:space="preserve">Sieve, Ø200x50mm , stainless steel , 26,5mm (1.06") </t>
  </si>
  <si>
    <t xml:space="preserve">Sieve, Ø200x50mm , stainless steel , 25mm (1") </t>
  </si>
  <si>
    <t xml:space="preserve">Sieve, Ø200x50mm , stainless steel , 22,4mm (7/8") </t>
  </si>
  <si>
    <t xml:space="preserve">Sieve, Ø200x50mm , stainless steel , 20mm </t>
  </si>
  <si>
    <t xml:space="preserve">Sieve, Ø200x50mm , stainless steel , 19mm (¾") </t>
  </si>
  <si>
    <t xml:space="preserve">Sieve, Ø200x50mm , stainless steel , 16mm (5/8") </t>
  </si>
  <si>
    <t xml:space="preserve">Sieve, Ø200x50mm , stainless steel , 13,2mm (.530") </t>
  </si>
  <si>
    <t xml:space="preserve">Sieve, Ø200x50mm , stainless steel , 12,5mm (½") </t>
  </si>
  <si>
    <t xml:space="preserve">Sieve, Ø200x50mm , stainless steel , 11,2mm (7/16") </t>
  </si>
  <si>
    <t xml:space="preserve">Sieve, Ø200x50mm , stainless steel , 10mm </t>
  </si>
  <si>
    <t xml:space="preserve">Sieve, Ø200x50mm , stainless steel , 9,5mm (3/8") </t>
  </si>
  <si>
    <t xml:space="preserve">Sieve, Ø200x50mm , stainless steel , 8mm (5/16") </t>
  </si>
  <si>
    <t xml:space="preserve">Sieve, Ø200x50mm , stainless steel , 6,7mm (.265") </t>
  </si>
  <si>
    <t xml:space="preserve">Sieve, Ø200x50mm , stainless steel , 6,3mm (¼") </t>
  </si>
  <si>
    <t xml:space="preserve">Sieve, Ø200x50mm , stainless steel , 5,6mm (#3-½) </t>
  </si>
  <si>
    <t xml:space="preserve">Sieve, Ø200x50mm , stainless steel , 5mm </t>
  </si>
  <si>
    <t xml:space="preserve">Sieve, Ø200x50mm , stainless steel , 4,75mm (#4) </t>
  </si>
  <si>
    <t xml:space="preserve">Sieve, Ø200x50mm , stainless steel , 4mm (#5) </t>
  </si>
  <si>
    <t xml:space="preserve">Sieve, Ø200x50mm , stainless steel , 3,35mm (#6) </t>
  </si>
  <si>
    <t xml:space="preserve">Sieve, Ø200x50mm , stainless steel , 3,15mm  </t>
  </si>
  <si>
    <t xml:space="preserve">Sieve, Ø200x50mm , stainless steel , 2,8mm (#7) </t>
  </si>
  <si>
    <t xml:space="preserve">Sieve, Ø200x50mm , stainless steel , 2,5mm </t>
  </si>
  <si>
    <t xml:space="preserve">Sieve, Ø200x50mm , stainless steel , 2,36mm (#8) </t>
  </si>
  <si>
    <t xml:space="preserve">Sieve, Ø200x50mm , stainless steel , 2mm (#10) </t>
  </si>
  <si>
    <t xml:space="preserve">Sieve, Ø200x50mm , stainless steel , 1,7mm (#12) </t>
  </si>
  <si>
    <t xml:space="preserve">Sieve, Ø200x50mm , stainless steel , 1,6mm </t>
  </si>
  <si>
    <t xml:space="preserve">Sieve, Ø200x50mm , stainless steel , 1,4mm (#14) </t>
  </si>
  <si>
    <t xml:space="preserve">Sieve, Ø200x50mm , stainless steel , 1,25mm </t>
  </si>
  <si>
    <t xml:space="preserve">Sieve, Ø200x50mm , stainless steel , 1,18mm (#16) </t>
  </si>
  <si>
    <t xml:space="preserve">Sieve, Ø200x50mm , stainless steel , 1mm (#18) </t>
  </si>
  <si>
    <t xml:space="preserve">Sieve, Ø200x50mm , stainless steel , 850µm (#20) </t>
  </si>
  <si>
    <t xml:space="preserve">Sieve, Ø200x50mm , stainless steel , 800µm  </t>
  </si>
  <si>
    <t xml:space="preserve">Sieve, Ø200x50mm , stainless steel , 710µm (#25) </t>
  </si>
  <si>
    <t xml:space="preserve">Sieve, Ø200x50mm , stainless steel , 630µm  </t>
  </si>
  <si>
    <t xml:space="preserve">Sieve, Ø200x50mm , stainless steel , 600µm (#30) </t>
  </si>
  <si>
    <t xml:space="preserve">Sieve, Ø200x50mm , stainless steel , 500µm (#35) </t>
  </si>
  <si>
    <t xml:space="preserve">Sieve, Ø200x50mm , stainless steel , 425µm (#40) </t>
  </si>
  <si>
    <t xml:space="preserve">Sieve, Ø200x50mm , stainless steel , 400µm  </t>
  </si>
  <si>
    <t xml:space="preserve">Sieve, Ø200x50mm , stainless steel , 355µm (#45) </t>
  </si>
  <si>
    <t xml:space="preserve">Sieve, Ø200x50mm , stainless steel , 315µm  </t>
  </si>
  <si>
    <t xml:space="preserve">Sieve, Ø200x50mm , stainless steel , 300µm (#50) </t>
  </si>
  <si>
    <t xml:space="preserve">Sieve, Ø200x50mm , stainless steel , 250µm (#60) </t>
  </si>
  <si>
    <t xml:space="preserve">Sieve, Ø200x50mm , stainless steel , 212µm (#70) </t>
  </si>
  <si>
    <t xml:space="preserve">Sieve, Ø200x50mm , stainless steel , 200µm  </t>
  </si>
  <si>
    <t xml:space="preserve">Sieve, Ø200x50mm , stainless steel , 180µm (#80) </t>
  </si>
  <si>
    <t xml:space="preserve">Sieve, Ø200x50mm , stainless steel , 160µm  </t>
  </si>
  <si>
    <t xml:space="preserve">Sieve, Ø200x50mm , stainless steel , 150µm (#100) </t>
  </si>
  <si>
    <t xml:space="preserve">Sieve, Ø200x50mm , stainless steel , 125µm (#120) </t>
  </si>
  <si>
    <t xml:space="preserve">Sieve, Ø200x50mm , stainless steel , 106µm (#140) </t>
  </si>
  <si>
    <t xml:space="preserve">Sieve, Ø200x50mm , stainless steel , 100µm  </t>
  </si>
  <si>
    <t xml:space="preserve">Sieve, Ø200x50mm , stainless steel , 90µm (#170) </t>
  </si>
  <si>
    <t xml:space="preserve">Sieve, Ø200x50mm , stainless steel , 80µm  </t>
  </si>
  <si>
    <t xml:space="preserve">Sieve, Ø200x50mm , stainless steel , 75µm (#200) </t>
  </si>
  <si>
    <t xml:space="preserve">Sieve, Ø200x50mm , stainless steel , 63µm (#230) </t>
  </si>
  <si>
    <t xml:space="preserve">Sieve, Ø200x50mm , stainless steel , 53µm (#270) </t>
  </si>
  <si>
    <t xml:space="preserve">Sieve, Ø200x50mm , stainless steel , 50µm  </t>
  </si>
  <si>
    <t xml:space="preserve">Sieve, Ø200x50mm , stainless steel , 45µm (#325) </t>
  </si>
  <si>
    <t xml:space="preserve">Sieve, Ø200x50mm , stainless steel , 40µm  </t>
  </si>
  <si>
    <t xml:space="preserve">Sieve, Ø200x50mm , stainless steel , 38µm (#400) </t>
  </si>
  <si>
    <t xml:space="preserve">Sieve, Ø200x50mm , stainless steel , 25µm </t>
  </si>
  <si>
    <t>Receiver, Ø200x50mm  stainless steel</t>
  </si>
  <si>
    <t>Lid, Ø200mm stainless steel</t>
  </si>
  <si>
    <t>Lid and Receiver, Ø200x50mm  stainless steel</t>
  </si>
  <si>
    <t xml:space="preserve">Sieve, Ø300x75mm , stainless steel, woven wire, 125mm </t>
  </si>
  <si>
    <t xml:space="preserve">Sieve, Ø300x75mm , stainless steel, woven wire, 100mm (4") </t>
  </si>
  <si>
    <t xml:space="preserve">Sieve, Ø300x75mm , stainless steel, woven wire, 90mm (3-½") </t>
  </si>
  <si>
    <t xml:space="preserve">Sieve, Ø300x75mm , stainless steel, woven wire, 80mm </t>
  </si>
  <si>
    <t xml:space="preserve">Sieve, Ø300x75mm , stainless steel, woven wire,  75mm (3") </t>
  </si>
  <si>
    <t xml:space="preserve">Sieve, Ø300x75mm , stainless steel, woven wire,  63mm (2-½") </t>
  </si>
  <si>
    <t xml:space="preserve">Sieve, Ø300x75mm , stainless steel, woven wire,  56mm </t>
  </si>
  <si>
    <t xml:space="preserve">Sieve, Ø300x75mm , stainless steel, woven wire,  53mm (2.12") </t>
  </si>
  <si>
    <t xml:space="preserve">Sieve, Ø300x75mm , stainless steel, woven wire,  50mm (2") </t>
  </si>
  <si>
    <t xml:space="preserve">Sieve, Ø300x75mm , stainless steel, woven wire,  45mm (1-¾") </t>
  </si>
  <si>
    <t xml:space="preserve">Sieve, Ø300x75mm , stainless steel, woven wire,  40mm </t>
  </si>
  <si>
    <t xml:space="preserve">Sieve, Ø300x75mm , stainless steel, woven wire,  37,5mm (1-½") </t>
  </si>
  <si>
    <t xml:space="preserve">Sieve, Ø300x75mm , stainless steel, woven wire,  31,5mm (1-¼") </t>
  </si>
  <si>
    <t xml:space="preserve">Sieve, Ø300x75mm , stainless steel, woven wire,  26,5mm (1.06") </t>
  </si>
  <si>
    <t xml:space="preserve">Sieve, Ø300x75mm , stainless steel, woven wire,  25mm (1") </t>
  </si>
  <si>
    <t xml:space="preserve">Sieve, Ø300x75mm , stainless steel, woven wire,  22,4mm (7/8") </t>
  </si>
  <si>
    <t xml:space="preserve">Sieve, Ø300x75mm , stainless steel, woven wire,  19mm (¾") </t>
  </si>
  <si>
    <t xml:space="preserve">Sieve, Ø300x75mm , stainless steel, woven wire,  16mm (5/8") </t>
  </si>
  <si>
    <t xml:space="preserve">Sieve, Ø300x75mm , stainless steel, woven wire,  13,2mm (.530") </t>
  </si>
  <si>
    <t xml:space="preserve">Sieve, Ø300x75mm , stainless steel, woven wire,  12,5mm (½") </t>
  </si>
  <si>
    <t xml:space="preserve">Sieve, Ø300x75mm , stainless steel, woven wire,  11,2mm (7/16") </t>
  </si>
  <si>
    <t xml:space="preserve">Sieve, Ø300x75mm , stainless steel, woven wire,  10mm </t>
  </si>
  <si>
    <t xml:space="preserve">Sieve, Ø300x75mm , stainless steel, woven wire,  9,5mm (3/8") </t>
  </si>
  <si>
    <t xml:space="preserve">Sieve, Ø300x75mm , stainless steel, woven wire,  8mm (5/16") </t>
  </si>
  <si>
    <t xml:space="preserve">Sieve, Ø300x75mm , stainless steel, woven wire,  6,7mm (.265") </t>
  </si>
  <si>
    <t xml:space="preserve">Sieve, Ø300x75mm , stainless steel, woven wire,  6,3mm (¼") </t>
  </si>
  <si>
    <t xml:space="preserve">Sieve, Ø300x75mm , stainless steel, woven wire,  5,6mm (#3-½) </t>
  </si>
  <si>
    <t xml:space="preserve">Sieve, Ø300x75mm , stainless steel, woven wire,  5mm </t>
  </si>
  <si>
    <t xml:space="preserve">Sieve, Ø300x75mm , stainless steel, woven wire,  4,75mm (#4) </t>
  </si>
  <si>
    <t xml:space="preserve">Sieve, Ø300x75mm , stainless steel, woven wire,  4mm (#5) </t>
  </si>
  <si>
    <t xml:space="preserve">Sieve, Ø300x75mm , stainless steel, woven wire,  3,35mm (#6) </t>
  </si>
  <si>
    <t xml:space="preserve">Sieve, Ø300x75mm , stainless steel, woven wire,  3,2mm  </t>
  </si>
  <si>
    <t xml:space="preserve">Sieve, Ø300x75mm , stainless steel, woven wire,  2,8mm (#7) </t>
  </si>
  <si>
    <t xml:space="preserve">Sieve, Ø300x75mm , stainless steel, woven wire,  2,5mm </t>
  </si>
  <si>
    <t xml:space="preserve">Sieve, Ø300x75mm , stainless steel, woven wire,  2,36mm (#8) </t>
  </si>
  <si>
    <t xml:space="preserve">Sieve, Ø300x75mm , stainless steel, woven wire,  2mm (#10) </t>
  </si>
  <si>
    <t xml:space="preserve">Sieve, Ø300x75mm , stainless steel, woven wire,  1,7mm (#12) </t>
  </si>
  <si>
    <t xml:space="preserve">Sieve, Ø300x75mm , stainless steel, woven wire,  1,6mm </t>
  </si>
  <si>
    <t xml:space="preserve">Sieve, Ø300x75mm , stainless steel, woven wire,  1,4mm (#14) </t>
  </si>
  <si>
    <t xml:space="preserve">Sieve, Ø300x75mm , stainless steel, woven wire,  1,25mm </t>
  </si>
  <si>
    <t xml:space="preserve">Sieve, Ø300x75mm , stainless steel, woven wire,  1,18mm (#16) </t>
  </si>
  <si>
    <t xml:space="preserve">Sieve, Ø300x75mm , stainless steel, woven wire,  1mm (#18) </t>
  </si>
  <si>
    <t xml:space="preserve">Sieve, Ø300x75mm , stainless steel, woven wire,  850µm (#20) </t>
  </si>
  <si>
    <t xml:space="preserve">Sieve, Ø300x75mm , stainless steel, woven wire,  800µm  </t>
  </si>
  <si>
    <t xml:space="preserve">Sieve, Ø300x75mm , stainless steel, woven wire,  710µm (#25) </t>
  </si>
  <si>
    <t xml:space="preserve">Sieve, Ø300x75mm , stainless steel, woven wire,  630µm  </t>
  </si>
  <si>
    <t xml:space="preserve">Sieve, Ø300x75mm , stainless steel, woven wire,  600µm (#30) </t>
  </si>
  <si>
    <t xml:space="preserve">Sieve, Ø300x75mm , stainless steel, woven wire,  500µm (#35) </t>
  </si>
  <si>
    <t xml:space="preserve">Sieve, Ø300x75mm , stainless steel, woven wire,  425µm (#40) </t>
  </si>
  <si>
    <t xml:space="preserve">Sieve, Ø300x75mm , stainless steel, woven wire,  400µm  </t>
  </si>
  <si>
    <t xml:space="preserve">Sieve, Ø300x75mm , stainless steel, woven wire,  355µm (#45) </t>
  </si>
  <si>
    <t xml:space="preserve">Sieve, Ø300x75mm , stainless steel, woven wire,  315µm  </t>
  </si>
  <si>
    <t xml:space="preserve">Sieve, Ø300x75mm , stainless steel, woven wire,  300µm (#50) </t>
  </si>
  <si>
    <t xml:space="preserve">Sieve, Ø300x75mm , stainless steel, woven wire,  250µm (#60) </t>
  </si>
  <si>
    <t xml:space="preserve">Sieve, Ø300x75mm , stainless steel, woven wire,  212µm (#70) </t>
  </si>
  <si>
    <t xml:space="preserve">Sieve, Ø300x75mm , stainless steel, woven wire,  200µm  </t>
  </si>
  <si>
    <t xml:space="preserve">Sieve, Ø300x75mm , stainless steel, woven wire,  180µm (#80) </t>
  </si>
  <si>
    <t xml:space="preserve">Sieve, Ø300x75mm , stainless steel, woven wire,  160µm  </t>
  </si>
  <si>
    <t xml:space="preserve">Sieve, Ø300x75mm , stainless steel, woven wire,  150µm (#100) </t>
  </si>
  <si>
    <t xml:space="preserve">Sieve, Ø300x75mm , stainless steel, woven wire,  125µm (#120) </t>
  </si>
  <si>
    <t xml:space="preserve">Sieve, Ø300x75mm , stainless steel, woven wire,  106µm (#140) </t>
  </si>
  <si>
    <t xml:space="preserve">Sieve, Ø300x75mm , stainless steel, woven wire,  100µm  </t>
  </si>
  <si>
    <t xml:space="preserve">Sieve, Ø300x75mm , stainless steel, woven wire,  90µm (#170) </t>
  </si>
  <si>
    <t xml:space="preserve">Sieve, Ø300x75mm , stainless steel, woven wire,  80µm  </t>
  </si>
  <si>
    <t xml:space="preserve">Sieve, Ø300x75mm , stainless steel, woven wire,  75µm (#200) </t>
  </si>
  <si>
    <t xml:space="preserve">Sieve, Ø300x75mm , stainless steel, woven wire,  63µm (#230) </t>
  </si>
  <si>
    <t xml:space="preserve">Sieve, Ø300x75mm , stainless steel, woven wire,  53µm (#270) </t>
  </si>
  <si>
    <t xml:space="preserve">Sieve, Ø300x75mm , stainless steel, woven wire,  50µm  </t>
  </si>
  <si>
    <t xml:space="preserve">Sieve, Ø300x75mm , stainless steel, woven wire,  45µm (#325) </t>
  </si>
  <si>
    <t xml:space="preserve">Sieve, Ø300x75mm , stainless steel, woven wire,  40µm  </t>
  </si>
  <si>
    <t xml:space="preserve">Sieve, Ø300x75mm , stainless steel, woven wire,  38µm (#400) </t>
  </si>
  <si>
    <t>Sieve, Ø300x75mm , stainless steel, woven wire,  25µm</t>
  </si>
  <si>
    <t>Receiver, Ø300x75mm  stainless steel</t>
  </si>
  <si>
    <t>Lid, Ø300mm stainless steel</t>
  </si>
  <si>
    <t>Lid and Receiver, Ø300x75mm  stainless steel</t>
  </si>
  <si>
    <t xml:space="preserve">Sieve, Ø400x50mm , stainless steel , 125mm </t>
  </si>
  <si>
    <t xml:space="preserve">Sieve, Ø400x50mm , stainless steel , 100mm (4") </t>
  </si>
  <si>
    <t xml:space="preserve">Sieve, Ø400x50mm , stainless steel , 90mm (3-½") </t>
  </si>
  <si>
    <t xml:space="preserve">Sieve, Ø400x50mm , stainless steel , 80mm </t>
  </si>
  <si>
    <t xml:space="preserve">Sieve, Ø400x50mm , stainless steel , 75mm (3") </t>
  </si>
  <si>
    <t xml:space="preserve">Sieve, Ø400x50mm , stainless steel , 63mm (2-½") </t>
  </si>
  <si>
    <t xml:space="preserve">Sieve, Ø400x50mm , stainless steel , 56mm </t>
  </si>
  <si>
    <t xml:space="preserve">Sieve, Ø400x50mm , stainless steel , 53mm (2.12") </t>
  </si>
  <si>
    <t xml:space="preserve">Sieve, Ø400x50mm , stainless steel , 50mm (2") </t>
  </si>
  <si>
    <t xml:space="preserve">Sieve, Ø400x50mm , stainless steel , 45mm (1-¾") </t>
  </si>
  <si>
    <t xml:space="preserve">Sieve, Ø400x50mm , stainless steel , 40mm </t>
  </si>
  <si>
    <t xml:space="preserve">Sieve, Ø400x50mm , stainless steel , 37,5mm (1-½") </t>
  </si>
  <si>
    <t xml:space="preserve">Sieve, Ø400x50mm , stainless steel , 31,5mm (1-¼") </t>
  </si>
  <si>
    <t xml:space="preserve">Sieve, Ø400x50mm , stainless steel , 26,5mm (1.06") </t>
  </si>
  <si>
    <t xml:space="preserve">Sieve, Ø400x50mm , stainless steel , 25mm (1") </t>
  </si>
  <si>
    <t xml:space="preserve">Sieve, Ø400x50mm , stainless steel , 22,4mm (7/8") </t>
  </si>
  <si>
    <t xml:space="preserve">Sieve, Ø400x50mm , stainless steel , 20mm </t>
  </si>
  <si>
    <t xml:space="preserve">Sieve, Ø400x50mm , stainless steel , 19mm (¾") </t>
  </si>
  <si>
    <t xml:space="preserve">Sieve, Ø400x50mm , stainless steel , 16mm (5/8") </t>
  </si>
  <si>
    <t xml:space="preserve">Sieve, Ø400x50mm , stainless steel , 13,2mm (.530") </t>
  </si>
  <si>
    <t xml:space="preserve">Sieve, Ø400x50mm , stainless steel , 12,5mm (½") </t>
  </si>
  <si>
    <t xml:space="preserve">Sieve, Ø400x50mm , stainless steel , 11,2mm (7/16") </t>
  </si>
  <si>
    <t xml:space="preserve">Sieve, Ø400x50mm , stainless steel , 10mm </t>
  </si>
  <si>
    <t xml:space="preserve">Sieve, Ø400x50mm , stainless steel , 9,5mm (3/8") </t>
  </si>
  <si>
    <t xml:space="preserve">Sieve, Ø400x50mm , stainless steel , 8mm (5/16") </t>
  </si>
  <si>
    <t xml:space="preserve">Sieve, Ø400x50mm , stainless steel , 6,7mm (.265") </t>
  </si>
  <si>
    <t xml:space="preserve">Sieve, Ø400x50mm , stainless steel , 6,3mm (¼") </t>
  </si>
  <si>
    <t xml:space="preserve">Sieve, Ø400x50mm , stainless steel , 5,6mm (#3-½) </t>
  </si>
  <si>
    <t xml:space="preserve">Sieve, Ø400x50mm , stainless steel , 5mm </t>
  </si>
  <si>
    <t xml:space="preserve">Sieve, Ø400x50mm , stainless steel , 4,75mm (#4) </t>
  </si>
  <si>
    <t xml:space="preserve">Sieve, Ø400x50mm , stainless steel , 4mm (#5) </t>
  </si>
  <si>
    <t xml:space="preserve">Sieve, Ø400x50mm , stainless steel , 3,35mm (#6) </t>
  </si>
  <si>
    <t xml:space="preserve">Sieve, Ø400x50mm , stainless steel , 3,15mm  </t>
  </si>
  <si>
    <t xml:space="preserve">Sieve, Ø400x50mm , stainless steel , 2,8mm (#7) </t>
  </si>
  <si>
    <t xml:space="preserve">Sieve, Ø400x50mm , stainless steel , 2,5mm </t>
  </si>
  <si>
    <t xml:space="preserve">Sieve, Ø400x50mm , stainless steel , 2,36mm (#8) </t>
  </si>
  <si>
    <t xml:space="preserve">Sieve, Ø400x50mm , stainless steel , 2mm (#10) </t>
  </si>
  <si>
    <t xml:space="preserve">Sieve, Ø400x50mm , stainless steel , 1,7mm (#12) </t>
  </si>
  <si>
    <t xml:space="preserve">Sieve, Ø400x50mm , stainless steel , 1,6mm </t>
  </si>
  <si>
    <t xml:space="preserve">Sieve, Ø400x50mm , stainless steel , 1,4mm (#14) </t>
  </si>
  <si>
    <t xml:space="preserve">Sieve, Ø400x50mm , stainless steel , 1,25mm </t>
  </si>
  <si>
    <t xml:space="preserve">Sieve, Ø400x50mm , stainless steel , 1,18mm (#16) </t>
  </si>
  <si>
    <t xml:space="preserve">Sieve, Ø400x50mm , stainless steel , 1mm (#18) </t>
  </si>
  <si>
    <t xml:space="preserve">Sieve, Ø400x50mm , stainless steel , 850µm (#20) </t>
  </si>
  <si>
    <t xml:space="preserve">Sieve, Ø400x50mm , stainless steel , 800µm  </t>
  </si>
  <si>
    <t xml:space="preserve">Sieve, Ø400x50mm , stainless steel , 710µm (#25) </t>
  </si>
  <si>
    <t xml:space="preserve">Sieve, Ø400x50mm , stainless steel , 630µm  </t>
  </si>
  <si>
    <t xml:space="preserve">Sieve, Ø400x50mm , stainless steel , 600µm (#30) </t>
  </si>
  <si>
    <t xml:space="preserve">Sieve, Ø400x50mm , stainless steel , 500µm (#35) </t>
  </si>
  <si>
    <t xml:space="preserve">Sieve, Ø400x50mm , stainless steel , 425µm (#40) </t>
  </si>
  <si>
    <t xml:space="preserve">Sieve, Ø400x50mm , stainless steel , 400µm  </t>
  </si>
  <si>
    <t xml:space="preserve">Sieve, Ø400x50mm , stainless steel , 355µm (#45) </t>
  </si>
  <si>
    <t xml:space="preserve">Sieve, Ø400x50mm , stainless steel , 315µm  </t>
  </si>
  <si>
    <t xml:space="preserve">Sieve, Ø400x50mm , stainless steel , 300µm (#50) </t>
  </si>
  <si>
    <t xml:space="preserve">Sieve, Ø400x50mm , stainless steel , 250µm (#60) </t>
  </si>
  <si>
    <t xml:space="preserve">Sieve, Ø400x50mm , stainless steel , 212µm (#70) </t>
  </si>
  <si>
    <t xml:space="preserve">Sieve, Ø400x50mm , stainless steel , 200µm  </t>
  </si>
  <si>
    <t xml:space="preserve">Sieve, Ø400x50mm , stainless steel , 180µm (#80) </t>
  </si>
  <si>
    <t xml:space="preserve">Sieve, Ø400x50mm , stainless steel , 160µm  </t>
  </si>
  <si>
    <t xml:space="preserve">Sieve, Ø400x50mm , stainless steel , 150µm (#100) </t>
  </si>
  <si>
    <t xml:space="preserve">Sieve, Ø400x50mm , stainless steel , 125µm (#120) </t>
  </si>
  <si>
    <t xml:space="preserve">Sieve, Ø400x50mm , stainless steel , 106µm (#140) </t>
  </si>
  <si>
    <t xml:space="preserve">Sieve, Ø400x50mm , stainless steel , 100µm  </t>
  </si>
  <si>
    <t xml:space="preserve">Sieve, Ø400x50mm , stainless steel , 90µm (#170) </t>
  </si>
  <si>
    <t xml:space="preserve">Sieve, Ø400x50mm , stainless steel , 80µm  </t>
  </si>
  <si>
    <t xml:space="preserve">Sieve, Ø400x50mm , stainless steel , 75µm (#200) </t>
  </si>
  <si>
    <t xml:space="preserve">Sieve, Ø400x50mm , stainless steel , 63µm (#230) </t>
  </si>
  <si>
    <t xml:space="preserve">Sieve, Ø400x50mm , stainless steel , 53µm (#270) </t>
  </si>
  <si>
    <t xml:space="preserve">Sieve, Ø400x50mm , stainless steel , 50µm  </t>
  </si>
  <si>
    <t xml:space="preserve">Sieve, Ø400x50mm , stainless steel , 45µm (#325) </t>
  </si>
  <si>
    <t xml:space="preserve">Sieve, Ø400x50mm , stainless steel , 40µm  </t>
  </si>
  <si>
    <t xml:space="preserve">Sieve, Ø400x50mm , stainless steel , 38µm (#400) </t>
  </si>
  <si>
    <t xml:space="preserve">Sieve, Ø400x50mm , stainless steel , 25µm </t>
  </si>
  <si>
    <t>Receiver, Ø400x50mm  stainless steel</t>
  </si>
  <si>
    <t>Lid, Ø400mm stainless steel</t>
  </si>
  <si>
    <t xml:space="preserve">Sieve, Ø450x50mm , stainless steel , 125mm </t>
  </si>
  <si>
    <t xml:space="preserve">Sieve, Ø450x50mm , stainless steel , 100mm (4") </t>
  </si>
  <si>
    <t xml:space="preserve">Sieve, Ø450x50mm , stainless steel , 90mm (3-½") </t>
  </si>
  <si>
    <t xml:space="preserve">Sieve, Ø450x50mm , stainless steel , 80mm </t>
  </si>
  <si>
    <t xml:space="preserve">Sieve, Ø450x50mm , stainless steel , 75mm (3") </t>
  </si>
  <si>
    <t xml:space="preserve">Sieve, Ø450x50mm , stainless steel , 63mm (2-½") </t>
  </si>
  <si>
    <t xml:space="preserve">Sieve, Ø450x50mm , stainless steel , 56mm </t>
  </si>
  <si>
    <t xml:space="preserve">Sieve, Ø450x50mm , stainless steel , 53mm (2.12") </t>
  </si>
  <si>
    <t xml:space="preserve">Sieve, Ø450x50mm , stainless steel , 50mm (2") </t>
  </si>
  <si>
    <t xml:space="preserve">Sieve, Ø450x50mm , stainless steel , 45mm (1-¾") </t>
  </si>
  <si>
    <t xml:space="preserve">Sieve, Ø450x50mm , stainless steel , 40mm </t>
  </si>
  <si>
    <t xml:space="preserve">Sieve, Ø450x50mm , stainless steel , 37,5mm (1-½") </t>
  </si>
  <si>
    <t xml:space="preserve">Sieve, Ø450x50mm , stainless steel , 31,5mm (1-¼") </t>
  </si>
  <si>
    <t xml:space="preserve">Sieve, Ø450x50mm , stainless steel , 26,5mm (1.06") </t>
  </si>
  <si>
    <t xml:space="preserve">Sieve, Ø450x50mm , stainless steel , 25mm (1") </t>
  </si>
  <si>
    <t xml:space="preserve">Sieve, Ø450x50mm , stainless steel , 22,4mm (7/8") </t>
  </si>
  <si>
    <t xml:space="preserve">Sieve, Ø450x50mm , stainless steel , 20mm </t>
  </si>
  <si>
    <t xml:space="preserve">Sieve, Ø450x50mm , stainless steel , 19mm (¾") </t>
  </si>
  <si>
    <t xml:space="preserve">Sieve, Ø450x50mm , stainless steel , 16mm (5/8") </t>
  </si>
  <si>
    <t xml:space="preserve">Sieve, Ø450x50mm , stainless steel , 13,2mm (.530") </t>
  </si>
  <si>
    <t xml:space="preserve">Sieve, Ø450x50mm , stainless steel , 12,5mm (½") </t>
  </si>
  <si>
    <t xml:space="preserve">Sieve, Ø450x50mm , stainless steel , 11,2mm (7/16") </t>
  </si>
  <si>
    <t xml:space="preserve">Sieve, Ø450x50mm , stainless steel , 10mm </t>
  </si>
  <si>
    <t xml:space="preserve">Sieve, Ø450x50mm , stainless steel , 9,5mm (3/8") </t>
  </si>
  <si>
    <t xml:space="preserve">Sieve, Ø450x50mm , stainless steel , 8mm (5/16") </t>
  </si>
  <si>
    <t xml:space="preserve">Sieve, Ø450x50mm , stainless steel , 6,7mm (.265") </t>
  </si>
  <si>
    <t xml:space="preserve">Sieve, Ø450x50mm , stainless steel , 6,3mm (¼") </t>
  </si>
  <si>
    <t xml:space="preserve">Sieve, Ø450x50mm , stainless steel , 5,6mm (#3-½) </t>
  </si>
  <si>
    <t xml:space="preserve">Sieve, Ø450x50mm , stainless steel , 5mm </t>
  </si>
  <si>
    <t xml:space="preserve">Sieve, Ø450x50mm , stainless steel , 4,75mm (#4) </t>
  </si>
  <si>
    <t xml:space="preserve">Sieve, Ø450x50mm , stainless steel , 4mm (#5) </t>
  </si>
  <si>
    <t xml:space="preserve">Sieve, Ø450x50mm , stainless steel , 3,35mm (#6) </t>
  </si>
  <si>
    <t xml:space="preserve">Sieve, Ø450x50mm , stainless steel , 3,15mm  </t>
  </si>
  <si>
    <t xml:space="preserve">Sieve, Ø450x50mm , stainless steel , 2,8mm (#7) </t>
  </si>
  <si>
    <t xml:space="preserve">Sieve, Ø450x50mm , stainless steel , 2,5mm </t>
  </si>
  <si>
    <t xml:space="preserve">Sieve, Ø450x50mm , stainless steel , 2,36mm (#8) </t>
  </si>
  <si>
    <t xml:space="preserve">Sieve, Ø450x50mm , stainless steel , 2mm (#10) </t>
  </si>
  <si>
    <t xml:space="preserve">Sieve, Ø450x50mm , stainless steel , 1,7mm (#12) </t>
  </si>
  <si>
    <t xml:space="preserve">Sieve, Ø450x50mm , stainless steel , 1,6mm </t>
  </si>
  <si>
    <t xml:space="preserve">Sieve, Ø450x50mm , stainless steel , 1,4mm (#14) </t>
  </si>
  <si>
    <t xml:space="preserve">Sieve, Ø450x50mm , stainless steel , 1,25mm </t>
  </si>
  <si>
    <t xml:space="preserve">Sieve, Ø450x50mm , stainless steel , 1,18mm (#16) </t>
  </si>
  <si>
    <t xml:space="preserve">Sieve, Ø450x50mm , stainless steel , 1mm (#18) </t>
  </si>
  <si>
    <t xml:space="preserve">Sieve, Ø450x50mm , stainless steel , 850µm (#20) </t>
  </si>
  <si>
    <t xml:space="preserve">Sieve, Ø450x50mm , stainless steel , 800µm  </t>
  </si>
  <si>
    <t xml:space="preserve">Sieve, Ø450x50mm , stainless steel , 710µm (#25) </t>
  </si>
  <si>
    <t xml:space="preserve">Sieve, Ø450x50mm , stainless steel , 630µm  </t>
  </si>
  <si>
    <t xml:space="preserve">Sieve, Ø450x50mm , stainless steel , 600µm (#30) </t>
  </si>
  <si>
    <t xml:space="preserve">Sieve, Ø450x50mm , stainless steel , 500µm (#35) </t>
  </si>
  <si>
    <t xml:space="preserve">Sieve, Ø450x50mm , stainless steel , 425µm (#40) </t>
  </si>
  <si>
    <t xml:space="preserve">Sieve, Ø450x50mm , stainless steel , 400µm  </t>
  </si>
  <si>
    <t xml:space="preserve">Sieve, Ø450x50mm , stainless steel , 355µm (#45) </t>
  </si>
  <si>
    <t xml:space="preserve">Sieve, Ø450x50mm , stainless steel , 315µm  </t>
  </si>
  <si>
    <t xml:space="preserve">Sieve, Ø450x50mm , stainless steel , 300µm (#50) </t>
  </si>
  <si>
    <t xml:space="preserve">Sieve, Ø450x50mm , stainless steel , 250µm (#60) </t>
  </si>
  <si>
    <t xml:space="preserve">Sieve, Ø450x50mm , stainless steel , 212µm (#70) </t>
  </si>
  <si>
    <t xml:space="preserve">Sieve, Ø450x50mm , stainless steel , 200µm  </t>
  </si>
  <si>
    <t xml:space="preserve">Sieve, Ø450x50mm , stainless steel , 180µm (#80) </t>
  </si>
  <si>
    <t xml:space="preserve">Sieve, Ø450x50mm , stainless steel , 160µm  </t>
  </si>
  <si>
    <t xml:space="preserve">Sieve, Ø450x50mm , stainless steel , 150µm (#100) </t>
  </si>
  <si>
    <t xml:space="preserve">Sieve, Ø450x50mm , stainless steel , 125µm (#120) </t>
  </si>
  <si>
    <t xml:space="preserve">Sieve, Ø450x50mm , stainless steel , 106µm (#140) </t>
  </si>
  <si>
    <t xml:space="preserve">Sieve, Ø450x50mm , stainless steel , 100µm  </t>
  </si>
  <si>
    <t xml:space="preserve">Sieve, Ø450x50mm , stainless steel , 90µm (#170) </t>
  </si>
  <si>
    <t xml:space="preserve">Sieve, Ø450x50mm , stainless steel , 80µm  </t>
  </si>
  <si>
    <t xml:space="preserve">Sieve, Ø450x50mm , stainless steel , 75µm (#200) </t>
  </si>
  <si>
    <t xml:space="preserve">Sieve, Ø450x50mm , stainless steel , 63µm (#230) </t>
  </si>
  <si>
    <t xml:space="preserve">Sieve, Ø450x50mm , stainless steel , 53µm (#270) </t>
  </si>
  <si>
    <t xml:space="preserve">Sieve, Ø450x50mm , stainless steel , 50µm  </t>
  </si>
  <si>
    <t xml:space="preserve">Sieve, Ø450x50mm , stainless steel , 45µm (#325) </t>
  </si>
  <si>
    <t xml:space="preserve">Sieve, Ø450x50mm , stainless steel , 40µm  </t>
  </si>
  <si>
    <t xml:space="preserve">Sieve, Ø450x50mm , stainless steel , 38µm (#400) </t>
  </si>
  <si>
    <t xml:space="preserve">Sieve, Ø450x50mm , stainless steel , 25µm </t>
  </si>
  <si>
    <t>Receiver, Ø450x50mm  stainless steel</t>
  </si>
  <si>
    <t>Lid, Ø450mm stainless steel</t>
  </si>
  <si>
    <t>Sieve Set (Concrete). 200 mm dia.                   
31,5- 22,4- 16- 11,2- 8- 5,6- 4- 2- 1- 0,5- 0,25- 0,125- 0,063 mm stainless steel frame and mesh, woven cloth, 13 unit sieves, lid and receiver</t>
  </si>
  <si>
    <t>Sieve Set (Soil). 200 mm dia.                   
75-50-37,5-25-19-9,5-4,75-2-0,850-0,425-0,250-0,106-0,075 mm stainless steel frame and mesh, woven cloth, 13 unit sieves, lid and receiver</t>
  </si>
  <si>
    <t>Sieve Set (Asphalt). 200 mm dia.                   
3"- 2 1/2"- 2" - 1 1/2" - 1" - 3/4" - 1/2" - 3/8"  
No: 4 - 8 - 10 - 30 - 40 - 50 - 80 - 100 - 200 stainless steel frame and mesh, woven cloth,17 unit sieves, lid and receiver</t>
  </si>
  <si>
    <t>Sieve Set (Concrete). 300 mm dia.                   
31,5- 22,4- 16- 11,2- 8- 5,6- 4- 2- 1- 0,5- 0,25- 0,125- 0,063 mm stainless steel frame and mesh, woven cloth, 13 unit sieves, lid and receiver</t>
  </si>
  <si>
    <t>Sieve Set (Soil). 300 mm dia.                   
75-50-37,5-25-19-9,5-4,75-2-0,850-0,425-0,250-0,106-0,075 mm stainless steel frame and mesh, woven cloth, 13 unit sieves, lid and receiver</t>
  </si>
  <si>
    <t>Sieve Set (Asphalt). 300 mm dia.                   
3"- 2 1/2"- 2" - 1 1/2" - 1" - 3/4" - 1/2" - 3/8"  
No: 4 - 8 - 10 - 30 - 40 - 50 - 80 - 100 - 200 stainless steel frame and mesh, woven cloth,17 unit sieves, lid and receiver</t>
  </si>
  <si>
    <t>40x60x7,5 cm Sieve, 125 mm</t>
  </si>
  <si>
    <t>40x60x7,5 cm Sieve, 100 mm (4'')</t>
  </si>
  <si>
    <t>40x60x7,5 cm Sieve, 90 mm</t>
  </si>
  <si>
    <t>40x60x7,5 cm Sieve, 80 mm</t>
  </si>
  <si>
    <t>40x60x7,5 cm Sieve, 75 mm (3'')</t>
  </si>
  <si>
    <t>40x60x7,5 cm Sieve, 63 mm</t>
  </si>
  <si>
    <t>40x60x7,5 cm Sieve, 56 mm</t>
  </si>
  <si>
    <t>40x60x7,5 cm Sieve, 53 mm (2.12'')</t>
  </si>
  <si>
    <t>40x60x7,5 cm Sieve, 50 mm (2'')</t>
  </si>
  <si>
    <t>40x60x7,5 cm Sieve, 45 mm (1-¾)</t>
  </si>
  <si>
    <t>40x60x7,5 cm Sieve, 40 mm</t>
  </si>
  <si>
    <t>40x60x7,5 cm Sieve, 37,5 mm (1-½)</t>
  </si>
  <si>
    <t>40x60x7,5 cm Sieve, 31,5 mm (1-¼'')</t>
  </si>
  <si>
    <t>40x60x7,5 cm Sieve, 26,5 mm (1.06'')</t>
  </si>
  <si>
    <t>40x60x7,5 cm Sieve, 25 mm (1'')</t>
  </si>
  <si>
    <t>40x60x7,5 cm Sieve, 22,4 mm (7/8'')</t>
  </si>
  <si>
    <t>40x60x7,5 cm Sieve, 20 mm</t>
  </si>
  <si>
    <t>40x60x7,5 cm Sieve, 19 mm (¾'')</t>
  </si>
  <si>
    <t>40x60x7,5 cm Sieve, 16 mm  (5/8'')</t>
  </si>
  <si>
    <t>40x60x7,5 cm Sieve, 13,2 mm (.530'')</t>
  </si>
  <si>
    <t>40x60x7,5 cm Sieve, 12,5 mm (½'')</t>
  </si>
  <si>
    <t>40x60x7,5 cm Sieve, 11,2 mm (7/16'')</t>
  </si>
  <si>
    <t>40x60x7,5 cm Sieve, 10 mm</t>
  </si>
  <si>
    <t>40x60x7,5 cm Sieve, 9,5 mm (3/8'')</t>
  </si>
  <si>
    <t>40x60x7,5 cm Sieve, 8 mm (5/16'')</t>
  </si>
  <si>
    <t>40x60x7,5 cm Sieve, 6,7 mm (.265'')</t>
  </si>
  <si>
    <t>40x60x7,5 cm Sieve, 6,3 mm (¼'')</t>
  </si>
  <si>
    <t>40x60x7,5 cm Sieve, 5,6 mm(No.3-½)</t>
  </si>
  <si>
    <t>40x60x7,5 cm Sieve, 5 mm</t>
  </si>
  <si>
    <t>40x60x7,5 cm Sieve, 4,75 mm (No.4)</t>
  </si>
  <si>
    <t>40x60x7,5 cm Sieve, 4 mm (No.5)</t>
  </si>
  <si>
    <t>Sieve Shaker, for 200 mm and 300 mm sieves. The shaker is fitted with digital timer which can be pre-set for any duration up to
99 minutes. 220-240V 50-60Hz 1Ph</t>
  </si>
  <si>
    <t>Sieve Shaker, for 200 mm and 300 mm sieves. The shaker is fitted with digital timer which can be pre-set for any duration up to
99 minutes. The Model has the additional frequency adjustment/control property. 220-240V 50-60Hz 1Ph</t>
  </si>
  <si>
    <t>High capacity Hydraulic Screen Shaker, 
has a capacity of about 30 lt (60 ÷ 70 Kg) of sample. For use with 40x60 cm dimension screens. Various sizes of screens are available on request. Capacity is 6 sieves and lid. The shaker is fitted with timer which can be pre-set for any duration up to 60 minutes.
Supplied with dust cup. Sieves should be ordered separately.</t>
  </si>
  <si>
    <t>High capacity Hydraulic Screen Shaker with time and frequency adjustment.
has a capacity of about 30 lt (60 ÷ 70 Kg) of sample. For use with 40x60 cm dimension screens. Various sizes of screens are available on request. Capacity is 6 sieves and lid. The shaker is fitted with timer which can be pre-set for any duration up to 60 minutes.
Supplied with dust cup. Sieves should be ordered separately.</t>
  </si>
  <si>
    <t>High capacity Hydraulic Screen Shaker with time  adjustment and soundproof cabinet.
has a capacity of about 30 lt (60 ÷ 70 Kg) of sample. For use with 40x60 cm dimension screens. Various sizes of screens are available on request. Capacity is 6 sieves and lid. The shaker is fitted with timer which can be pre-set for any duration up to 60 minutes.
Supplied with dust cup. Sieves should be ordered separately.</t>
  </si>
  <si>
    <t>High capacity Hydraulic Screen Shaker with time and frequency adjustment and soundproof cabinet.
has a capacity of about 30 lt (60 ÷ 70 Kg) of sample. For use with 40x60 cm dimension screens. Various sizes of screens are available on request. Capacity is 6 sieves and lid. The shaker is fitted with timer which can be pre-set for any duration up to 60 minutes.
Supplied with dust cup. Sieves should be ordered separately.</t>
  </si>
  <si>
    <t>40x60x7,5 cm Sieve</t>
  </si>
  <si>
    <t>Air jet sieving machine</t>
  </si>
  <si>
    <t>Tumble Screening Machine
Material Particle Size from 0,063 mm to 20 mm
Can accommodate up to three circular sieves (Ø 600 mm)
Together with 3 accredited certificated circular sieves (Ø 600 mm) Screen surface per deck approx. 0,25 m2
Integrated with a 50 L feeding hopper and an electro-magnetic vibratory feeder Each deck is equipped with rubber ball cleaning systems in order to keep screen meshes open and clear
The screened fractions are collected in four plastic drums connected tightly to the machine Electrical Motor: 0.25kW, 1400 rpm, 380 V, 3 p, 50 Hz</t>
  </si>
  <si>
    <t>Ultrasonuic Cleansing Apparatus</t>
  </si>
  <si>
    <t>Skid Resistance Tester</t>
  </si>
  <si>
    <t>Riffle Box 7mm, width of slots 7mm, 12 slots, supplied with 3 containers.</t>
  </si>
  <si>
    <t>Riffle Box 10mm, width of slots 10mm, 12 slots, supplied with 3 containers.</t>
  </si>
  <si>
    <t>Riffle Box 13mm, width of slots 13mm, 12 slots, supplied with 3 containers.</t>
  </si>
  <si>
    <t>Riffle Box 15mm, width of slots 15mm, 12 slots, supplied with 3 containers.</t>
  </si>
  <si>
    <t>Riffle Box 19mm, width of slots 19mm, 10 slots, supplied with 3 containers.</t>
  </si>
  <si>
    <t>Riffle Box 20mm, width of slots 20mm, 10 slots, supplied with 3 containers.</t>
  </si>
  <si>
    <t>Riffle Box 25mm, width of slots 25mm, 10 slots, supplied with 3 containers.</t>
  </si>
  <si>
    <t>Riffle Box 30mm, width of slots 30mm, 10 slots, supplied with 3 containers.</t>
  </si>
  <si>
    <t>Riffle Box 38mm, width of slots 38mm, 8 slots, supplied with 3 containers.</t>
  </si>
  <si>
    <t>Riffle Box 45mm, width of slots 45mm, 8 slots, supplied with 3 containers.</t>
  </si>
  <si>
    <t>Riffle Box 50mm, width of slots 50mm, 8 slots, supplied with 3 containers.</t>
  </si>
  <si>
    <t>Riffle Box 64mm, width of slots 64mm, 8 slots, supplied with 3 containers.</t>
  </si>
  <si>
    <t>Riffle Box 75mm, width of slots 75mm, 8 slots, supplied with 3 containers.</t>
  </si>
  <si>
    <t>Universal Sample Splitter Sp1 Type</t>
  </si>
  <si>
    <t xml:space="preserve"> Sp2 Type Large Capacity Sample Splitter</t>
  </si>
  <si>
    <t>Bulk Density Measure, 1L capacity, with handles, made of electrostatic painted steel</t>
  </si>
  <si>
    <t>Bulk Density Measure, 5L capacity, with handles, made of electrostatic painted steel</t>
  </si>
  <si>
    <t>Bulk Density Measure, 10L capacity, with handles, made of electrostatic painted steel</t>
  </si>
  <si>
    <t>Bulk Density Measure, 20L capacity, with handles, made of electrostatic painted steel</t>
  </si>
  <si>
    <t>Sand Absorption Cone and Tamper</t>
  </si>
  <si>
    <t>Sand Absorption Cone</t>
  </si>
  <si>
    <t>Tamper Rod</t>
  </si>
  <si>
    <t>Thickness Gauge (Flakiness Index BS)</t>
  </si>
  <si>
    <t>Length Gauge (Elongation Indeks BS)</t>
  </si>
  <si>
    <t>Shape Index Caliper</t>
  </si>
  <si>
    <t>Efflux Index (Flow Coefficient) Apparatus</t>
  </si>
  <si>
    <t>Los Angeles Abrasion Machine, meets ASTM and proposed European standard, rotates its horizontal axis at 31-33 rpm, digital counter, mechanism to stop machine at required count, supplied with tray for specimen unloading. 
220-240V 50 Hz,1 ph.</t>
  </si>
  <si>
    <t>Los Angeles Abrasion Machine with Safety Cover, meets ASTM and proposed European standard, rotates its horizontal axis at 31-33 rpm, digital counter, mechanism to stop machine at required count, supplied with tray for specimen unloading. 220-240V 50 Hz,1 ph.</t>
  </si>
  <si>
    <t>Los Angeles abrasion charges, ASTM/UNI/CNR, 12 pieces, stainless steel</t>
  </si>
  <si>
    <t>Los Angeles abrasion charges, EN, 11 pieces, stainless steel</t>
  </si>
  <si>
    <t>Micro-Deval Apparatus, the drums are rotated at a speed of 100±5 rpm, electronic control unit with digital display, machine stops automatically at the preset number of gyrations,  supplied with two Ø200x154mm stainless steel drum and Ø10mm diameter steel spheres, 25kg pack. 220-240V 50 Hz, 1 ph</t>
  </si>
  <si>
    <t>Stainless Steel Drum Ø200x154mm long for Micro-Deval Apparatus</t>
  </si>
  <si>
    <t xml:space="preserve">Micro-Deval Abrasion Ball Set Ø10mm, conforming to EN 1097-1, Ø10mm diameter steel spheres, 25kg pack.   </t>
  </si>
  <si>
    <t>Manhole Tops and Gully Top Testing Machine</t>
  </si>
  <si>
    <t>Nordic Abrasion Machine, consists of an electronic control unit with digital display and a rolled stainless steel drum having an inner Ø206.5mm, 335mm inner length and 6mm thickness. The drum is rotated at a speed of 90±3 rpm. 3 wings are installed inside of the drum to allow balls and aggregates to be mixed properly. Supplied completed with 1pcs. drum and 7 kg Ø15mm steel balls 220-240V, 50Hz, 1ph.</t>
  </si>
  <si>
    <t>Accelerated Polishing Machine (PSV), used to prepare polished stone samples for skid tester. Supplied complete with 2pcs. container for setting the mass (one for flour and one for corn emery), one specimen mould with a cover, one allen key set and 2pcs.Rubber Tired Wheels.  Corn Emery, Flour Emery, additional  Specimen Mould with a Cover  and PSV Control Stone should be ordered separately. 850 W, 220-240V, 50-60Hz, 1ph.</t>
  </si>
  <si>
    <t>Aggregate Impact Value, meets BS 812, this machine is robustly designed to determine aggregate impact value of aggregate which provides a relative measure of the resistance of an aggregate to sudden shock or impact. Supplied with aggregate impact value machine, Ø75mm ID cylindrical measure, and tamping rod.</t>
  </si>
  <si>
    <t>Aggregate Crushing Value, Ø75mm ID cylindrical measure, base plate, plunger, metal measure,  tamping rod</t>
  </si>
  <si>
    <t>Steel Cylinder Ø75 mm</t>
  </si>
  <si>
    <t>Base Plate</t>
  </si>
  <si>
    <t>Metal Measure Ø57x90</t>
  </si>
  <si>
    <t>Steel Cylinder Ø 150 mm</t>
  </si>
  <si>
    <t>Metal Measure Ø115x180</t>
  </si>
  <si>
    <t>Tamping Rod. Ø 16 x 600 mm</t>
  </si>
  <si>
    <t>End-over-end Shaker. 1 lt capacity Gas Jar is made of glass and supplied complete with rubber bung and glass cover.</t>
  </si>
  <si>
    <t>1 lt capacity Gas Jar</t>
  </si>
  <si>
    <t>Sand Equivalent Test Set EN Model, supplied with 2 measuring cylinder, irrigator tube, weight, weight hook, rubber stopper, rubber funnel, rubber hose, 5 lt plastic can, Steel Ruler 300x0.1 mm, Measuring Can. Ø 5,5 x 3,5 cm and carrying case. (except stock solution)</t>
  </si>
  <si>
    <t>Sand Equivalent Measuring Two Graduated Cylinder, EN</t>
  </si>
  <si>
    <t>Siphon Assembly (irrigator tube, rubber stopper,  rubber hose, 5 lt plastic can)</t>
  </si>
  <si>
    <t>Weighted foot Assembly ( weight, weight hook)</t>
  </si>
  <si>
    <t>Sand Equivalent Test Set ASTM Model, supplied with 2 graduated measuring cylinder, irrigator tube, weight, weight hook, rubber stopper, rubber funnel, rubber hose, 5 lt plastic can, Steel Ruler 300x0.1 mm, Measuring Can. Ø 5,5 x 3,5 cm  and carrying case. (except stock solution)</t>
  </si>
  <si>
    <t>Sand Equivalent Measuring Graduated Cylinder, ASTM</t>
  </si>
  <si>
    <t>Steel Ruler 300x0.1 mm</t>
  </si>
  <si>
    <t>Plastic Funnel, 100 mm</t>
  </si>
  <si>
    <t>Measuring Can. Ø 5,5 x 3,5 cm</t>
  </si>
  <si>
    <t>5 lt Capacity Sand Jar</t>
  </si>
  <si>
    <t>Caryying Case</t>
  </si>
  <si>
    <r>
      <t xml:space="preserve">Sand Equivalent Shaker, </t>
    </r>
    <r>
      <rPr>
        <sz val="10"/>
        <rFont val="Cambria"/>
        <family val="1"/>
        <charset val="162"/>
      </rPr>
      <t>used to shake sand eqivalent set graduated cylinders homogeneously. 220-240V,50 Hz, 1 ph</t>
    </r>
  </si>
  <si>
    <r>
      <t>Sand Equivalent Shaker, with safety cover, u</t>
    </r>
    <r>
      <rPr>
        <sz val="10"/>
        <rFont val="Cambria"/>
        <family val="1"/>
        <charset val="162"/>
      </rPr>
      <t>sed to shake sand eqivalent set graduated cylinders homogeneously. 220-240V,50 Hz, 1 ph</t>
    </r>
  </si>
  <si>
    <t xml:space="preserve">Density Basket, 3,35 mm (No:6), stainless steel , 200mm dia, 200mm </t>
  </si>
  <si>
    <t xml:space="preserve">Density Basket, 3,35 mm (No:6), stainless steel , 250mm dia, 250mm </t>
  </si>
  <si>
    <t xml:space="preserve">Density Basket, 2,00 mm (No:10) , stainless steel , 200mm dia, 180mm </t>
  </si>
  <si>
    <t xml:space="preserve">Density Basket, 3,35 mm (No:6), stainless steel , 120mm dia, 160mm </t>
  </si>
  <si>
    <t xml:space="preserve">Density Basket, 1.7 mm (No:12), stainless steel, 120 mm dia, 160mm </t>
  </si>
  <si>
    <t xml:space="preserve">Density Basket, 600 mikron (No.30), stainless steel, 120 mm dia, 160mm </t>
  </si>
  <si>
    <t xml:space="preserve">Density Basket, 9,5 mm (3/8"), stainless steel, 200 mm dia, 200mm </t>
  </si>
  <si>
    <t xml:space="preserve">Density Basket, 4 mm (No.5), stainless steel, 240 mm dia, 260mm </t>
  </si>
  <si>
    <t xml:space="preserve">Wire Basket, 1,18 mm (No.16), stainless steel, 95 mm dia,120mm </t>
  </si>
  <si>
    <t xml:space="preserve">Wire Basket, 0,600 mm (No.30), stainless steel, , 95 mm dia,120mm </t>
  </si>
  <si>
    <t xml:space="preserve">Wire Basket, 0,150 mm (No.100), stainless steel, , 65 mm dia, 80mm </t>
  </si>
  <si>
    <t>Pyknometer (Specific Gravity Bottle), 25 ml</t>
  </si>
  <si>
    <t>Pyknometer (Specific Gravity Bottle), 50 ml</t>
  </si>
  <si>
    <t>Pyknometer (Specific Gravity Bottle), 100 ml</t>
  </si>
  <si>
    <t>Pyknometer (Specific Gravity Bottle), 250 ml</t>
  </si>
  <si>
    <t>Pyknometer (Specific Gravity Bottle), 500 ml</t>
  </si>
  <si>
    <t>Pyknometer (Specific Gravity Bottle), 1000 ml</t>
  </si>
  <si>
    <t>Pyknometer (Bottle Type), 500 ml</t>
  </si>
  <si>
    <t>Pyknometer (Bottle Type), 1000 ml</t>
  </si>
  <si>
    <t>Pyknometer (Bottle Type), 2000 ml</t>
  </si>
  <si>
    <t>Pyknometer (Bottle Type), 3000 ml</t>
  </si>
  <si>
    <t>Pyknometer (Bottle Type), 5000 ml</t>
  </si>
  <si>
    <t>Pyknometer (Glass Jar Type), 1000 ml</t>
  </si>
  <si>
    <t>Filling Head (For Bottle Type Picnometer)</t>
  </si>
  <si>
    <t>Methylene Blue Test Set, Set consists of 400/600 r.p.m. Electric stirrer, complete with Ø 75 mm stirring propeller, support base for stirrer, 50 ml glass burette, burette holder, support base for burette, Ø 125 mm Filter Papers (pack of 100), Ø 8*300 mm glass rod, 2000 ml capacity plastic beaker, 100 gr methylene blue and 500 gr kaolinite.
220-240V, 50-60 Hz, 1ph</t>
  </si>
  <si>
    <t>High Speed Agitator Motor. 400/600 r.p.m.</t>
  </si>
  <si>
    <t>Burette holder</t>
  </si>
  <si>
    <t>Burette stand</t>
  </si>
  <si>
    <t>Burette clamp</t>
  </si>
  <si>
    <t>Plastic Beaker, Handled,  2000 ml</t>
  </si>
  <si>
    <t>Glass Stirring Rod; 8*300 mm</t>
  </si>
  <si>
    <t>Glass Burette 50ml</t>
  </si>
  <si>
    <t>Methylene Blue. 100 gr</t>
  </si>
  <si>
    <t>Kaolinite, 500 gr.</t>
  </si>
  <si>
    <t>Filter Paper for Methylene Blue Test, Ø125 mm dia. Pack of 100</t>
  </si>
  <si>
    <t>Specific Gravity Test Set; used with a suitable electronic balance for specific gravity determination of fresh and hardened concrete and aggregates. Supplied with a water tank, density basket and cradle. (Balance should be ordered separately.)</t>
  </si>
  <si>
    <t>Specific Gravity Frame</t>
  </si>
  <si>
    <t>Cradle</t>
  </si>
  <si>
    <t>Density Tank. 28x38x30 cm</t>
  </si>
  <si>
    <t>Density Tank. 40x40x30 cm</t>
  </si>
  <si>
    <t xml:space="preserve">Wire Basket, 3,35 mm (No:6), stainless steel , 200mm dia, 200mm </t>
  </si>
  <si>
    <t>Freezing and Thawing Chamber on Air, 250 L capacity, -30 to +30°C temperature range, stainless steel interior, 220 V, 50-60 Hz, 1 ph</t>
  </si>
  <si>
    <t>Freezing on Air and Thawing on Water Chamber, 250 L capacity, -30 to +30°C temperature range, stainless steel interior, 
220 V, 50-60 Hz, 1 ph</t>
  </si>
  <si>
    <t>Freezing and Thawing Chamber on Air, 500 L capacity, -30 to +30°C temperature range, stainless steel interior, 220 V, 50-60 Hz, 1 ph</t>
  </si>
  <si>
    <t>Freezing on Air and Thawing on Water Chamber,  500 L capacity, -30 to +30°C temperature range, stainless steel interior, 
220 V, 50-60 Hz, 1 ph</t>
  </si>
  <si>
    <t>Freezing on Water and Thawing on Water Chamber,  500 L capacity, -30 to +30°C temperature range, stainless steel interior, 
220 V, 50-60 Hz, 1 ph</t>
  </si>
  <si>
    <t>Freezing and Thawing Chamber on Air, 750 L capacity, -30 to +30°C temperature range, stainless steel interior, 380 V, 50-60 Hz, 3 ph</t>
  </si>
  <si>
    <t>Freezing on Air and Thawing on Water Chamber,  750 L capacity, -30 to +30°C temperature range, stainless steel interior, 
380 V, 50-60 Hz, 3 ph</t>
  </si>
  <si>
    <t>Freezing on Water and Thawing on Water Chamber,  750 L capacity, -30 to +30°C temperature range, stainless steel interior, 
380 V, 50-60 Hz, 3 ph</t>
  </si>
  <si>
    <t>Freezing and Thawing Chamber on Air, 1000 L capacity, -30 to +30°C temperature range, stainless steel interior, 380 V, 50-60 Hz, 3 ph</t>
  </si>
  <si>
    <t>Magnesium Sulphate Test Set;
Complete with Magnesium/Sodium Sulphate Test Water Bath, Lever Lid Container Ø160 x 235 mm, Ø12 x 16 cm, 1,7 (No.12) mm density basket, Ø12 x 16 cm, 0,600 (No.30) mm density basket,
Hydrometer 1200-1300 g/ml and 1 kg Magnesium Sulphate.
220 V, 50-60 Hz, 1 ph
Other accessories should be ordered separately.</t>
  </si>
  <si>
    <t>Sodium Sulphate Test Set;
Complete with Magnesium/Sodium Sulphate Test Water Bath, Lever Lid Container Ø160 x 235 mm, Ø12 x 16 cm, 1,7 (No.12) mm density basket, Ø12 x 16 cm, 0,600 (No.30) mm density basket,
Hydrometer 1100-1200 g/ml and 1 kg Sodium Sulphate.
220 V, 50-60 Hz, 1 ph
Other accessories should be ordered separately.</t>
  </si>
  <si>
    <t>Magnesium/Sodium Sulphate Test Water Bath can be used as general purpose water bath when dipping cabinet removed from its place that temperature is between 15-60 °C with ± 1.0 °C accuracy.
220 V, 50-60 Hz, 1 ph</t>
  </si>
  <si>
    <t>Plastic box with cover  Ø160 x 235 mm, EN / ASTM</t>
  </si>
  <si>
    <t>Plastic box with cover  Ø270 x 300 mm, EN</t>
  </si>
  <si>
    <t>Hydrometer 1100-1200</t>
  </si>
  <si>
    <t>Plastic box with cover 60x40x4 mm</t>
  </si>
  <si>
    <t xml:space="preserve">Wire Basket, 1.7 mm, stainless steel, 120 mm dia, 160mm </t>
  </si>
  <si>
    <t xml:space="preserve">Wire Basket, 600 mikron (No.30), stainless steel, 120 mm dia, 160mm </t>
  </si>
  <si>
    <t>Sodium Sulphate, Na2SO4, 1 kg</t>
  </si>
  <si>
    <t>Magnesium Sulphate. 1 kg</t>
  </si>
  <si>
    <t>Magnesium Sulphate. 25 kg</t>
  </si>
  <si>
    <t>Analog Shrinkage Test Set;
The set consists of length measuring frame, 3 gang steel mould 50x50x200mm, steel inserts for mould, reference rod 205 mm and  0,01 mm analogue dial gauge.</t>
  </si>
  <si>
    <t>Digital Shrinkage Test Set; 
The set consists of length measuring frame, 3 gang steel mould 50x50x200mm, steel inserts for mould, reference rod 205 mm and 0.001mm digital dial gauge.</t>
  </si>
  <si>
    <t>Length Comparator, used to determine the changes in length of cement/concrete prisms, the top anvil is adjustable to suit the required specimen up to 205mm.</t>
  </si>
  <si>
    <t>Three gang Mould, 50x50x200mm.</t>
  </si>
  <si>
    <t>Steel Insert, Pack of 10</t>
  </si>
  <si>
    <t>Reference Rod, 205 mm</t>
  </si>
  <si>
    <t>Analog Dial Indicator, 10 x 0,01 mm</t>
  </si>
  <si>
    <t>Digital Dial Indicator, 12.7 x 0,001 mm</t>
  </si>
  <si>
    <t>Reference colours glass, Supplied with 2 glass bottles.</t>
  </si>
  <si>
    <t>Glass Bottle for Reference colours glass. 500 ml capacity.</t>
  </si>
  <si>
    <t>Glass Bottle for Reference colours glass. 1000 ml capacity.</t>
  </si>
  <si>
    <t>Sodium Hydroxide, NaOH, 1 kg</t>
  </si>
  <si>
    <t>Cloride titrator type 1175, 40 Strips</t>
  </si>
  <si>
    <t>Cloride titrator type 1176, 40 Strips</t>
  </si>
  <si>
    <t>Heat Of Hydration</t>
  </si>
  <si>
    <t>Alkali Aggregate reaction bath, The temperature can be adjusted from ambient to 100 °C using a digital thermostat with 1 °C accuracy. The chamber with a capacity of holding 36 samples.</t>
  </si>
  <si>
    <t>Alkali Aggregate reaction bath, The temperature can be adjusted from ambient to 100 °C using a digital thermostat with 1 °C accuracy. The chamber with a capacity of holding 2 x 36 samples.</t>
  </si>
  <si>
    <t>Cement Shrinkage Mould. Two Gang. 25x25x285mm</t>
  </si>
  <si>
    <t>Reference Rod. 305 mm</t>
  </si>
  <si>
    <t>600 kN Automatic Core-Rock Compression Testing Machine; consist of Load Frame, Automatic Hydraulic Power Pack, Digital data acquisition &amp; control system, Software, Distance Pieces, Ø 165x80 mm, 2 pcs. Ø 165x50 mm and 2 pcs. Ø 165x25 mm, Upper Platen (with ball seating assembly) Ø165 mm, Lower Platen Ø165 mm, Loading Cylinder Assembly &amp; Limit Switch for safety, Front and Rear Protective Doors for safety. 220 V, 50-60 Hz, 1 ph
***Computer should be ordered separately.</t>
  </si>
  <si>
    <t xml:space="preserve">600 kN Load Frame for Core-Rock Compression Tests. </t>
  </si>
  <si>
    <t>Hydraulic Power Pack and Digital Data Acquisition &amp; Control System. Complete with Software. 220 V, 50-60 Hz, 1 ph.
***Computer should be ordered separately.</t>
  </si>
  <si>
    <t>Hydraulic Power Pack</t>
  </si>
  <si>
    <t>Digital Data Acquisition &amp; Control System</t>
  </si>
  <si>
    <t>High Precision Pressure Transducer</t>
  </si>
  <si>
    <t>Software</t>
  </si>
  <si>
    <t>Distance Pieces, Ø 205 x 25 mm</t>
  </si>
  <si>
    <t>Distance Pieces, Ø 205 x 50 mm</t>
  </si>
  <si>
    <t>Distance Pieces, Ø 205 x 80 mm</t>
  </si>
  <si>
    <t>Computer &amp; Printer</t>
  </si>
  <si>
    <t>Compression Jig Assembly for Rock Core Specimens</t>
  </si>
  <si>
    <t>Rock Classification Hammer (Low Impact Energy Model)</t>
  </si>
  <si>
    <t>Rock Cradle</t>
  </si>
  <si>
    <t>Calibration Anvil</t>
  </si>
  <si>
    <t>Digital Point Load Tester (Rock Strength Index), It consist of a load frame for applying loads up to 50 kN, on which a manual hydraulic jack is mounted. The instrument accepts core specimens up to 4" (101.6 mm) diameter which are loaded by two cone shaped points. Complete with Manuel hydraulic jack, digital readout head, carrying case and safety mask.</t>
  </si>
  <si>
    <t>Digital Point Load Tester (Rock Strength Index), It consist of a load frame for applying loads up to 100 kN, on which a manual hydraulic jack is mounted. The instrument accepts core specimens up to 4" (101.6 mm) diameter which are loaded by two cone shaped points. Complete with Manuel hydraulic jack, digital readout head, carrying case and safety mask.</t>
  </si>
  <si>
    <t>Slake Durability Test Apparatus;The system incorporates a motor drive unit mounted on a baseplate which revolves two stainless steel drums manufactured from 2 mm mesh, 140 mm dia. x 100 mm long.
The tanks are filled with water to a level 20 mm below the drum axis.
A digital timer automatically stops the motor after the preset time. The machine can turn to two drums with 20 rpm.
The equipment is supplied complete with two Drums with tanks, base and accessories.</t>
  </si>
  <si>
    <t>Drums; two stainless steel drums manufactured from 2 mm mesh, 140 mm dia. x 100 mm long.</t>
  </si>
  <si>
    <t>Triaxial Test Set complete with Hand operated pressure system for lateral pressure in Hoek Cell with 700 bar capacity, Hoek Cell NX, Ø 54,74 mm and Spare Sealing Sleeves for Hoek Cell NX, Ø 54,74 mm.</t>
  </si>
  <si>
    <t>2000 kN Automatic Concrete Compression Testing Machine; EN, consist of Load Frame, Automatic Hydraulic Power Pack, Digital data acquisition &amp; control system, Software, Distance Pieces, Ø 200x50 mm, Ø 200x70 mm and Ø 200x80 mm, Upper Platen (with ball seating assembly) Ø300 mm, Lower Platen Ø300 mm, Loading Cylinder Assembly &amp; Limit Switch for safety, Front and Rear Protective Doors for safety. 220 V, 50-60 Hz, 1 ph
***Computer should be ordered separately.</t>
  </si>
  <si>
    <t>Hand Operated Pressure System for Lateral Pressure in Hoek Cell</t>
  </si>
  <si>
    <t>Hydraulic Power Pack, 700 bar</t>
  </si>
  <si>
    <t>Pressure Transducer and Digital Readout Unit</t>
  </si>
  <si>
    <t>Hoek Cell NX, Ø 54,74 mm</t>
  </si>
  <si>
    <t>Spare Sealing Sleeves for LT-R0070/4</t>
  </si>
  <si>
    <t>Rock shear apparatus to ASTM D5607 comprehending: 5 analog gauges 30x0.01 mm (4 vertical and 1 horizontal); 1 mould formers; 2 hand operated pumps for lateral and vertical load
fitted with  gauges.</t>
  </si>
  <si>
    <t>Sample Extruder for Hoek Triaxial Cells</t>
  </si>
  <si>
    <t>The Motorized Standard Penetration test (SPT)</t>
  </si>
  <si>
    <t>Centrifuge Extractor, 1500gr capacity, analog control, 0 to 3600 rpm, supplied with filter papers pack of 50. 
220 V, 50-60 Hz, 1ph</t>
  </si>
  <si>
    <t>Filter Paper for 1500 gr capacity Centrifuge Extractor tests. 
(Pack of 50)</t>
  </si>
  <si>
    <t>Bowl and Cover for LT-AS0004</t>
  </si>
  <si>
    <t>Centrifuge Extractor, 3000gr capacity, analog control, 0 to 3600 rpm, supplied with filter papers pack of 50. 
220 V, 50-60 Hz, 1ph</t>
  </si>
  <si>
    <t>Filter Paper for 3000 gr capacity Centrifuge Extractor tests. 
(Pack of 50)</t>
  </si>
  <si>
    <t>Bowl and Cover for LT-AS0005</t>
  </si>
  <si>
    <t>Reflux Extractor Test Set, 1000gr capacity, complete with glass extractor Jar, two cones wire basket has 500g capacity, condencer, pack of 50 filter papers and hot plate, 
220 V, 50–60 Hz, 1ph</t>
  </si>
  <si>
    <t>Glass Extractor Jar, 1000 gr capacity for LT-AS0001
150*460 mm</t>
  </si>
  <si>
    <t>Condencer, 1000 gr capacity for LT-AS0001</t>
  </si>
  <si>
    <t>Cone Wire Basket, 500 gr capacity for LT-AS0001</t>
  </si>
  <si>
    <t>Filter Paper for LT-AS0002, 300 mm dia. (Pack of 50)</t>
  </si>
  <si>
    <t>Iron Wire Gauze, 12x12 cm for LT-AS0001</t>
  </si>
  <si>
    <t>Reflux Extractor Test Set, 4000gr capacity, complete with glass extractor Jar, two cones wire basket has 2000g capacity, condencer, pack of filter papers and hot plate. 
220 V, 50–60 Hz, 1ph</t>
  </si>
  <si>
    <t>Glass Extractor Jar, 4000 gr capacity for LT-AS0002
Ø 220 x 460 mm</t>
  </si>
  <si>
    <t>Condencer, 4000 gr capacity for LT-AS0002</t>
  </si>
  <si>
    <t>Cone Wire Basket, 2000 gr capacity for LT-AS0002</t>
  </si>
  <si>
    <t>Filter Paper for LT-AS0002, 400 mm dia. (Pack of 50)</t>
  </si>
  <si>
    <t>Iron Wire Gauze, 16x16 cm for LT-AS0002</t>
  </si>
  <si>
    <t>Solvent Recovery Unit, 10 litres/h capacity with electric heater and water cooling system complete with 10m plastic tube, tube clamps, sieve insert 0.6 mm opening and one lid.  
220 V, 50-60 Hz, 1 ph</t>
  </si>
  <si>
    <t>The apparatus consists of Thermostatically controlled Water Bath to keep boiling water
during all the recovery cycle, complete with cover and digital thermostat, Vacuum Pump with
Vacuum Gauge Manometer, 6 m Tubing for Vacuum, 1000 ml Filter Flask with rubber bung,</t>
  </si>
  <si>
    <t>Vacuum Pyknometer Test Set; Complete With 10 lt Stainless Steel Vacuum Pycnometer, Vibro-Deaerator, Vacuum Pump, 1,5 m tubing for vacuum, Vacuum Gauge and Filter Flask 250 ml. 220 V, 50-60 Hz, 1 ph</t>
  </si>
  <si>
    <t>Vacuum Pyknometer; 10 lt, Stainless Steel</t>
  </si>
  <si>
    <t>Vacuum Pump, Single Stage, 51 l/min Flow Rate, 2 Pa Partial
Pressure, Forced Oil Cycling System, 220 V, 50-60 Hz, 1 Ph</t>
  </si>
  <si>
    <t>Hose for Vacuum Pump. 1.5 m</t>
  </si>
  <si>
    <t>Ø 63 mm 1000 mbar Vacuum Gauge</t>
  </si>
  <si>
    <t>Filter Flask 250ml</t>
  </si>
  <si>
    <t>Core Drilling Machine, petrol engine, up to dia. 200mm coring range, portable unit equipped with wheels. 6,5 hp American Petrol Engine. Core bits have to be ordered separately.</t>
  </si>
  <si>
    <t>Core Drilling Machine on trailer, 6,5 hp American Petrol Engine, up to dia. 200mm coring range, with 100 lt water tank, portable unit equipped with wheels. Core bits have to be ordered separately.</t>
  </si>
  <si>
    <t>Core Bit, for asphalt samples, Ø50 mm, 400mm height</t>
  </si>
  <si>
    <t>Core Bit, for asphalt samples, Ø75 mm, 400mm height</t>
  </si>
  <si>
    <t>Core Bit, for asphalt samples, Ø100 mm, 400mm height</t>
  </si>
  <si>
    <t>Core Bit, for asphalt samples, Ø150 mm, 400mm height</t>
  </si>
  <si>
    <t>Core Bit, for asphalt samples, Ø200 mm, 400mm height</t>
  </si>
  <si>
    <t>Asphalt mixer; 5 litre capacity. Supplied complete with 5 lt capacity stainless steel bowl, and whisk.  Electric heater should be ordered separately. 220 V, 50-60 Hz, 1ph</t>
  </si>
  <si>
    <t>Mixing Bowl for Asphalt mixer for LT-AS0008</t>
  </si>
  <si>
    <t>Mixing Whisk for Asphalt mixer for LT-AS0008</t>
  </si>
  <si>
    <t>Heating mantle for LT-AS0008. 220 V, 50-60 Hz, 1 ph</t>
  </si>
  <si>
    <t>Asphalt mixer; 10 litre capacity. Supplied complete with 10 lt capacity stainless steel bowl, and whisk. Electric heater should be ordered separately. 220 V, 50-60 Hz, 1ph</t>
  </si>
  <si>
    <t>Mixing Bowl for LT-AS0009</t>
  </si>
  <si>
    <t>Mixing Whisk for LT-AS0009</t>
  </si>
  <si>
    <t>Heating mantle for LT-AS0009. 220 V, 50-60 Hz, 1 ph</t>
  </si>
  <si>
    <t>Asphalt mixer; 20 litre capacity. Supplied complete with 20 lt capacity stainless steel bowl, and whisk. Electric heater should be ordered separately. 220 V, 50-60 Hz, 1ph</t>
  </si>
  <si>
    <t>Mixing Bowl for LT-AS0010</t>
  </si>
  <si>
    <t>Mixing Whisk for LT-AS0010</t>
  </si>
  <si>
    <t>Heating mantle for LT-AS0010. 220 V, 50-60 Hz, 1 ph</t>
  </si>
  <si>
    <t>Manual Marshall Compactor is used to compact Marshall Specimens with hand, manually. The sliding weight is 4536 ± 9 gr and dropped by the user from a height of 457 ± 3 mm manually.
The assembly consists of a compaction hammer, wooden compaction
pedestal, support rod to hold the hammer in perpendicular position and mould holder.</t>
  </si>
  <si>
    <t>Compaction Hammer</t>
  </si>
  <si>
    <t>Compaction Pedestal</t>
  </si>
  <si>
    <t>Automatic Marshall Compactor, EN, digital counter, 457±5 mm falling heigth, 4535±15 gr hammer weight, mechanism to stop  automatically at determined number of counts,  automatic unit includes mechanical compactor, wooden compaction pedestal and mold assembly. 220 V, 50-60 Hz, 1 ph</t>
  </si>
  <si>
    <t>Automatic Marshall Compactor, ASTM, digital counter, 457±3 mm falling heigth, 4536±9 gr hammer weight, mechanism to stop  automatically at determined number of counts,  automatic unit includes mechanical compactor, wooden compaction pedestal and mold assembly. 
220 V, 50-60 Hz, 1 ph</t>
  </si>
  <si>
    <t>Marshall Compaction Mould, galvanised steel, 4" dia, Complete with base plate, mould body and collar. Marshall Mould is made of Steel
and plated against corrosion.</t>
  </si>
  <si>
    <t>Mould Body</t>
  </si>
  <si>
    <t>Base plate</t>
  </si>
  <si>
    <t>Collar</t>
  </si>
  <si>
    <r>
      <t xml:space="preserve">Marshall- CBR Sample Extruder, 50kN extrusion force, hydraulic sample ejector. Complete with </t>
    </r>
    <r>
      <rPr>
        <sz val="10"/>
        <rFont val="Cambria"/>
        <family val="1"/>
        <charset val="162"/>
      </rPr>
      <t>∅</t>
    </r>
    <r>
      <rPr>
        <sz val="8.5"/>
        <rFont val="Cambria"/>
        <family val="1"/>
        <charset val="162"/>
      </rPr>
      <t xml:space="preserve"> </t>
    </r>
    <r>
      <rPr>
        <sz val="10"/>
        <rFont val="Cambria"/>
        <family val="1"/>
        <charset val="162"/>
      </rPr>
      <t>4”, 6”, 100 mm and 150 mm  adaptors to extrude standard and modified proctor, CBR and marshall molds.</t>
    </r>
  </si>
  <si>
    <t>Digital Marshall Stability Test Machine; 50 kN capacity. Supplied with 50 kN load cell, flow transducer and Breaking Head for 4" samples. 220-240V, 50-60Hz, 1ph</t>
  </si>
  <si>
    <t>Breaking Head Stability Mould; 100mm for Marshall samples.</t>
  </si>
  <si>
    <t>Breaking Head Stability Mould; 150mm for Marshall samples.</t>
  </si>
  <si>
    <t>Load cell, 50 kN capacity</t>
  </si>
  <si>
    <t>Displacement Sensor, 25 x 0,01 mm</t>
  </si>
  <si>
    <t>Indirect Tensile Splitting Device for Ø 100 mm samples</t>
  </si>
  <si>
    <t>Tensile Splitting Device for Ø 150 mm samples</t>
  </si>
  <si>
    <t>Loading Strips, 100mm for Tensile Splitting Devic</t>
  </si>
  <si>
    <t>Loading Strips, 160mm for Tensile Splitting Devic</t>
  </si>
  <si>
    <t>Indirect Tensile Test Jig for compacted bituminous with 25x0,01 mm Analog Dial Gauge</t>
  </si>
  <si>
    <t>Vialit plate, Adhesion Test Apparatus, used to determine adhesion between aggregate and binder using jolting method. Consist of a metal basement with three vertical pointed rods to hold the test plate;
a 512 g steel ball, six metal test plates and a hand operated rubber lined roller.</t>
  </si>
  <si>
    <t>Flat Steel Plates, 6 pcs.</t>
  </si>
  <si>
    <t>Steel Ball, 512 g</t>
  </si>
  <si>
    <t>Rubber Wheel Roller, hand operated</t>
  </si>
  <si>
    <t>Semiautomatic Digital Penetrometer used to determine penetration under constant load and temperature.  The penetrometer is supplied with stop and release push button, automatic zero timer set, penetration needle, transfer dish and 6 penetration tins 55x35 mm dia. The other accessories should be ordered separately.
220-240V, 50-60Hz, 1ph</t>
  </si>
  <si>
    <t>Penetrometer Needle</t>
  </si>
  <si>
    <t>Transfer Dish</t>
  </si>
  <si>
    <t>One-Quarter Scale Cone and Shaft for Lubricating Grease, ASTM D 1403 and D 1831</t>
  </si>
  <si>
    <t>One-Half Scale Cone and Shaft for Lubricating Grease, ASTM D 1403 and D 1831</t>
  </si>
  <si>
    <t>Penetrometer Cone; for Lubricating Grease, ASTM D 217 and for Petrolatum, ASTM D 937</t>
  </si>
  <si>
    <t>Resilience Ball Penetration Tool. ASTM D5329</t>
  </si>
  <si>
    <t>Moisture content tin, Ø 5,5 x 3,5 cm</t>
  </si>
  <si>
    <r>
      <t xml:space="preserve">Moisture content tin, </t>
    </r>
    <r>
      <rPr>
        <sz val="10"/>
        <rFont val="Cambria"/>
        <family val="1"/>
        <charset val="162"/>
      </rPr>
      <t>∅</t>
    </r>
    <r>
      <rPr>
        <sz val="10"/>
        <rFont val="Cambria"/>
        <family val="1"/>
        <charset val="162"/>
      </rPr>
      <t xml:space="preserve"> 7,5 x 4,5 cm</t>
    </r>
  </si>
  <si>
    <t>Automatic Bitumen Penetrometer used to determine penetration under constant load and temperature.  The penetrometer is supplied with stop and release push button, automatic zero timer set, penetration needle, transfer dish and 6 penetration tins 55x35 mm dia. The other accessories should be ordered separately.
220-240V, 50-60Hz, 1ph</t>
  </si>
  <si>
    <t>Water Bath with circulation System; 15 Litre capacity, PID &amp; MP Control System, Ambient +5 ºC / 99.9 ºC ± 0.1 °C, stainless steel interior. 220 V, 50-60 Hz, 1 ph</t>
  </si>
  <si>
    <t>Water Bath with circulation System; 30 Litre capacity, PID &amp; MP Control System, Ambient +5 ºC / 99.9 ºC ± 0.1 °C, stainless steel interior. 220 V, 50-60 Hz, 1 ph</t>
  </si>
  <si>
    <t>Water Bath with circulation System; 48 Litre capacity, PID &amp; MP Control System, Ambient +5 ºC / 99.9 ºC ± 0.1 °C, stainless steel interior. 220 V, 50-60 Hz, 1 ph</t>
  </si>
  <si>
    <t>Water Bath with cooling unit; 15 Litre capacity, PID &amp; MP Control System, 5 ºC / 70 ºC ± 0.1 °C, stainless steel interior.
220 V, 50-60 Hz, 1 ph</t>
  </si>
  <si>
    <t>Water Bath with cooling unit; 30 Litre capacity, PID &amp; MP Control System, 5 ºC / 70 ºC ± 0.1 °C, stainless steel interior. 
220 V, 50-60 Hz, 1 ph</t>
  </si>
  <si>
    <t>Water Bath with cooling unit; 48 Litre capacity, PID &amp; MP Control System, 5 ºC / 70 ºC ± 0.1 °C, stainless steel interior. 
220 V, 50-60 Hz, 1 ph</t>
  </si>
  <si>
    <t xml:space="preserve">Bitumen Oven for Rolling Thin-Film oven test (RTFOT). 
Supplied complete with precision digital thermostat to maintain 
163 °C temperature, ventilation device, set of eight 64 mm x 140 mm glass containers. 220 V, 50 -60 Hz, 1 ph
8 bar, 25 lt capacity Air Pressure Pump should be ordered separately.
</t>
  </si>
  <si>
    <t xml:space="preserve">Glass Sample Tin, 64 mm x 140 mm </t>
  </si>
  <si>
    <t>Air pressure Pump, 8 Bar / 25 lt. 220 V, 50 Hz, 1 ph</t>
  </si>
  <si>
    <t>Thin Film Bitumen (Loss on Heating) Oven. Digital PID controller and circulation fan. Stainless steel interior surfaces. Rotating shelf and sample cups should be ordered separately according to the test type.
220 V, 50 -60 Hz, 1 ph</t>
  </si>
  <si>
    <t>Rotating Shelf, for Loss on Heating Test, 250mm dia.
EN 13303, ASTM D 6, AASHTO T47</t>
  </si>
  <si>
    <t>Moisture content tin. Ø 55 x 35 mm. (Pack of 9)</t>
  </si>
  <si>
    <t>Rotating Shelf for Thin Film Oven Test, 342 mm dia.
EN 12607-2, ASTM D1754, AASHTO T179</t>
  </si>
  <si>
    <t>Moisture content tin. Ø 140 x 9,5 mm. (Pack of 4)</t>
  </si>
  <si>
    <t>Ductility Testing Machine, it can tests three briquets simultaneously. 50 mm/min single-speed. Elongation (pull) capacity is maximum carriage travel (1500mm). Water bath temperature is maintained constant at 25°C ± 0,5°C by a digital thermoregulator. The carriage is driven by an electrical motor, inside a large tank which is fitted with digital thermostat, immersion electric heater and pump unit. Supplied complete with 3 moulds and base plates. 
220 V, 50 -60 Hz, 1 ph</t>
  </si>
  <si>
    <t>Ductility Testing Machine, Ductilometer with Cooling System is equipped with incorporated refrigerating unit for tests with water temperature from + 5° to + 25°C.it can tests three briquets simultaneously. 50 mm/min single-speed. Elongation (pull) capacity is maximum carriage travel (1500mm). Water bath temperature is maintained constant at 25°C ± 0,5°C by a digital thermoregulator. The carriage is driven by an electrical motor, inside a large tank which is fitted with digital thermostat, immersion electric heater and pump unit. Supplied complete with 3 moulds and base plates. 
220 V, 50 -60 Hz, 1 ph</t>
  </si>
  <si>
    <t>Force Ductility Testing Machine, Ductilometer with Cooling System is equipped with incorporated refrigerating unit for tests with water temperature from + 5° to + 25°C.it can tests three briquets simultaneously. 50 mm/min single-speed. Elongation (pull) capacity is maximum carriage travel (1500mm). Water bath temperature is maintained constant at 25°C ± 0,5°C by a digital thermoregulator. The carriage is driven by an electrical motor, inside a large tank which is fitted with digital thermostat, immersion electric heater and pump unit. Supplied complete with 3 moulds and base plates. 
220 V, 50 -60 Hz, 1 ph</t>
  </si>
  <si>
    <t>Briquette Mould, ASTM D133, AASHTO T51</t>
  </si>
  <si>
    <t>Briquette Mould, EN 13398</t>
  </si>
  <si>
    <t>Briquette Mould Base Plate</t>
  </si>
  <si>
    <t>Ring and Ball Test Set, used to determine the softening point of bituminous materials. Supplied complete with hot plate with magnetic stirring system, 2 ball centering guides, 2 piece steel balls, 2 piece rings, beaker and thermometer. 
220 V, 50-60 Hz, 1 ph</t>
  </si>
  <si>
    <t>Steel Ball</t>
  </si>
  <si>
    <t>Ball centering guides</t>
  </si>
  <si>
    <t>Brass Ring 2 pieces</t>
  </si>
  <si>
    <t>Glass Beaker 600ml</t>
  </si>
  <si>
    <t>Glass Thermometer; max 110 °C</t>
  </si>
  <si>
    <t>Automatic Ring and Ball Test Set, used to determine the softening point of bituminous materials. Supplied complete with hot plate with magnetic stirring system, 2 ball centering guides, 2 piece steel balls, 2 piece rings, beaker and thermometer. 
220 V, 50-60 Hz, 1 ph</t>
  </si>
  <si>
    <t>Cleveland Flash Tester. It consists of a brass cup mounted on an electric heater with temperature controller, brass cup, hot plate control system and thermometer. 220 V, 50-60 Hz, 1 ph</t>
  </si>
  <si>
    <t>Thermometer, -6 +400 °C. ASTM C11</t>
  </si>
  <si>
    <t>Brass Cup</t>
  </si>
  <si>
    <t>Saybolt two-tube digital Viscometer, 2 samples capacity. Stainless steel made, the Saybolt viscometer is supplied complete with 2 x interchangeable orifices “Furol” and “Universal”, oil bath, electric heater with digital thermoregulator, key, thermometer support, stirrer, cooling coil, digital thermometer, heat transfer oil and 2 pcs.
saybolt viscosity flasks. 220 V, 50-60 Hz, 1 ph</t>
  </si>
  <si>
    <t>2 x Furol orifices</t>
  </si>
  <si>
    <t>2 x Universal orifices</t>
  </si>
  <si>
    <t>Saybolt Viscosity Flask, glass, 60 ml</t>
  </si>
  <si>
    <t>Heat Transfer Oil, 5 lt</t>
  </si>
  <si>
    <t>Digital Thermometer, max. 300 °C</t>
  </si>
  <si>
    <t>Travelling Beam Device; The device is supplied as three sub-assemblies which are quickly assembled on site. The Travelling
Beam is supplied fitted with an autographic recorder providing a permanent record of the surface profile. Records up
to 1 km can be recorded on the special chart paper rolls used.</t>
  </si>
  <si>
    <t>Asphalt Distillation Test Set. The apparatus consists of: “electric heater with thermoregulator”, distillation flask, condenser tube, adapter, shield, receiver, supports, graduated cylinder,
thermometer ASTM 8C -2 to +400°C.</t>
  </si>
  <si>
    <t>High Distillation Thermometer, Range-2 +400°C, ASTM 8C</t>
  </si>
  <si>
    <t>Vibratory Compactor, Set consists of a Vibrating Hammer, Supporting Frame, Small and Large Tamping Foots and 300 mm Shank. 230 V, 50-60 Hz, 1ph</t>
  </si>
  <si>
    <t>Vibrating Hammer</t>
  </si>
  <si>
    <t>Supporting Frame for Vibrating Hammer</t>
  </si>
  <si>
    <t>P.R.D.(Percentage Refusal Density) Split Mould</t>
  </si>
  <si>
    <t>Small Tamping Foot, Ø 102 mm</t>
  </si>
  <si>
    <t>Large Tamping Foot, Ø 146 mm</t>
  </si>
  <si>
    <t>Shank 300 mm Long for Tamping Foot</t>
  </si>
  <si>
    <t>Water in Bituminous Materials Test Set;
Complete with Electric Heater with Thermo Regulator, Glass Condenser, Glass Receiver and Glass Still, 10 ml.</t>
  </si>
  <si>
    <t>Electric Heater with Thermo Regulator Water in Bituminous Materials Test Set.</t>
  </si>
  <si>
    <t>Glass Condenser, Glass Receiver and Glass Still, 10 ml for Water in Bituminous Materials Test Set.</t>
  </si>
  <si>
    <t>A compact bench unit designed to rotate 2 bottles simultaneously about their longitudinal axis.
The Bottle Roller Apparatus is robustly constructed; designed to accept bottle of various sizes and rotates at speeds relevant to most international standards.Main Shaft Rotation is Adjustable up to 30 rpm.Steel Bottles and Flask funnel for Steel Bottlesshould be ordered separately.</t>
  </si>
  <si>
    <t>Steel Bottle 600cc</t>
  </si>
  <si>
    <t>Steel Bottle  2500cc</t>
  </si>
  <si>
    <t>Steel Bottle 7000cc</t>
  </si>
  <si>
    <t>ABA Asphalt Binder Analyzer is used to determine the binder content of hot mix asphalt/bituminous mixtures by the method of loss on ignition. The system combines a sophisticated furnace and weighing system to continuously measure the weight loss of a bituminous mixture during combustion and automatically calculates its binder content at the end of the test.
Supplied complete with 2 specimen baskets with a safety cover with a carrying tray mounted, a fork to catch the tray, and 3 meter metal exhaust pipe. 380 V, 50-60 hZ, 3ph</t>
  </si>
  <si>
    <t>Pressure Filter is used for determining the bitumen content. 
 The Pressure Filter consists of a plated steel pressure vessel with a filter support and pressure gauge. Foot Pump, Test Sieve, Filter Paper and Filter Filler Funnel should be ordered separately.</t>
  </si>
  <si>
    <t>Depot Tray Test Set is used to determine the transverse uniformity of distribution of sprayed binder to BS 1707. Consisting of a wheeled trolley with a holding device for accepting a set of 50 containers. Containers are included. The trolley and containers are pushed underneath the spray hood of the distributor, which is backed over a catch pit for the test. Once the containers are almost full, the trolley is withdrawn and the depth of binder in each container is measured, ensuring that the correct depth (not obscured by froth on the surface of the liquid) is obtained.Results are expressed as a percentage deviation from the mean for all the 50mm units over the effective width. Height is 200mm without trays and 300mm with trays (including wheels).</t>
  </si>
  <si>
    <t>MOT Straightedge is used for irregularity measurement of pavement surface. Manufactured from anodized aluminium alloy, it is utilized to measure irregularities of road pavement, floors, concrete pavement. Length is 3 m. Supplied with two steel wedges.
Wooden carrying case should be ordered separately.</t>
  </si>
  <si>
    <t>Benkelman Beam Device, aluminum alloy made, complete with dial indicator and accessories, it is utilized to measure the deflection of the road surface when loaded by the wheels of vehicles.</t>
  </si>
  <si>
    <t>2000 kN Automatic Concrete Compression Testing Machine; ASTM, consist of Load Frame, Automatic Hydraulic Power Pack, Digital data acquisition &amp; control system, Software, Distance Pieces, Ø 165x25 mm, Ø 165x50 mm and Ø 165x80 mm, Upper Platen (with ball seating assembly) Ø165 mm, Lower Platen Ø165 mm, Loading Cylinder Assembly &amp; Limit Switch for safety, Front and Rear Protective Doors for safety. 220 V, 50-60 Hz, 1 ph
***Computer should be ordered separately.</t>
  </si>
  <si>
    <t>3000 kN Automatic Concrete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</si>
  <si>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3000 kN Automatic Concrete Compression Testing Machine; ASTM, consist of Load Frame, Automatic Hydraulic Power Pack, Digital data acquisition &amp; control system, Software, Distance Pieces, Ø 165x25 mm, Ø 165x50 mm and Ø 165x80 mm, Upper Platen (with ball seating assembly) Ø165 mm, Lower Platen Ø165 mm, Loading Cylinder Assembly &amp; Limit Switch for safety, Front and Rear Protective Doors for safety. 220 V, 50-60 Hz, 1 ph
***Computer should be ordered separately.</t>
  </si>
  <si>
    <t>2000 kN Four Column Automatic Concrete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</si>
  <si>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3000 kN Four Column Automatic Concrete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</si>
  <si>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4000 kN Four Column Automatic Concrete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</si>
  <si>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5000 kN Four Column Automatic Concrete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</si>
  <si>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2000 kN Automatic Pumice Concrete-Brick-Concrete Block Compression Testing Machine, consist of Load Frame, Automatic Hydraulic Power Pack, Digital data acquisition &amp; control system, Software, Distance Pieces, Ø 205x25 mm and Ø 205x50 mm, Upper Platen (with ball seating assembly) 510x310x50 mm, Lower Platen 510x310x50 mm, Loading Cylinder Assembly &amp; Limit Switch for safety, Front and Rear Protective Doors for safety. 
220 V, 50-60 Hz, 1 ph
***Computer should be ordered separately.</t>
  </si>
  <si>
    <t>2000 kN Automatic Concrete Compression Testing Frame + 200 kN capacity Flexural Load Frame, U Type, Automatic Hydraulic Power Pack, Digital data acquisition &amp; control system and  Software.  Distance Pieces, Ø 205x25 mm, Ø 205x50 mm and Ø 205x80 mm, Upper Platen (with ball seating assembly) Ø300 mm, Lower Platen Ø300 mm, Loading Cylinder Assembly &amp; Limit Switch for safety, Front and Rear Protective Doors for safety. 
Beam, Kerb and Parquet strenght tests and three and four point tests can be done with suitable apparatus on Flexural Frame. The apparatus should be ordered separately220 V, 50-60 Hz, 1 ph
***Computer should be ordered separately.</t>
  </si>
  <si>
    <t>2000 kN capacity Concrete Compression Load Frame, EN, 
Complete with Distance Pieces, Ø 205x25 mm, Ø 205x50 mm and Ø 205x80 mm, Upper Platen (with ball seating assembly) Ø300 mm, Lower Platen Ø300 mm, Loading Cylinder Assembly &amp; Limit Switch for safety, Front and Rear Protective Doors for safety.</t>
  </si>
  <si>
    <t>2000 kN capacity Concrete Compression Load Frame, ASTM, 
Complete with Distance Pieces, Ø 165x25 mm, Ø 165x50 mm and Ø 165x80 mm, Upper Platen (with ball seating assembly) Ø165 mm, Lower Platen Ø165 mm, Loading Cylinder Assembly &amp; Limit Switch for safety, Front and Rear Protective Doors for safety.</t>
  </si>
  <si>
    <t>3000 kN capacity Concrete Compression Load Frame, EN, 
Complete with Distance Pieces, Ø 205x25 mm, Ø 205x50 mm and Ø 205x80 mm, Upper Platen (with ball seating assembly) Ø300 mm, Lower Platen Ø300 mm, Loading Cylinder Assembly &amp; Limit Switch for safety, Front and Rear Protective Doors for safety.</t>
  </si>
  <si>
    <t>3000 kN capacity Concrete Compression Load Frame, ASTM, 
Complete with Distance Pieces, Ø 165x25 mm, Ø 165x50 mm and Ø 165x80 mm, Upper Platen (with ball seating assembly) Ø165 mm, Lower Platen Ø165 mm, Loading Cylinder Assembly &amp; Limit Switch for safety, Front and Rear Protective Doors for safety.</t>
  </si>
  <si>
    <t>2000 kN capacity Concrete Compression Four Column Load Frame, EN, Complete with Distance Pieces, Ø 205x25 mm, Ø 205x50 mm and Ø 205x80 mm, Upper Platen (with ball seating assembly) Ø300 mm, Lower Platen Ø300 mm, Loading Cylinder Assembly &amp; Limit Switch for safety, Front and Rear Protective Doors for safety.</t>
  </si>
  <si>
    <t>3000 kN capacity Concrete Compression Four Column Load Frame, EN, Complete with Distance Pieces, Ø 205x25 mm, Ø 205x50 mm and Ø 205x80 mm, Upper Platen (with ball seating assembly) Ø300 mm, Lower Platen Ø300 mm, Loading Cylinder Assembly &amp; Limit Switch for safety, Front and Rear Protective Doors for safety.</t>
  </si>
  <si>
    <t>4000 kN capacity Concrete Compression Four Column Load Frame, EN, Complete with Distance Pieces, Ø 205x25 mm, Ø 205x50 mm and Ø 205x80 mm, Upper Platen (with ball seating assembly) Ø300 mm, Lower Platen Ø300 mm, Loading Cylinder Assembly &amp; Limit Switch for safety, Front and Rear Protective Doors for safety.</t>
  </si>
  <si>
    <t>5000 kN capacity Concrete Compression Four Column Load Frame, EN, Complete with Distance Pieces, Ø 205x25 mm, Ø 205x50 mm and Ø 205x80 mm, Upper Platen (with ball seating assembly) Ø300 mm, Lower Platen Ø300 mm, Loading Cylinder Assembly &amp; Limit Switch for safety, Front and Rear Protective Doors for safety.</t>
  </si>
  <si>
    <t>1200 kN Automatic Pumice Concrete-Brick-Concrete Block Compression Testing Machine, consist of Load Frame, Automatic Hydraulic Power Pack, Digital data acquisition &amp; control system, Software, Distance Pieces, Ø 205x25 mm and Ø 205x50 mm, Upper Platen (with ball seating assembly) 510x310x50 mm, Lower Platen 510x310x50 mm, Loading Cylinder Assembly &amp; Limit Switch for safety, Front and Rear Protective Doors for safety. 
220 V, 50-60 Hz, 1 ph
***Computer should be ordered separately.</t>
  </si>
  <si>
    <t>Block Platens with sliding rail assembly.</t>
  </si>
  <si>
    <t xml:space="preserve">Upper Loading Platen (with ball seating assembly) and Lower Loading Platen. ASTM C39. Ø 105 mm, Ø 2" , 3" , 4" cylindrical samples. </t>
  </si>
  <si>
    <t xml:space="preserve">Upper Loading Platen (with ball seating assembly) and Lower Loading Platen. ASTM C39. Ø 165 mm, Ø 4", 6" cylindrical and 100 mm cube samples. </t>
  </si>
  <si>
    <t xml:space="preserve">Upper Loading Platen (with ball seating assembly) and Lower Loading Platen. EN 12390-4, ASTM C39. Ø 216 mm, Ø 6" cylindrical, 100 and 150 mm cube samples. </t>
  </si>
  <si>
    <t xml:space="preserve">Upper Loading Platen (with ball seating assembly) and Lower Loading Platen. EN 12390-4. Ø 300 mm, Ø 100, 150, 160 cylindrical and 100, 150, 200 mm cube samples. </t>
  </si>
  <si>
    <t>Upper Loading Platen (with ball seating assembly) and Lower Loading Platen. EN 772-1. 31x51x5 cm, 31x51 cm blocks.</t>
  </si>
  <si>
    <t>Distance Pieces, Ø 200 x 25 mm</t>
  </si>
  <si>
    <t>Distance Pieces, Ø 200  x 50 mm</t>
  </si>
  <si>
    <t>Distance Pieces, Ø 200  x 80 mm</t>
  </si>
  <si>
    <t>Distance Pieces, Ø 200  x 30 mm</t>
  </si>
  <si>
    <t>Distance Pieces, Ø 165 x 25 mm</t>
  </si>
  <si>
    <t>Distance Pieces, Ø 165 x 50 mm</t>
  </si>
  <si>
    <t>Distance Pieces, Ø 165 x 80 mm</t>
  </si>
  <si>
    <t>Distance Pieces, Ø 165 x 30 mm</t>
  </si>
  <si>
    <t>1500 kN Semi-Automatic Concrete Compression Testing Machine; EN, consist of Load Frame, Semi-Automatic Hydraulic Power Pack, LPI Battery Operated Digital Readout Unit, Distance Pieces, Ø 205x25 mm, Ø 205x50 mm and Ø 205x80 mm, Upper Platen (with ball seating assembly) Ø300 mm, Lower Platen Ø300 mm, Loading Cylinder Assembly &amp; Limit Switch for safety, Front and Rear Protective Doors for safety. 220 V, 50-60 Hz, 1 ph</t>
  </si>
  <si>
    <t>1500 kN Semi-Automatic Concrete Compression Testing Machine; ASTM, consist of Load Frame, Semi-Automatic Hydraulic Power Pack, LPI Battery Operated Digital Readout Unit, Distance Pieces, Ø 205x25 mm, Ø 205x50 mm and Ø 205x80 mm, Upper Platen (with ball seating assembly) Ø165 mm, Lower Platen Ø165 mm, Loading Cylinder Assembly &amp; Limit Switch for safety, Front and Rear Protective Doors for safety. 220 V, 50-60 Hz, 1 ph</t>
  </si>
  <si>
    <t>2000 kN Semi-Automatic Concrete Compression Testing Machine; EN, consist of Load Frame, Semi-Automatic Hydraulic Power Pack, LPI Battery Operated Digital Readout Unit, Distance Pieces, Ø 205x25 mm, Ø 205x50 mm and Ø 205x80 mm, Upper Platen (with ball seating assembly) Ø300 mm, Lower Platen Ø300 mm, Loading Cylinder Assembly &amp; Limit Switch for safety, Front and Rear Protective Doors for safety. 220 V, 50-60 Hz, 1 ph</t>
  </si>
  <si>
    <t>2000 kN Semi-Automatic Concrete Compression Testing Machine; ASTM, consist of Load Frame, Semi-Automatic Hydraulic Power Pack, LPI Battery Operated Digital Readout Unit, Distance Pieces, Ø 205x25 mm, Ø 205x50 mm and Ø 205x80 mm, Upper Platen (with ball seating assembly) Ø165 mm, Lower Platen Ø165 mm, Loading Cylinder Assembly &amp; Limit Switch for safety, Front and Rear Protective Doors for safety. 220 V, 50-60 Hz, 1 ph</t>
  </si>
  <si>
    <t>3000 kN Semi-Automatic Concrete Compression Testing Machine; EN, consist of Load Frame, Semi-Automatic Hydraulic Power Pack, LPI Battery Operated Digital Readout Unit, Distance Pieces, Ø 205x25 mm, Ø 205x50 mm and Ø 205x80 mm, Upper Platen (with ball seating assembly) Ø300 mm, Lower Platen Ø300 mm, Loading Cylinder Assembly &amp; Limit Switch for safety, Front and Rear Protective Doors for safety. 220 V, 50-60 Hz, 1 ph</t>
  </si>
  <si>
    <t>3000 kN Semi-Automatic Concrete Compression Testing Machine; ASTM, consist of Load Frame, Semi-Automatic Hydraulic Power Pack, LPI Battery Operated Digital Readout Unit, Distance Pieces, Ø 205x25 mm, Ø 205x50 mm and Ø 205x80 mm, Upper Platen (with ball seating assembly) Ø165 mm, Lower Platen Ø165 mm, Loading Cylinder Assembly &amp; Limit Switch for safety, Front and Rear Protective Doors for safety. 220 V, 50-60 Hz, 1 ph</t>
  </si>
  <si>
    <t>Semi-Automatic (Motorized) Hydraulic Power Pack and LPI Battery Operated Digital Readout Unit</t>
  </si>
  <si>
    <t>Semi-Automatic (Motorized) Hydraulic Power Pack</t>
  </si>
  <si>
    <t>LPI Battery Operated Digital Readout Unit</t>
  </si>
  <si>
    <t>100 kN capacity Flexural Test Machine; U Type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</si>
  <si>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200 kN capacity Flexural Test Machine; U Type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</si>
  <si>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300 kN capacity Flexural Test Machine; U Type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</si>
  <si>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300 kN capacity Flexural Test Machine; C Type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</si>
  <si>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400 kN capacity Flexural Test Machine; C Type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</si>
  <si>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200 kN capacity Flexural Test Machine; Two Column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</si>
  <si>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300 kN capacity Flexural Test Machine; Two Column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</si>
  <si>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400 kN capacity Flexural Test Machine; Two Column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</si>
  <si>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600 kN capacity Flexural Test Machine; Four Column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</si>
  <si>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2000 kN capacity Flexural Test Machine;  Four  Column Load Frame, Hydraulic power unit and Digital graphic read out unit. Complete with Test Programme. Beam, Kerb and Parquet strenght tests and three and four point tests can be done with suitable apparatus. The apparatus should be ordered separately. Computer is optional.
220 V, 50-60 Hz, 1 ph</t>
  </si>
  <si>
    <t>100 kN capacity Flexural Load Frame, U Type. Beam, Kerb and Parquet strenght tests and three and four point tests can be done with suitable apparatus. The apparatus should be ordered separately.</t>
  </si>
  <si>
    <t>Load Cell, 100 kN capacity</t>
  </si>
  <si>
    <t>200 kN capacity Flexural Load Frame, U Type. Beam, Kerb and Parquet strenght tests and three and four point tests can be done with suitable apparatus. The apparatus should be ordered separately.</t>
  </si>
  <si>
    <t>Load Cell, 200 kN capacity</t>
  </si>
  <si>
    <t>300 kNcapacity Flexural Load Frame, U Type. Beam, Kerb and Parquet strenght tests and three and four point tests can be done with suitable apparatus. The apparatus should be ordered separately.</t>
  </si>
  <si>
    <t>Load Cell, 300 kN capacity</t>
  </si>
  <si>
    <t>300 kN capacity Flexural Load Frame, C Type. Beam, Kerb and Parquet strenght tests and three and four point tests can be done with suitable apparatus. The apparatus should be ordered separately.</t>
  </si>
  <si>
    <t>400 kN capacity Flexural Load Frame, C Type.  Beam, Kerb and Parquet strenght tests and three and four point tests can be done with suitable apparatus. The apparatus should be ordered separately.</t>
  </si>
  <si>
    <t>Load Cell, 400 kN capacity</t>
  </si>
  <si>
    <t>200 kN capacity Flexural Load Frame, Two Column Type. Beam, Kerb and Parquet strenght tests and three and four point tests can be done with suitable apparatus. The apparatus should be ordered separately.</t>
  </si>
  <si>
    <t>300 kN capacity Flexural Load Frame, Two Column Type. Beam, Kerb and Parquet strenght tests and three and four point tests can be done with suitable apparatus. The apparatus should be ordered separately.</t>
  </si>
  <si>
    <t>400 kN capacity Flexural Load Frame, Two Column Type. Beam, Kerb and Parquet strenght tests and three and four point tests can be done with suitable apparatus. The apparatus should be ordered separately.</t>
  </si>
  <si>
    <t>Apparatus, used for flexure test on concrete beams of 100x100x400, 100x100x500, 150x150x600 or 150x150x750. Can be used with flexural frames.</t>
  </si>
  <si>
    <t>Apparatus, used for flexure test on kerbs. Can be used with flexural frames.</t>
  </si>
  <si>
    <t>Flexural Testing Assembly for Concrete Paving Flags and Concrete
Terrazzo Tiles, Natural Stone Kerbs and Slabs. Can be used with flexural frames.</t>
  </si>
  <si>
    <t>Splitting Tensile Test Device for Concrete Cube Specimens;
150x150 mm</t>
  </si>
  <si>
    <t>Splitting Tensile Test Device for Concrete Block Pavers Specimens;
60-100 mm height</t>
  </si>
  <si>
    <t>Splitting Tensile Test Device for Cylindrical Specimens;
Ø100x200 mm, 150x300 mm, 160x320 mm</t>
  </si>
  <si>
    <t>Apparatus, used for flexure test on rain gutter. Can be used with flexural frames.</t>
  </si>
  <si>
    <t>Concrete Mixer, pan type cauldron horizontally rotating around its axis, discharging system, The total volume of the pan is 100 liters but the effective capacity of the mixer is 56 liters. The pan type mixer is also equipped with rubber wheels which provide high portability. 380 V, 50-60 Hz, 3 ph</t>
  </si>
  <si>
    <t>Concrete Mixer with Double-Acting, Pan Type, Frequency Controlled, 42 L. The cauldron rotating around horizontally and top located beaters rotated opposite direction by a motor, 15/12 L effective mixing capacity, discharging system, straight edged, rubber tired, 220-240V, 50-60Hz, 1ph.</t>
  </si>
  <si>
    <t>Concrete Mixer with frequency control, pan type cauldron horizontally rotating around its axis, discharging system, The total volume of the pan is 100 liters but the effective capacity of the mixer is 56 liters. The pan type mixer is also equipped with rubber wheels which provide high portability. 380 V, 50-60 Hz, 1 ph</t>
  </si>
  <si>
    <t>Concrete Mixer, pan type cauldron horizontally rotating around its axis, discharging system, The total volume of the pan is 100 liters but the effective capacity of the mixer is 56 liters. The pan type mixer is also equipped with rubber wheels which provide high portability. 220 V, 50 Hz, 1 ph</t>
  </si>
  <si>
    <t>Concrete Mixer, pan type cauldron horizontally rotating around its axis, discharging system, The total volume of the pan is 100 liters but the effective capacity of the mixer is 56 liters. The pan type mixer is also equipped with rubber wheels which provide high portability. 220 V, 60 Hz, 1 ph</t>
  </si>
  <si>
    <r>
      <t xml:space="preserve">Concrete Mixer, </t>
    </r>
    <r>
      <rPr>
        <b/>
        <sz val="10"/>
        <rFont val="Cambria"/>
        <family val="1"/>
        <charset val="162"/>
      </rPr>
      <t>DOUBLE ENGINE</t>
    </r>
    <r>
      <rPr>
        <sz val="10"/>
        <rFont val="Cambria"/>
        <family val="1"/>
        <charset val="162"/>
      </rPr>
      <t>. pan type cauldron horizontally rotating around its axis, discharging system, The total volume of the pan is 100 liters but the effective capacity of the mixer is 56 liters. The pan type mixer is also equipped with rubber wheels which provide high portability. 380 V, 50-60 Hz, 3 ph</t>
    </r>
  </si>
  <si>
    <t>Concrete mixer drum type, steel batch, arm-circling type, 125 liter capacity, 100 liter usable volume capacity, prevention for accumulation of concrete at bottom. 220 V / 0,7 kW</t>
  </si>
  <si>
    <t>Concrete mixer drum type, steel batch, arm-circling type, 140 liter capacity, 120 liter usable volume capacity, prevention for accumulation of concrete at bottom. 220 V / 0,7 kW</t>
  </si>
  <si>
    <t>Concrete mixer drum type, steel batch, arm-circling type, 160 liter capacity, 140 liter usable volume capacity, prevention for accumulation of concrete at bottom. 220 V / 0,7 kW</t>
  </si>
  <si>
    <t>Concrete mixer drum type, steel batch, arm-circling type, 180 liter capacity, 160 liter usable volume capacity, prevention for accumulation of concrete at bottom. 220 V / 0,7 kW</t>
  </si>
  <si>
    <t>Mono shaft concrete mixer with unloading motor</t>
  </si>
  <si>
    <t>3D MİXER</t>
  </si>
  <si>
    <t>V Funnel for Self-Compacting Concrete. The test set consists of a stainless steel funnel placed vertically on a supporting
stand.</t>
  </si>
  <si>
    <t>L Shape Box Apparatus for Self-Compacting Concrete. Supplied complete with Filling Hopper and Base.</t>
  </si>
  <si>
    <t>U Shape Box Apparatus for Self-Compacting Concrete. The U box is made of stainless steel consisting of three Ø 12 mm rebars. The Apparatus is mounted on a frame with a fixing mechanism.</t>
  </si>
  <si>
    <t>J Ring Apparatus for Self-Compacting Concrete. J-Ring Narrow Gap with Ø 18 mm x 16 smooth bars is manufactured from stainless steel. Supplied with J-Ring with J-Ring Narrow Gap, Slump Cone and Base Plate. Steel weighted collar should be ordered separately.</t>
  </si>
  <si>
    <t>J-Ring Narrow Gap</t>
  </si>
  <si>
    <t>Steel Weighted Collar</t>
  </si>
  <si>
    <t>Slump Cone. Ø200x Ø100x300 mm</t>
  </si>
  <si>
    <t>Fill Box Apparatus ( Kajima Test)</t>
  </si>
  <si>
    <t>Slump Test Set, complete with galvanized steel slump cone, cone funnel, tamping rod, base tray, ruber mallet and steel ruler.</t>
  </si>
  <si>
    <t>Slump Cone Funnel</t>
  </si>
  <si>
    <t>Slump Base Plate. 500x500x60mm</t>
  </si>
  <si>
    <t>Tamping Rod. Ø16x600 mm</t>
  </si>
  <si>
    <t>Rubber Mallet</t>
  </si>
  <si>
    <t>Round Scoop, Medium</t>
  </si>
  <si>
    <t>Slump Test Set, Complete with stainless steel slump cone, stainless steel base tray, cone funnel, tamping rod, ruber mallet and steel ruler.</t>
  </si>
  <si>
    <t>Portable Slump Test Set, complete with galvanized steel slump cone, cone funnel, tamping rod, base tray, ruber mallet and steel ruler.</t>
  </si>
  <si>
    <t>Pneumatic Slump Test Set</t>
  </si>
  <si>
    <t>Vibro Consistometer (Vebe) EN, consists of Vibrating Consistometer, Cylindrical Bucket, Slump Cone, Graduated Rod with Transparent Plate, Filling Cone and Tamping Rod. 220 V, 50-60 Hz, 1 ph</t>
  </si>
  <si>
    <t>Vibrating Consistometer</t>
  </si>
  <si>
    <t>Cylindrical Bucket</t>
  </si>
  <si>
    <t>Graduated Rod with Transparent Plate</t>
  </si>
  <si>
    <t>Vibro Consistometer (Vebe) ASTM, consists of Vibrating Consistometer, Cylindrical Bucket, Slump Cone, Graduated Rod with Transparent Plate, Filling Cone and Tamping Rod. 220 V, 50-60 Hz, 1 ph</t>
  </si>
  <si>
    <t>Compacting Factor Apparatus, consists of two conical hoppers mounted on a cylinder. Each hopper has a hinged
flange with quick release mechanism and everything is mounted on a rigid steel stand.</t>
  </si>
  <si>
    <t>Flow Table Test Set consists of a double table measuring 700x700mm and hinged at one side. The top table is covered with a flat metal plate 2mm thick, inscribed, and protected against corrosion. The stainless steel cone has a top Ø130mm, base Ø200mm, and is 200mm high. Supplied complete with wooden tamping rod.</t>
  </si>
  <si>
    <t xml:space="preserve">Flow Table consists of a double table measuring 700x700mm and hinged at one side. The top table is covered with a flat metal plate 2mm thick, inscribed, and protected against corrosion. </t>
  </si>
  <si>
    <t>Flow Table Cone has a top Ø130mm, base Ø200mm, and is 200mm high.</t>
  </si>
  <si>
    <t>Wooden tamper. 40x40x200+125 mm</t>
  </si>
  <si>
    <t>Bleeding of Freshly Mixed Concrete is used for determination of the relative quantity of mixing water that will bleed from a sample of freshly mixed concrete.</t>
  </si>
  <si>
    <t>Degree of Compactability (Waltz) Container,  Degree of Compactability (Waltz) Container, made of metal, 1.5mm thickness, 200x200 mm base, 400 mm height, square prism container with two carrying handles.</t>
  </si>
  <si>
    <t>Concrete Mortar Penetrometer, used to determine setting time of fresh concretes. Includes these interchangeable needles: 650, 325, 160, 65, 32, 16mm².</t>
  </si>
  <si>
    <t>Needle Set for Concrete Mortar Penetrometer (650, 325, 160, 65, 32, 16mm²)</t>
  </si>
  <si>
    <t>Pocket Penetrometer, The penetration plunger has a tip area of 32 sq/mm. The plunger graduated 0,5 MPa.</t>
  </si>
  <si>
    <t>Air Entrainment Meter, for fresh concrete, B type, manometer, 7 L capacity, supplied complete with Tamping Rod and Straight Edge.
Carrying Case should be ordered separately.</t>
  </si>
  <si>
    <t>Manometer</t>
  </si>
  <si>
    <t>Tamping Rod</t>
  </si>
  <si>
    <t>Straight Edge</t>
  </si>
  <si>
    <t>Carrying Case</t>
  </si>
  <si>
    <t>Air Entrainment Meter, for fresh concrete, B type, manometer, 8 L capacity,  supplied complete with Tamping Rod and Straight Edge.
Carrying Case should be ordered separately. LİYA TEST</t>
  </si>
  <si>
    <t>Air Entrainment Meter, for fresh concrete, B type, manometer, 8 L capacity,  supplied complete with Tamping Rod and Straight Edge.
FORMTEST</t>
  </si>
  <si>
    <t>Unit Weight Measure, 3L capacity, Ø ID, mm deep, with handles, produced by electrostatic painted steel</t>
  </si>
  <si>
    <t>Unit Weight Measure, 7L capacity, Ø ID, mm deep, with handles, produced by electrostatic painted steel</t>
  </si>
  <si>
    <t>Unit Weight Measure, 10L capacity, Ø ID, mm deep, with handles, produced by electrostatic painted steel</t>
  </si>
  <si>
    <t>Unit Weight Measure, 15L capacity, Ø ID, mm deep, with handles, produced by electrostatic painted steel</t>
  </si>
  <si>
    <t>Unit Weight Measure, 30L capacity, Ø ID, mm deep, with handles, produced by electrostatic painted steel</t>
  </si>
  <si>
    <t>Specific Gravity Test Set; used with a suitable electronic balance for specific gravity determination of fresh and hardened concrete and aggregates. Supplied with a water tank, density basket and cradle. Balance should be ordered separately.</t>
  </si>
  <si>
    <t>Thermometer, 1 Channel. Measuring Range: -50 + 1300 C, Accuracy: ±1 C, Resolution: 1 C. Supplied with 9V battery. K-Type Thermocouple Cable and Connector should be ordered separately.</t>
  </si>
  <si>
    <t>Thermometer, 1 Channel. Measuring Range: -200 + 1300 C, Accuracy: ±1.1 C or ±0.4 % of reading value, Resolution: 0.1 &lt; 999 &amp; 1 &gt; 1000 C. Supplied with 9V battery. K-Type Thermocouple Cable and Connector should be ordered separately.</t>
  </si>
  <si>
    <t>Thermometer, 2 Channels. Measuring Range: -200 + 1300 C, Accuracy: ±1.1 C or ±0.4 % of reading value, Resolution: 0.1 &lt; 999 &amp; 1 &gt; 1000 C. Supplied with 9V battery. K-Type Thermocouple Cable and Connector should be ordered separately.</t>
  </si>
  <si>
    <t>Thermometer, 4 Channels. Measuring Range: -200 + 1300 C, Accuracy: From -200 to 0 C; ±0.4 ±0.3 % of reading From 0 to 1300 C; ±0.4, Resolution: 0.1 C. Supplied with Lithium-Ion battery, Transport case and User Manual. K-Type Thermocouple Cable and Connector should be ordered separately.</t>
  </si>
  <si>
    <t>K-Type Thermocouple Cable, Type: KTTE2X0,5T</t>
  </si>
  <si>
    <t>Connector, Type: OMTS-K-E</t>
  </si>
  <si>
    <t>Plastic Cube Mould, 100mm. Two gang</t>
  </si>
  <si>
    <t xml:space="preserve">Polyurethane Cube Mould, Ø100 mm </t>
  </si>
  <si>
    <t>Steel Cube Mould, 100mm</t>
  </si>
  <si>
    <t>Plastic Cube Mould, 150mm</t>
  </si>
  <si>
    <t>Plastic Cube Mould, 150mm, High Quality</t>
  </si>
  <si>
    <t>Plastic Cube Mould, 150mm, MATEST</t>
  </si>
  <si>
    <t>Steel Cube Mould, 150mm</t>
  </si>
  <si>
    <t>Steel Cube Mould, 200mm</t>
  </si>
  <si>
    <t>Tong for Cube Mould</t>
  </si>
  <si>
    <t xml:space="preserve">Polyurethane Cylinder Mould, Ø100x200 mm </t>
  </si>
  <si>
    <t xml:space="preserve">Steel Cylinder Mould, Ø100x200 mm </t>
  </si>
  <si>
    <t xml:space="preserve">Plastic Body with Steel Plate Cylinder Mould, Ø100x200 mm </t>
  </si>
  <si>
    <t xml:space="preserve">Plastic Cylinder Mould, Ø150x300 mm </t>
  </si>
  <si>
    <t xml:space="preserve">Steel Cylinder Mould, Ø150x300 mm </t>
  </si>
  <si>
    <t xml:space="preserve">Plastic Body with Steel Plate Cylinder Mould, Ø150x300 mm </t>
  </si>
  <si>
    <t xml:space="preserve">Steel Cylinder Mould, Ø250x500 mm </t>
  </si>
  <si>
    <t xml:space="preserve">Steel Beam Mould, 100x100x400mm </t>
  </si>
  <si>
    <t xml:space="preserve">Steel Beam Mould, 100x100x500mm </t>
  </si>
  <si>
    <t xml:space="preserve">Steel Beam Mould, 150x150x600mm </t>
  </si>
  <si>
    <t xml:space="preserve">Steel Beam Mould, 150x150x750mm </t>
  </si>
  <si>
    <t>Poker Vibrator, Ø22mm,4m shaft
220 V, 50-60 Hz, 1 ph</t>
  </si>
  <si>
    <t>Poker Vibrator, Ø32mm,4m shaft
220 V, 50-60 Hz, 1 ph</t>
  </si>
  <si>
    <t>Poker Vibrator, Ø38mm, 4m shaft
220 V, 50-60 Hz, 1 ph</t>
  </si>
  <si>
    <t>Poker Vibrator, Ø40mm, 4m shaft
220 V, 50-60 Hz, 1 ph</t>
  </si>
  <si>
    <t>Poker Vibrator, Ø45mm, 4m shaft
220 V, 50-60 Hz, 1 ph</t>
  </si>
  <si>
    <t>Poker Vibrator, Ø45mm, 6m shaft
220 V, 50-60 Hz, 1 ph</t>
  </si>
  <si>
    <t>Poker Vibrator, Ø50mm, 6m shaft
220 V, 50-60 Hz, 1 ph</t>
  </si>
  <si>
    <t>Vibrating Table, Portable; Vibrating table suitable for site and laboratory use, it accepts 1  piece cube or cylinder
mould can be clamped on the table depending on outer size of the mould to be used. Supplied complete with elastic bands to fix the mould to the table. Suitable for site use, where no electric supply is available. 220 V to DC 12 V</t>
  </si>
  <si>
    <t>Vibrating Table composed of vibration motor and control unit fitted to the steel housing.610x380x780 mm top table can hold 4 cylindrical or cube molds together by hinged clamp system. 
220 V, 50-60 Hz, 1 ph</t>
  </si>
  <si>
    <t>Vibrating Table composed of vibration motor and control unit fitted to the steel housing. 800x750x780 mm top table can hold 9 cylindrical or cube molds together by hinged clamp system. 
220 V, 50-60 Hz, 1 ph</t>
  </si>
  <si>
    <t>Vibrating Table composed of vibration motor and control unit fitted to the steel housing. 620x1260x1055 mm top table can hold 8 cylindrical or cube molds together by hinged clamp system. 
220 V, 50-60 Hz, 1 ph</t>
  </si>
  <si>
    <t>Vibrating Table composed of vibration motor and control unit fitted to the steel housing. 620x1260x1055 mm top table can hold 10 cylindrical or cube molds together.
220 V, 50-60 Hz, 1 ph</t>
  </si>
  <si>
    <t>Curing Tank. Polyethylene. complete with a heater, a circulating pump, coated plate, supplied with racks. Internal Dimensions:  1000x2000x800 mm (wxlxh), 
220 V, 50-60 Hz, 1 ph</t>
  </si>
  <si>
    <t>Curing Tank. Polyethylene. complete with a heater, a circulating pump, coated plate, supplied with racks. 
Internal Dimensions:  800x1850x700 mm. 220 V, 50-60 Hz, 1 ph</t>
  </si>
  <si>
    <t>Curing Tank. Galvanised. complete with a heater, a circulating pump, coated plate, supplied with racks. 
Internal Dimensions: 80x150x55 mm. 220 V, 50-60 Hz, 1 ph</t>
  </si>
  <si>
    <t>Curing Tank. Stainless Steel. complete with a heater, a circulating pump, coated plate, supplied with racks. 
Internal Dimensions: 80x150x55 mm, 220 V, 50-60 Hz, 1 ph</t>
  </si>
  <si>
    <t>Set of Removable Upper Racks</t>
  </si>
  <si>
    <t>Curing Tank Heater, thermostat controlled heater.
220 V, 50-60 Hz, 1ph</t>
  </si>
  <si>
    <t>Circulation pump</t>
  </si>
  <si>
    <t>Portable Curing Tank Heater, thermostat controlled heater with circulation pump
220 V, 50-60 Hz, 1ph</t>
  </si>
  <si>
    <t>Curing Tank Digital Indicator</t>
  </si>
  <si>
    <t>Curing Tank Resistance (LİYA TEST)</t>
  </si>
  <si>
    <t>Accelerated Curing Tank</t>
  </si>
  <si>
    <t>Manuel Grinding Machine.
Provides fast grinding of specimen ends to obtain plane and parallel surfaces. Suitable for 75 to 150 mm dia samples. Can be test for single sample. 220 V, 50 Hz, 1 ph</t>
  </si>
  <si>
    <t>Automatic Grinding Machine.
Provides fast grinding of specimen ends to obtain plane and parallel surfaces. Once  4 pieces ∅150x300 mm cylinders and or 4 pieces   ∅100x200 mm cylinders can be ground with the suitable adaptors. Other adapters can be ordered seperately. 380 V, 50 Hz, 3 ph</t>
  </si>
  <si>
    <t>Diamond Cutting Wheel</t>
  </si>
  <si>
    <t>Adaptors for Ø150x300 mm cylinder samples</t>
  </si>
  <si>
    <t>Adaptors for Ø100x200 mm cylinder samples</t>
  </si>
  <si>
    <t>Adaptors for Ø150 mm cube samples</t>
  </si>
  <si>
    <t>Adaptors for Ø 35 mm, max. Ø 150 mm core samples</t>
  </si>
  <si>
    <t>Climatic Chamber. 
Capacity: 120 L,
Temperature Range:  -20 °C / +60 °C and 0 °C / +60 °C 
Temperature Range with Humidity: 10 ºC / +60 ºC , 
Humidity Range: 20% - 95% Rh 
Temperature Sensitivity: ± 0.1 ºC
Humidity Sensitivity: 1 % Rh
220 V, 50-60 Hz, 1 ph</t>
  </si>
  <si>
    <t>Climatic Chamber. 
Capacity: 250 L,
Temperature Range:  -20 °C / +60 °C and 0 °C / +60 °C 
Temperature Range with Humidity: 10 ºC / +60 ºC , 
Humidity Range: 20% - 95% Rh 
Temperature Sensitivity: ± 0.1 ºC
Humidity Sensitivity: 1 % Rh
220 V, 50-60 Hz, 1 ph</t>
  </si>
  <si>
    <t>Climatic Chamber. 
Capacity: 500 L,
Temperature Range:  -20 °C / +60 °C and 0 °C / +60 °C 
Temperature Range with Humidity: 10 ºC / +60 ºC , 
Humidity Range: 20% - 95% Rh 
Temperature Sensitivity: ± 0.1 ºC
Humidity Sensitivity: 1 % Rh
220 V, 50-60 Hz, 1 ph</t>
  </si>
  <si>
    <t>Concrete Strength Measure (Online)</t>
  </si>
  <si>
    <t>Initial Absorption Kit is used to assess the surface absorption
characteristics of concrete. The rate of flow of water per unit area into a concrete surface when subjected to a constant head of 200 mm is measured. The unit consists of a capillary tube mounted on a scale, a water reservoir &amp; connecting tubes</t>
  </si>
  <si>
    <t xml:space="preserve">Slaking vessel EN 459-2, used to determine yield of lime. </t>
  </si>
  <si>
    <t xml:space="preserve">600 kN capacity Hydraulic Universal Testing Machine, consist of Load Frame, Automatic Hydraulic Power Pack, Digital data acquisition &amp; control system, Software and Hydraulic Grips. Apart from tensile tests, Universal Test Machines can also be used for compression tests up to the capacity of the machine. 0-40 mm flat and 8-32 mm round samples can be tested on 600 kN capacity frame.
Adapters for 0-40 mm flat samples should be ordered separetely.
220 V, 50 Hz, 1 ph. Computer is optional. </t>
  </si>
  <si>
    <t xml:space="preserve">1000 kN capacity Hydraulic Universal Testing Machine, consist of Load Frame, Automatic Hydraulic Power Pack, Digital data acquisition &amp; control system, Software and Hydraulic Grips. Apart from tensile tests, Universal Test Machines can also be used for compression tests up to the capacity of the machine. 0-40 mm flat and 8-40 mm round samples can be tested on 1000 kN capacity frame. Adapters for 0-40 mm flat samples should be ordered separetely. 220 V, 50 Hz, 1 ph. Computer is optional. </t>
  </si>
  <si>
    <t xml:space="preserve">600 kN capacity Servo Hydraulic Universal Testing Machine, consist of Load Frame, Automatic Servo Hydraulic Power Pack, Digital data acquisition &amp; control system, Software and Hydraulic Grips. Apart from tensile tests, Universal Test Machines can also be used for compression tests up to the capacity of the machine. 0-40 mm flat and 8-32 mm round samples can be tested on 600 kN capacity frame.
Adapters for 0-40 mm flat samples should be ordered separetely.
220 V, 50 Hz, 1 ph. Computer is optional. </t>
  </si>
  <si>
    <t xml:space="preserve">1000 kN capacity Servo Hydraulic Universal Testing Machine, consist of Load Frame, Automatic Servo Hydraulic Power Pack, Digital data acquisition &amp; control system, Software and Hydraulic Grips. Apart from tensile tests, Universal Test Machines can also be used for compression tests up to the capacity of the machine. 0-40 mm flat and 8-40 mm round samples can be tested on 1000 kN capacity frame. Adapters for 0-40 mm flat samples should be ordered separetely. 220 V, 50 Hz, 1 ph. Computer is optional. </t>
  </si>
  <si>
    <t>Concrete Pipe  Testing Machines 600 kN</t>
  </si>
  <si>
    <t>Concrete Pipe  Testing Machines 1000 kN</t>
  </si>
  <si>
    <t>600 kN Automatic Core-Rock Compression Testing Machine; EN, consist of Load Frame, Automatic Hydraulic Power Pack, Digital data acquisition &amp; control system, Software, Distance Pieces, Ø 205x25 mm, Ø 205x50 mm and Ø 205x80 mm, Upper Platen (with ball seating assembly) Ø300 mm, Lower Platen Ø300 mm, Loading Cylinder Assembly &amp; Limit Switch for safety, Front and Rear Protective Doors for safety. 220 V, 50-60 Hz, 1 ph
***Computer should be ordered separately.</t>
  </si>
  <si>
    <t>600 kN Automatic Core-Rock Compression Testing Machine; ASTM, consist of Load Frame, Automatic Hydraulic Power Pack, Digital data acquisition &amp; control system, Software, Distance Pieces, Ø 165x25 mm, Ø 165x50 mm and Ø 165x80 mm, Upper Platen (with ball seating assembly) Ø165 mm, Lower Platen Ø165 mm, Loading Cylinder Assembly &amp; Limit Switch for safety, Front and Rear Protective Doors for safety. 220 V, 50-60 Hz, 1 ph
***Computer should be ordered separately.</t>
  </si>
  <si>
    <t>600 kN capacity Concrete Compression Load Frame, EN, 
Complete with Distance Pieces, Ø 205x25 mm, Ø 205x50 mm and Ø 205x80 mm, Upper Platen (with ball seating assembly) Ø300 mm, Lower Platen Ø300 mm, Loading Cylinder Assembly &amp; Limit Switch for safety, Front and Rear Protective Doors for safety.</t>
  </si>
  <si>
    <t>600 kN capacity Concrete Compression Load Frame, ASTM, 
Complete with Distance Pieces, Ø 165x25 mm, Ø 165x50 mm and Ø 165x80 mm, Upper Platen (with ball seating assembly) Ø165 mm, Lower Platen Ø165 mm, Loading Cylinder Assembly &amp; Limit Switch for safety, Front and Rear Protective Doors for safety.</t>
  </si>
  <si>
    <t>Cylinder Capping Set, for 100 mm and 150 mm diameter cylinders/cores. 
Ø 75 mm cylinder specimens should be ordered separately.</t>
  </si>
  <si>
    <t>Cylinder Capping Frame</t>
  </si>
  <si>
    <t>Base Plate, Ø 75x20 mm</t>
  </si>
  <si>
    <t>Base Plate, Ø 100x20 mm</t>
  </si>
  <si>
    <t>Base Plate, Ø 150x20 mm</t>
  </si>
  <si>
    <t>Melting Pot, designed for melting capping compound, sulphur and similar materials, adjustable thermostat to deliver close temperature control automatically, 40 to 350°C, 3,5 liter capacity, Supplied with scoop. Sulphur and Graphite should be ordered separately. 
220 V, 50/60 Hz, 1 ph</t>
  </si>
  <si>
    <t>Sulphur. 1 kg</t>
  </si>
  <si>
    <t>Sulphur. 25 kg</t>
  </si>
  <si>
    <t>Graphite. 1 kg</t>
  </si>
  <si>
    <t>Graphite. 25 kg</t>
  </si>
  <si>
    <t>Scoop</t>
  </si>
  <si>
    <t>ø 150 mm Capping Retainers</t>
  </si>
  <si>
    <t>ø 150 mm Neoprene Pads</t>
  </si>
  <si>
    <t>ø 100 mm Capping Retainers</t>
  </si>
  <si>
    <t>ø 100 mm Neoprene Pads</t>
  </si>
  <si>
    <t>Masonry Saw (Specimen Cutting Machine) Ø350 mm blade dia., 125mm cutting depth, 470mm cutting length, 0.37 hp 220V water pump, 3 hp 380V electric motor.</t>
  </si>
  <si>
    <t>Cutting Blade, Ø350mm</t>
  </si>
  <si>
    <t>Concrete Cutting Machine. bench type, 350 mm blade dia., 125mm cutting depth, 470mm cutting length, 0.37 hp 220V water pump, 3 hp 220V electric motor.</t>
  </si>
  <si>
    <t>Masonry Saw (Specimen Cutting Machine) Ø450 mm blade, 175mm cutting depth, 420mm cutting length, 0.37 hp 220V water pump, 4 hp 380V electric motor.</t>
  </si>
  <si>
    <t>Cutting Blade, Ø450 mm</t>
  </si>
  <si>
    <t>Concrete Cutting Machine. bench type, 450 mm blade dia., 175mm cutting depth, 420mm cutting length, 0.37 hp 220V water pump, 4 hp 220V electric motor.</t>
  </si>
  <si>
    <t>Masonry Saw (Specimen Cutting Machine) Ø600 mm blade, 250 mm cutting depth, 500mm cutting length, 0.37 hp 220V water pump, 5,5 hp 380V electric motor.</t>
  </si>
  <si>
    <t>Cutting Blade, Ø600mm</t>
  </si>
  <si>
    <t>Concrete Cutting Machine, big size. bench type, 350 mm blade dia., 130mm cutting depth, 18000 mm cutting length, 0.37 hp 220V water pump, 4 hp 380V electric motor.</t>
  </si>
  <si>
    <t>Clamp for Concrete Cutting Machine</t>
  </si>
  <si>
    <t>Universal Coring Machine; 2600W, Drilling dia: 50-255, Two speeds: 460rpm-840rpm. Metal frame, Feed lever change without any tool (right/left side). Feed lever – drilling in tight areas. Quick-change plate – motor/rig. Weight: 25,2 kg. 220 V, 50-60 Hz, 1 ph</t>
  </si>
  <si>
    <t xml:space="preserve">Universal Coring Machine, motor max power 2200W, three speeds: 420rpm-700-1570rpm, coring range 25-202mm. Supplied complete with stabilising feet, connection hose. 16,3 kg. 230V, 50-60 Hz, 1 ph </t>
  </si>
  <si>
    <t xml:space="preserve">Universal Coring Machine, motor max power 2500W, two speeds: 360rpm-850rpm, coring range 52-250mm, coring depth: 600mm, soft start and thermal overload protection. Supplied complete with stabilising feet, connection hose and strap wrench for fitting and removal of core bits. 26 kg. 220-240V, 50-60 Hz, 1 ph </t>
  </si>
  <si>
    <t xml:space="preserve">Universal Coring Machine, motor max power 2800W, two speeds: 450rpm-900rpm, coring range 152-254mm. Supplied complete with stabilising feet, connection hose and strap wrench for fitting and removal of core bits. 220-240V, 50-60 Hz, 1 ph </t>
  </si>
  <si>
    <t>Laboratory Type Core Drilling Machine, for taking core samples from large sized rock, natural stone and concrete samples. Coring bits should be ordered seperately.230V, 50-60Hz, 1ph.</t>
  </si>
  <si>
    <t>Core Bit, Ø  21.46mm</t>
  </si>
  <si>
    <t>Core Bit, Ø  30.10 mm</t>
  </si>
  <si>
    <t>Core Bit, Ø  38.10mm</t>
  </si>
  <si>
    <t>Core Bit, Ø  42.04 mm</t>
  </si>
  <si>
    <t>Core Bit, Ø  54.74 mm</t>
  </si>
  <si>
    <t>Core Bit, Ø   60.50mm</t>
  </si>
  <si>
    <t>For concrete sampling, segment type diamond coring bit, 50mm dia, 400mm height.</t>
  </si>
  <si>
    <t>For rock sampling, segment type diamond coring bit, 54,74mm dia, 400mm height.</t>
  </si>
  <si>
    <t>For concrete sampling, segment type diamond coring bit, 75mm dia, 400mm height.</t>
  </si>
  <si>
    <t>For concrete sampling, segment type diamond coring bit, 100mm dia, 400mm height.</t>
  </si>
  <si>
    <t>For concrete sampling, segment type diamond coring bit, 150mm dia, 400mm height.</t>
  </si>
  <si>
    <t>For concrete sampling, segment type diamond coring bit, 200mm dia, 400mm height.</t>
  </si>
  <si>
    <t>Manuel Pull Out Test Apparatus. 30 ton capacity. Rebar Pull-Out Force Testers have a steel hydraulic cylinder and has 30 ton capacity hydraulic jack and hand pump. Complete with 8-10-12-14-16-18-20-22-24-26-28-30-32 mm Special Jaw Set.</t>
  </si>
  <si>
    <t>Manuel Pull Out Test Apparatus. 50 ton capacity. Rebar Pull-Out Force Testers have a steel hydraulic cylinder and has 30 ton capacity hydraulic jack and hand pump. Complete with 8-10-12-14-16-18-20-22-24-26-28-30-32 mm Special Jaw Set.</t>
  </si>
  <si>
    <t>Digital  Pull Out Test Apparatus. 30 ton capacity. Rebar Pull-Out Force Testers have a steel hydraulic cylinder. LPI Battery Operated Digital Readout Unit connected to a 30 tons capacity hydraulic jack
and hand pump provides 1 % sensitive load or tensional strength value readings. Complete with 8-10-12-14-16-18-20-22-24-26-28-30-32 mm Special Jaw Set.</t>
  </si>
  <si>
    <t>Digital  Pull Out Test Apparatus. 50 ton capacity. Rebar Pull-Out Force Testers have a steel hydraulic cylinder. LPI Battery Operated Digital Readout Unit connected to a 30 tons capacity hydraulic jack
and hand pump provides 1 % sensitive load or tensional strength value readings. Complete with 8-10-12-14-16-18-20-22-24-26-28-30-32 mm Special Jaw Set.</t>
  </si>
  <si>
    <t>Pull Out Hydraulic Jack. Complete with Hose and Connection apparatus.</t>
  </si>
  <si>
    <t>Piston. for Pull Out Test Apparatus.</t>
  </si>
  <si>
    <t>Special Jaw Set. 8-10-12-14-16-18-20-22-24-26-28-30-32 mm.</t>
  </si>
  <si>
    <t>Jaw Seat</t>
  </si>
  <si>
    <t>Jaw Set for Ø 8-10 mm</t>
  </si>
  <si>
    <t>Jaw Set for Ø 12-14 mm</t>
  </si>
  <si>
    <t>Jaw Set for Ø 16-18 mm</t>
  </si>
  <si>
    <t>Jaw Set for Ø 20-22 mm</t>
  </si>
  <si>
    <t>Jaw Set for Ø 24-26 mm</t>
  </si>
  <si>
    <t>Jaw Set for Ø 28-30 mm</t>
  </si>
  <si>
    <t>Jaw Set for Ø 30-32 mm</t>
  </si>
  <si>
    <t>Jaw Set for Ø 32-34 mm</t>
  </si>
  <si>
    <t>Concrete Impermeability Test Set, 3 specimen capacity, for 150x150x150 mm, 200x200x200 mm cube or 100x200 mm, 150x300mm cylinder specimens.  Pressure to the sample, up to 8 bar with 0,2 bar precision is generated by way of compressed air applied to the integral water tank and controlled by a pressure regulator; with a pressure gauge. The Air Compressor should be ordered separately.</t>
  </si>
  <si>
    <t>Concrete Impermeability Test Set, 6 specimen capacity, for 150x150x150 mm, 200x200x200 mm cube or 100x200 mm, 150x300mm cylinder specimens.  Pressure to the sample, up to 8 bar with 0,2 bar precision is generated by way of compressed air applied to the integral water tank and controlled by a pressure regulator; with a pressure gauge. The Air Compressor should be ordered separately.</t>
  </si>
  <si>
    <t>Digital Pull-Off Strength (Bond) Tester</t>
  </si>
  <si>
    <t>Drill bit with centering bit for the preparation of the test surface, 
Ø 50 mm</t>
  </si>
  <si>
    <t>Drill bit with centering bit for the preparation of the test surface, 
Ø 20 mm</t>
  </si>
  <si>
    <t>Metal ring (dinking die), Ø 50 mm, 25 mm high, for fresh plaster, to EN 1015-12</t>
  </si>
  <si>
    <t>Aluminum square plate 50 mm x 50 mm to EN 1348</t>
  </si>
  <si>
    <t>Aluminum test disc Ø 50 mm x 20 mm thick</t>
  </si>
  <si>
    <t>Aluminum test disc Ø 20 mm x 20 mm thick</t>
  </si>
  <si>
    <t>Stainless steel test disc Ø 50 mm x 20 mm thick to EN 1015-12</t>
  </si>
  <si>
    <t>Fast setting adhesive for pull-off test. 250 ml</t>
  </si>
  <si>
    <t>Serial cable</t>
  </si>
  <si>
    <r>
      <t>Concrete Test Hammer (Schmidt Hammer), N Type, used to determine in-situ compressive strength of concrete. Measuring Range: 10-70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</si>
  <si>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Concrete Test Hammer (Schmidt Hammer), PROCEQ
N Type, used to determine in-situ compressive strength of concrete. Measuring Range: 10-70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</si>
  <si>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Concrete Test Hammer (Schmidt Hammer), ITALY.
N Type, used to determine in-situ compressive strength of concrete. Measuring Range: 10-120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</si>
  <si>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Electronic Concrete Test Hammer (SilverSchmidt Hammer), PROCEQ
N Type, used to determine in-situ compressive strength of concrete. Measuring Range: 10-70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</si>
  <si>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Electronic PC Connector, Concrete Test Hammer (SilverSchmidt Hammer), PROCEQ
N Type, used to determine in-situ compressive strength of concrete. Measuring Range: 10-70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</si>
  <si>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Digital Concrete Test Hammer (Digi-Schmidt Hammer), PROCEQ
N Type, used to determine in-situ compressive strength of concrete. Measuring Range: 10-70 N/mm</t>
    </r>
    <r>
      <rPr>
        <sz val="10"/>
        <rFont val="Century Schoolbook"/>
        <family val="1"/>
        <charset val="162"/>
      </rPr>
      <t>²</t>
    </r>
    <r>
      <rPr>
        <sz val="10"/>
        <rFont val="Cambria"/>
        <family val="1"/>
        <charset val="162"/>
      </rPr>
      <t xml:space="preserve">, Impact Energy: 2.207 Joule (0,225 mkgf). </t>
    </r>
    <r>
      <rPr>
        <sz val="10"/>
        <rFont val="Cambria"/>
        <family val="1"/>
        <charset val="162"/>
      </rPr>
      <t>Aluminium body, Supplied complete with calibration curve chart in N/mm² (Mpa) values, abrasive stone and carrying case.</t>
    </r>
  </si>
  <si>
    <r>
      <t>Digital Concrete Test Hammer (Schmidt Hammer),
N Type, used to determine in-situ compressive strength of concrete. Measuring Range: 10-120 N/mm</t>
    </r>
    <r>
      <rPr>
        <sz val="10"/>
        <rFont val="Century Schoolbook"/>
        <family val="1"/>
        <charset val="162"/>
      </rPr>
      <t>²</t>
    </r>
    <r>
      <rPr>
        <sz val="10"/>
        <rFont val="Cambria"/>
        <family val="1"/>
        <charset val="162"/>
      </rPr>
      <t>, Impact Energy: 2.207 Joule (0,225 mkgf). Aluminium body, Supplied complete with calibration curve chart in N/mm² (Mpa) values, abrasive stone and carrying case.</t>
    </r>
  </si>
  <si>
    <t>Concrete Test Hammer (Schmidt Hammer) Calibration Anvil</t>
  </si>
  <si>
    <t>Concrete Test Hammer (Schmidt Hammer) Calibration Anvil. PROCEQ</t>
  </si>
  <si>
    <t>Pundit Ultrasonic Testing Instrumen. Pundit Lab Plus, PROCEQ</t>
  </si>
  <si>
    <t>Pundit Ultrasonic Testing Instrumen. Pundit Lab, PROCEQ</t>
  </si>
  <si>
    <t>Concrete Covermeter. Steel detection depth: Max. 60 mm, Cooper detection depth: Max. 50 mm, automatic calibration, 9V alkaline battery.</t>
  </si>
  <si>
    <t>Concrete Covermeter. Steel detection depth: Max. 120 mm, Cooper detection depth: Max. 80 mm, automatic calibration, 9V alkaline battery.</t>
  </si>
  <si>
    <t>Concrete Covermeter. Profometre 6. PM-600. PROCEQ</t>
  </si>
  <si>
    <t>Concrete Covermeter. Profometre 6. PM-630. PROCEQ</t>
  </si>
  <si>
    <t>Concrete Covermeter. Profometre 6. PM-650. PROCEQ</t>
  </si>
  <si>
    <t>HİLTİ Covermeter. Scanner + Monitor</t>
  </si>
  <si>
    <t>HİLTİ Covermeter. Scanner</t>
  </si>
  <si>
    <t>HİLTİ Covermeter. X- Scan Scanner + Monitor</t>
  </si>
  <si>
    <t>HİLTİ Covermeter. Monitor</t>
  </si>
  <si>
    <t>Crack Detection Microscope;
Measuring range:4 mm. and div. 0,02 mm.
Magnification: x35
Weight: 600 g</t>
  </si>
  <si>
    <t>Blaine Permeability Apparatus used to determine particle size of portland cement and limes in terms of their specific surface. The apparatus supplied complete with a  U manometer tube, stainless steel stand, rubber aspirator, plastic funnel and 100 piece filter paper.</t>
  </si>
  <si>
    <t>U manometer tube</t>
  </si>
  <si>
    <t>Cell with Perforated disc</t>
  </si>
  <si>
    <t>Manometer liquid in bottle, 250 ml</t>
  </si>
  <si>
    <t>Rubber Aspirator Bulb</t>
  </si>
  <si>
    <t>Filter Paper for Blaine Permeability Apparatus. Pack of 100</t>
  </si>
  <si>
    <t>Filter Paper for Blaine Permeability Apparatus. Pack of 1000</t>
  </si>
  <si>
    <t>Automatic Blaine Permeability Apparatus used to determine particle size of portland cement and limes in terms of their specific surface. The apparatus supplied complete with a  U manometer tube, stainless steel stand, rubber aspirator, plastic funnel and 100 piece filter paper.</t>
  </si>
  <si>
    <t>Calibration Sand.100 ml x 2 bottles. (No. 2800-3990)</t>
  </si>
  <si>
    <t>LIME REACTIVITY TEST APPARATUS</t>
  </si>
  <si>
    <t>Three Gang Mould for 40x40x160mm prisms, steel</t>
  </si>
  <si>
    <t>Steel Insert for LT-CE0035, Pack of 10</t>
  </si>
  <si>
    <t>Reference Rod. 160 mm lenght</t>
  </si>
  <si>
    <t>Steel Insert for LT-CE0038, Pack of 10</t>
  </si>
  <si>
    <t>Reference Rod. 305 mm lenght</t>
  </si>
  <si>
    <t>Analog Shrinkage Test Set; 
The set consists of length measuring frame, 2 gang steel mould 25x25x285 mm, steel inserts for mould, reference rod 305 mm and  0,01 mm analogue dial gauge.</t>
  </si>
  <si>
    <t>Digital Shrinkage Test Set; 
The set consists of length measuring frame, 2 gang steel mould 25x25x285 mm, steel inserts for mould, reference rod 205 mm and 0.001mm digital dial gauge.</t>
  </si>
  <si>
    <t>Gilmoere Apparatus</t>
  </si>
  <si>
    <t>Air Entrainment Meter, 1 liter capacity</t>
  </si>
  <si>
    <t>Wet Sieving Apparatus</t>
  </si>
  <si>
    <t>Cement Samplers, Ø38x580 mm, for packed cements</t>
  </si>
  <si>
    <t>Cement Samplers, Ø35x1500 mm, for silo cement</t>
  </si>
  <si>
    <t>Flow Cone; EN 445. The Flow Cone Set is supplied complete with Cone, Stand Fitting Bush, Sieve, Plastic Beaker and Ø 10 mm nozzle.
It can also be fit with other nozzles Ø8, Ø9, Ø11 and Ø13 mm.</t>
  </si>
  <si>
    <t>Flow Cone Apparatus</t>
  </si>
  <si>
    <t>Stand and Fitting Bush</t>
  </si>
  <si>
    <t>Sieve, 1.5 mm opening</t>
  </si>
  <si>
    <t>Ø 8 mm Nozzle</t>
  </si>
  <si>
    <t>Ø 9 mm Nozzle</t>
  </si>
  <si>
    <t>Ø 10 mm Nozzle</t>
  </si>
  <si>
    <t>Ø 11 mm Nozzle</t>
  </si>
  <si>
    <t>Ø 13 mm Nozzle</t>
  </si>
  <si>
    <t>Plastic Beaker, 1000 ml</t>
  </si>
  <si>
    <t>Marsh Funnel Viscometer</t>
  </si>
  <si>
    <t>Mud Balance</t>
  </si>
  <si>
    <t>Mud Balance Carrying case</t>
  </si>
  <si>
    <t>Modified Vicat Cone Penetrometer</t>
  </si>
  <si>
    <t>Vicat Test Set EN, used to determine setting time measurements of cement, complete with vicat mould, initial and final set needle, supporting plate and consistency plunger.</t>
  </si>
  <si>
    <t>Vicat Frame</t>
  </si>
  <si>
    <t>Vicat Mould (EN Model)</t>
  </si>
  <si>
    <t>Initial set needle, EN Model, 1.13 mm dia.</t>
  </si>
  <si>
    <t>Final set needle, EN, 1.13 mm dia.</t>
  </si>
  <si>
    <t>Consistency Plunger, 10 mm dia.</t>
  </si>
  <si>
    <t>Vicat Supporting Plate</t>
  </si>
  <si>
    <t>Additional Weight, 700 g, EN</t>
  </si>
  <si>
    <t>Vicat Test Set ASTM, used to determine setting time measurements of cement, complete with vicat mould, initial set needle, supporting plate and consistency plunger.</t>
  </si>
  <si>
    <t>Vicat Mould (ASTM Model)</t>
  </si>
  <si>
    <t>Initial set needle, ASTM Model, 1 mm dia.</t>
  </si>
  <si>
    <t>AUTOMATİC VİCAT APPARATUS</t>
  </si>
  <si>
    <t>Le Chatelier Flask,  250ml, Neck is graduated from 0 to 1ml  and from 18 to 24ml.</t>
  </si>
  <si>
    <t>Le Chatelier Mould, The mould consists of a spring tensioned split cylinder Ø 30 x 30 mm with two indicator stems which measure 150 mm from the points to the center line of the cylinder and O ring.</t>
  </si>
  <si>
    <t>Le Chatelier Test Set is supplied with 3 pieces Le Chatelier Moulds, 6 pieces 50x50 mm Glass
Plates, 300 gr Weight, 3 pieces 100 gr Weight, 70 gr Tamping Rod, Steel Ruler and Carrying Case.</t>
  </si>
  <si>
    <t>Glass Plate, 5x5 cm</t>
  </si>
  <si>
    <t>300 gr Weight</t>
  </si>
  <si>
    <t>100 gr Weight</t>
  </si>
  <si>
    <t>Tamping Rod, Ø 1,7 cm</t>
  </si>
  <si>
    <t xml:space="preserve">Le Chatelier Water Bath, used for the determination of setting time and expansion of cement samples. Inside of bath is made from stainless steel, complete with a removable rack to hold up to 12 Le Chatelier moulds, with a digital indicator. The bath reaches the boiling point in approx. 30 minutes. Le Chatelier Moulds are should be ordered separately. 220 V, 50-60 Hz, 1 ph
</t>
  </si>
  <si>
    <t>Manuel Cement Flow Table, EN, used to determine the flow of hydraulic cement mortars and cement pastes, is fitted with a hand wheel. the table is manufactured from brass and Ø 300 mm. Supplied complete with brass flow mould and tamper.</t>
  </si>
  <si>
    <t>Cement Flow Mould. EN, The cone made of brass has dimensions of Ø 100 mm base x Ø 70 mm top x Ø 60 mm.</t>
  </si>
  <si>
    <t>Tamping Rod. EN. Ø40x200 mm, 250 gr</t>
  </si>
  <si>
    <t>Manuel Cement Flow Table, ASTM, used to determine the flow of hydraulic cement mortars and cement pastes, hand driven, the table is manufactured from brass and Ø 254 mm. Supplied complete with brass flow mould and tamper.</t>
  </si>
  <si>
    <t>Cement Flow Mould. ASTM. The cone made of brass has dimensions of Ø 100 mm base x Ø 70 mm top x Ø 50 mm.</t>
  </si>
  <si>
    <t>Tamping Rod. ASTM. Hardwood, 13x25x150 mm</t>
  </si>
  <si>
    <t>Motorized Cement Flow Table EN, used to determine the flow of hydraulic cement mortars and cement pastes, motorized with digital counter, the table is manufactured from brass and Ø 300 mm. Supplied complete with brass flow mould and tamper. 
220 V, 50-60 Hz, 1 ph</t>
  </si>
  <si>
    <t>Motorized Cement Flow Table ASTM, used to determine the flow of hydraulic cement mortars and cement pastes, motorized with digital counter, the table is manufactured from brass and Ø 254 mm. Supplied complete with brass flow mould and tamper.
220 V, 50-60 Hz, 1 ph</t>
  </si>
  <si>
    <t>Plunger Penetration Apparatus; Consisting of a steel base with recess to house the test cup and the vertical column holding the penetration plunger assembly. The height of drop is 100 mm and the weight of plunger assembly is 90 g. Supplied complete with Ø 8 x 7 cm Test Cup and Tamper.</t>
  </si>
  <si>
    <t>Test cup; Ø 8 x 7 cm</t>
  </si>
  <si>
    <t>Tamper</t>
  </si>
  <si>
    <t>Manuel mortar mixer, 5 liter capacity, The user can choose speeds easily by using switch fitted to the machine. The mixer is supplied complete with 5lt capacity bowl and the beater. 220 V, 50-60 Hz, 1 ph</t>
  </si>
  <si>
    <t>Automatic Programmable Mortar Mixer, 5 liter capacity, The mixing head rotates in the speed of 62 and 125 rpm, the beater 140 and 285 rpm. The mixer is supplied complete with 5lt capacity bowl and the beater. 220 V, 50-60 Hz, 1 ph</t>
  </si>
  <si>
    <t>Bowl for LT-CE0029</t>
  </si>
  <si>
    <t>Beater for LT-CE0029</t>
  </si>
  <si>
    <t>Feed Hopper for 40x40x160 mm cement moulds.</t>
  </si>
  <si>
    <t>Three Gang Cube Mould 50x50x50 mm, steel</t>
  </si>
  <si>
    <t>Cube Mould 70,7 mm, steel</t>
  </si>
  <si>
    <t>Cement Shrinkage Mould. Two Gang. 25x25x285mm, steel</t>
  </si>
  <si>
    <t>Jolting Table used for compaction of cement mortar pastes with 40x40x160mm cement moulds. It moves at 60 R.p.m and falling height is 15mm conforming with EN 196-1. The digital encounter stops machine at required count automatically. Supplied without moulds.  220 V, 50-60 Hz, 1 ph</t>
  </si>
  <si>
    <t>Reference Sand, 1350gr</t>
  </si>
  <si>
    <t>Curing Cabinet;
Capacity: 120 L, 
Temperature Range: 20 ±1 ºC, 
Humidity Range from 20 to 95%, 
Stainless steel interior.
Single Programmed, Numeric Display</t>
  </si>
  <si>
    <t>Curing Cabinet;
Capacity: 120 L, 
Temperature Range: 20 ±1 ºC, 
Humidity Range from 20 to 95%, 
Stainless steel interior.
Step Controlled (10 programs), Siemens LCD Touch Screen</t>
  </si>
  <si>
    <t xml:space="preserve">Curing Cabinet;
Capacity: 250 L, 
Temperature Range: 20 ±1 ºC, 
Humidity Range from 20 to 95%, 
Stainless steel interior.
Single Programmed, Numeric Display
</t>
  </si>
  <si>
    <t>Curing Cabinet;
Capacity: 250 L, 
Temperature Range: 20 ±1 ºC, 
Humidity Range from 20 to 95%, 
Stainless steel interior.
Step Controlled (10 programs), Siemens LCD Touch Screen</t>
  </si>
  <si>
    <t>Curing Cabinet;
Capacity: 500 L, 
Temperature Range: 20 ±1 ºC, 
Humidity Range from 20 to 95%, 
Stainless steel interior.
Single Programmed, Numeric Display</t>
  </si>
  <si>
    <t>Curing Cabinet;
Capacity: 500 L, 
Temperature Range: 20 ±1 ºC, 
Humidity Range from 20 to 95%, 
Stainless steel interior.
Step Controlled (10 programs), Siemens LCD Touch Screen</t>
  </si>
  <si>
    <t>Curing Cabinet;
Capacity: 750 L, 
Temperature Range: 20 ±1 ºC, 
Humidity Range from 20 to 95%, 
Stainless steel interior.
Single Programmed, Numeric Display</t>
  </si>
  <si>
    <t>Curing Cabinet;
Capacity: 750 L, 
Temperature Range: 20 ±1 ºC, 
Humidity Range from 20 to 95%, 
Stainless steel interior.
Step Controlled (10 programs), Siemens LCD Touch Screen</t>
  </si>
  <si>
    <t>Curing Cabinet;
Capacity: 1000 L, 
Temperature Range: 20 ±1 ºC, 
Humidity Range from 20 to 95%, 
Stainless steel interior.</t>
  </si>
  <si>
    <t>15/250 kN Automatic Flexure/Compression Cement Testing Machine, consist of Very rigid two column single or double chamber Load Frames, Automatic Hydraulic Power Pack, Digital data acquisition &amp; control system and Software. Compression Test Capacity is 250 kN (25 ton),  Flexure  Test Capacity is 15 kN (1,5 ton). The machine is suitable for 40x40x160 mm sample's compression and flexure test. Compression and flexure jigs, distance pieces, and also removable transparent front-rear safety doors (should be factory installed) should be ordered separately. 220 V, 50-60 Hz, 1 ph
***Computer should be ordered separately.</t>
  </si>
  <si>
    <t xml:space="preserve">15/250 kN Flexure/Compression Cement Testing Load Frames. Compression Test Capacity is 250 kN (25 ton),  Flexure  Test Capacity is 15 kN (1,5 ton). The machine is suitable for 40x40x160 mm sample's compression and flexure test. Compression and flexure jigs, distance pieces, and also removable transparent front-rear safety doors (should be factory installed) should be ordered separately.
</t>
  </si>
  <si>
    <t>250 kN Automatic Compression Cement Testing Machine, consist of Load Frame, Automatic Hydraulic Power Pack, Digital data acquisition &amp; control system and Software. Compression test capacity is 250 kN (25 ton). The machine is suitable for 40x40x160 mm sample's compression test. Compression jigs, distance pieces, and also removable transparent front-rear safety doors (should be factory installed) should be ordered separately. 220 V, 50-60 Hz, 1 ph
***Computer should be ordered separately.</t>
  </si>
  <si>
    <t>250 kN Compression Cement Testing Load Frame. Compression test capacity is 250 kN (25 ton). The machine is suitable for 40x40x160 mm sample's compression test. Compression jigs, distance pieces, and also removable transparent front-rear safety doors (should be factory installed) should be ordered separately.</t>
  </si>
  <si>
    <t>Cement + Tile Tensile Compression Machine;
Double Piston. Capacity: 2-20 ton.
Produced for 40x40x160 mm Compression, Flexural and Tile tensile tests. Digital Electronic Load Cell, Hydraulic Adjustable Speed System, Computer controlled Automatic System. Automatic for Compression and Flexure, Manual for Tile Tensile Tests. 
220 V, 50-60 Hz, 1 ph
***Computer should be ordered separately.</t>
  </si>
  <si>
    <t>Flexure Jig Assembly to test 40x40x160 mm mortar prisms</t>
  </si>
  <si>
    <t>Compression Jig Assembly to test 50 mm (2”) mortar cubes</t>
  </si>
  <si>
    <t>Compression Jig Assembly to test portions of 40x40x160 mm mortar prisms</t>
  </si>
  <si>
    <t>Compression Jig Assembly BS, to test 70,7 mm mortar cubes</t>
  </si>
  <si>
    <t>Tensile Adhesion Strength Test Apparatus, 5 kN, EN 12004-2, Supplies complete with 5 kN load cell. Pull-head plates set should be ordered separately according to standard of product tested. It should be ordered with cement compression/flexure testing machines.</t>
  </si>
  <si>
    <t>Pull Headed Plate Set, EN 1348</t>
  </si>
  <si>
    <t>Pull Headed Plate Set, EN 1015-12</t>
  </si>
  <si>
    <t>Conical Shaped Ring, EN 1015-12</t>
  </si>
  <si>
    <t>Distance Pieces, Ø 150 x 15 mm</t>
  </si>
  <si>
    <t>Distance Pieces, Ø 150 x 30 mm</t>
  </si>
  <si>
    <t>Distance Pieces, Ø 150 x 50 mm</t>
  </si>
  <si>
    <t>Distance Pieces, Ø 150 x 90 mm</t>
  </si>
  <si>
    <t>Ball Mill; Int. Dimensions: Ø 305 x 305 mm. Rotational Speed: 70 rpm. Supplied with 22 lt capacity cylindrical tank and balls ( 36 mm; 43 pieces, 30 mm ; 67 pieces, 25,40 mm; 10 pieces, 19,05 mm; 71 pieces, 12,70 mm; 94 pieces).  220 V, 50-60 Hz, 1 ph</t>
  </si>
  <si>
    <t>Bond Grinding Test Mill. The rotation speed can adjustable.
The standard default speed is 70 rpm. Supplied with 22 lt capacity cylindrical tank,  balls ( 36 mm; 43 pieces, 30 mm ; 67 pieces, 25,40 mm; 10 pieces, 19,05 mm; 71 pieces, 12,70 mm; 94 pieces).  220 V, 50-60 Hz, 1 ph</t>
  </si>
  <si>
    <t>Balls for Ball Mill. The balls are made of corrosion resistance steel. 
36 mm; 43 pieces, 30 mm ; 67 pieces, 25,40 mm; 10 pieces, 19,05 mm; 71 pieces, 12,70 mm; 94 pieces.</t>
  </si>
  <si>
    <t>TRL Dynamic Cone Penetrometer, consists of  Drop sliding hammer 8 kg weight dropping mass trough a height of 575 mm, 2 pcs. Penetration rod with conical 60° point and 20 mm dia., Anvil with driving rod, Segmented lower extension rod, Segmented upper extension rod, Segmented adaptor for extension rods, Bar wrench,
Spanners, Tommy bar, Steel Ruler, All contained in a carrying case.</t>
  </si>
  <si>
    <t>Drop sliding hammer 8 kg</t>
  </si>
  <si>
    <t>Spare 60° cone</t>
  </si>
  <si>
    <t>Anvil with driving rod</t>
  </si>
  <si>
    <t>Segmented lower extension rod</t>
  </si>
  <si>
    <t>Segmented upper extension rod</t>
  </si>
  <si>
    <t>Segmented adaptor for extension rods</t>
  </si>
  <si>
    <t>Field Inspection Testing Kit</t>
  </si>
  <si>
    <t>Water Level Measuring Device</t>
  </si>
  <si>
    <t>Pinhole Test Apparatus, Ø33mm ID</t>
  </si>
  <si>
    <t>Pinhole Test Apparatus, Ø44mm ID</t>
  </si>
  <si>
    <t>Constant Level Water Tank, 7 lt</t>
  </si>
  <si>
    <t>Standard Sand for density tests, passing 600 micron and retained on 300 micron. Pack of 1000 gr.</t>
  </si>
  <si>
    <t>Standard Sand for density tests, passing No. 16 (1,18 mm) and retained on  No.30 (600 mikron). Pack of 1000 gr.</t>
  </si>
  <si>
    <t>Pocket Type Vane Tester</t>
  </si>
  <si>
    <t>Laboratory Type Vane Shear</t>
  </si>
  <si>
    <t>Motorized Laboratory Type Vane Shear</t>
  </si>
  <si>
    <r>
      <t xml:space="preserve">Surface Soil Sampler Set, BS, </t>
    </r>
    <r>
      <rPr>
        <sz val="10"/>
        <rFont val="Cambria"/>
        <family val="1"/>
        <charset val="162"/>
      </rPr>
      <t>∅</t>
    </r>
    <r>
      <rPr>
        <sz val="8.5"/>
        <rFont val="Cambria"/>
        <family val="1"/>
        <charset val="162"/>
      </rPr>
      <t xml:space="preserve"> 73</t>
    </r>
    <r>
      <rPr>
        <sz val="10"/>
        <rFont val="Cambria"/>
        <family val="1"/>
        <charset val="162"/>
      </rPr>
      <t xml:space="preserve"> mm Surface Soil Sampler Set consists of a Driving dolly, 5 kg driving rammer and Ø 73 mm x 66 mm Sampling Tube.</t>
    </r>
  </si>
  <si>
    <t>Sampling Tube, BS, Ø 73 mm x 66 mm</t>
  </si>
  <si>
    <r>
      <t xml:space="preserve">Surface Soil Sampler Set, BS, </t>
    </r>
    <r>
      <rPr>
        <sz val="10"/>
        <rFont val="Cambria"/>
        <family val="1"/>
        <charset val="162"/>
      </rPr>
      <t>∅</t>
    </r>
    <r>
      <rPr>
        <sz val="8.5"/>
        <rFont val="Cambria"/>
        <family val="1"/>
        <charset val="162"/>
      </rPr>
      <t xml:space="preserve"> </t>
    </r>
    <r>
      <rPr>
        <sz val="10"/>
        <rFont val="Cambria"/>
        <family val="1"/>
        <charset val="162"/>
      </rPr>
      <t>100 mm Surface Soil Sampler Set consists of a Driving dolly, 10 kg driving rammer and Ø 100 mm x 130 mm Sampling Tube.</t>
    </r>
  </si>
  <si>
    <t>Sampling Tube, BS, Ø 100 mm x 130 mm</t>
  </si>
  <si>
    <r>
      <t xml:space="preserve">Surface Soil Sampler Set, BS, </t>
    </r>
    <r>
      <rPr>
        <sz val="10"/>
        <rFont val="Cambria"/>
        <family val="1"/>
        <charset val="162"/>
      </rPr>
      <t>∅</t>
    </r>
    <r>
      <rPr>
        <sz val="8.5"/>
        <rFont val="Cambria"/>
        <family val="1"/>
        <charset val="162"/>
      </rPr>
      <t xml:space="preserve"> </t>
    </r>
    <r>
      <rPr>
        <sz val="10"/>
        <rFont val="Cambria"/>
        <family val="1"/>
        <charset val="162"/>
      </rPr>
      <t>150 mm Surface Soil Sampler Set consists of a Driving dolly, 16 kg driving rammer and Ø 150 mm x 180 mm Sampling Tube.</t>
    </r>
  </si>
  <si>
    <t>Sampling Tube, BS, Ø 150 mm x 180 mm</t>
  </si>
  <si>
    <r>
      <t xml:space="preserve">Surface Soil Sampler Set, ASTM/CNR, </t>
    </r>
    <r>
      <rPr>
        <sz val="10"/>
        <rFont val="Cambria"/>
        <family val="1"/>
        <charset val="162"/>
      </rPr>
      <t>∅</t>
    </r>
    <r>
      <rPr>
        <sz val="8.5"/>
        <rFont val="Cambria"/>
        <family val="1"/>
        <charset val="162"/>
      </rPr>
      <t xml:space="preserve"> </t>
    </r>
    <r>
      <rPr>
        <sz val="10"/>
        <rFont val="Cambria"/>
        <family val="1"/>
        <charset val="162"/>
      </rPr>
      <t>3" Surface Soil Sampler Set consists of a drive head, 5 kg drive hammer and a thin wall sampling tube.</t>
    </r>
  </si>
  <si>
    <t>Sampling Tube, ASTM/CNR, Ø 3" x 70 mm</t>
  </si>
  <si>
    <r>
      <t xml:space="preserve">Surface Soil Sampler Set, ASTM/CNR, </t>
    </r>
    <r>
      <rPr>
        <sz val="10"/>
        <rFont val="Cambria"/>
        <family val="1"/>
        <charset val="162"/>
      </rPr>
      <t>∅</t>
    </r>
    <r>
      <rPr>
        <sz val="8.5"/>
        <rFont val="Cambria"/>
        <family val="1"/>
        <charset val="162"/>
      </rPr>
      <t xml:space="preserve"> 4</t>
    </r>
    <r>
      <rPr>
        <sz val="10"/>
        <rFont val="Cambria"/>
        <family val="1"/>
        <charset val="162"/>
      </rPr>
      <t>" Surface Soil Sampler Set consists of a drive head, 5 kg drive hammer and a thin wall sampling tube.</t>
    </r>
  </si>
  <si>
    <t>Sampling Tube, ASTM/CNR, Ø 4" x 127 mm</t>
  </si>
  <si>
    <t>Hand Operated Auger Boring Set, including T handle with 1 m rod, 1 m extension rod, Ø80mm, Ø100mm and Ø150mm auger heads.</t>
  </si>
  <si>
    <t>Soil Proctor Penetrometer, Used to determine in field the moisture-penetration resistance relationship of fine grained soils. Complete with 9 interchangeable stainless steel needles Ø 4,52 - 5,23 - 6,40 - 9,07 - 12,83 - 16,54 - 20, 22 - 24,79 - 28,55 mm, accessories, carrying case.</t>
  </si>
  <si>
    <t>Interchangeable stainless steel needle; Ø 4,52 mm</t>
  </si>
  <si>
    <t>Interchangeable stainless steel needle; Ø 5,23 mm</t>
  </si>
  <si>
    <t>Interchangeable stainless steel needle; Ø 6,40 mm</t>
  </si>
  <si>
    <t>Interchangeable stainless steel needle; Ø 9,07 mm</t>
  </si>
  <si>
    <t>Interchangeable stainless steel needle; Ø 12,83 mm</t>
  </si>
  <si>
    <t>Interchangeable stainless steel needle; Ø 16,54 mm</t>
  </si>
  <si>
    <t>Interchangeable stainless steel needle; Ø 20,22 mm</t>
  </si>
  <si>
    <t>Interchangeable stainless steel needle; Ø 24,79 mm</t>
  </si>
  <si>
    <t>Interchangeable stainless steel needle; Ø 28,55 mm</t>
  </si>
  <si>
    <t>Pocket Type Penetrometer</t>
  </si>
  <si>
    <t>Soil pocket penetrometer</t>
  </si>
  <si>
    <t>Motorized Hydraulic Specimen Extruder, Horizontal Type is used for quick and smooth extrusion of soil specimens from 38 mm to 160 mm tubes and also Proctor, CBR and Marshall Moulds. The Extruder has 60 kN capacity and 70 cm ram travel. Adaptors with different sizes should be ordered separately if required. Supplied complete with Adaptors for Ø 100 mm (4”) and Ø 150 mm (6”) moulds. 
220 V, 50-60 Hz, 1 ph</t>
  </si>
  <si>
    <t>Motorized Hydraulic Specimen Extruder, Vertical Type is used for quick and smooth extrusion of soil specimens from 38 mm to 160 mm tubes and also Proctor, CBR and Marshall Moulds. The Extruder has 60 kN capacity and 70 cm ram travel. Adaptors with different sizes should be ordered separately if required. Supplied complete with Adaptors for Ø 100 mm (4”) and Ø 150 mm (6”) moulds. 
220 V, 50-60 Hz, 1 ph</t>
  </si>
  <si>
    <t>Adaptor Ø 38 mm tube</t>
  </si>
  <si>
    <t>Adaptor Ø 50 mm tube</t>
  </si>
  <si>
    <t>Adaptor Ø 70mm tube</t>
  </si>
  <si>
    <t>Adaptor Ø 100 mm tube</t>
  </si>
  <si>
    <t>Adaptor Ø 150 mm tube</t>
  </si>
  <si>
    <t>Hand Operated Screw Extruder; The unit extrudes samples from Ø 35 to 101,6 mm with maximum stroke of 650 mm. Horizontal Type and 60 kN extrusion force. Supplied complete with adaptors to extrude samples having Ø 38 mm and 100 mm, supporting bench, sample receiving table both adjustable in height and lowerable.
Supplied with Ø 38 mm, Ø 50 mm, Ø 75 mm, Ø 100 mm, Ø 150 mm
Adaptors (ring and tamper).</t>
  </si>
  <si>
    <t>Soil Lathe</t>
  </si>
  <si>
    <t>Open Wire Saw</t>
  </si>
  <si>
    <t>Wire</t>
  </si>
  <si>
    <t>Trimming Knife</t>
  </si>
  <si>
    <t>Measuring Soil Texture Test Set; supplied with High Speed Stirrer, -5 to 60 g/l range 152 H Hydrometer, Bouyoucos Cylinder,
1205 ml and Stainless Steel Stirring Rod. 220-240 V 50-60 Hz</t>
  </si>
  <si>
    <t>High Speed Stirrer operates at over 10,000 rpm, includes dispersion cup, stirring paddle, automatic switch-on by positioning bowl.
220-240 V 50-60 Hz</t>
  </si>
  <si>
    <t>Hydrometer 152H, ASTM D422, AASHTO T88; -5 - +60g 1° division</t>
  </si>
  <si>
    <t>Bouyoucos Cylinder, 1205 ml, graduated</t>
  </si>
  <si>
    <t>Stirring Rod, Stainless Steel</t>
  </si>
  <si>
    <t>Hydrometer Test Set, Supplied with Hydrometer Water Bath, Circulation Pump, Heater, Soil Mixer, 6 x 1000 ml Sedimentation Measure, 151 H Hydrometer, 1 kg Sodium Hexametaphosphate and 600 ml Beaker.</t>
  </si>
  <si>
    <t>Digital Hydrometer Test Set, Supplied with Digital Hydrometer Water Bath, Circulation Pump, Heater, Soil Mixer, 6 x 1000 ml Sedimentation Measure, 151 H Hydrometer, 1 kg Sodium Hexametaphosphate and 600 ml Beaker.</t>
  </si>
  <si>
    <t xml:space="preserve">Hydrometer Water Bath; circulation system. Temperature range: Ambient to 35°C, Sensitivity: 0.5°C. 8 pieces glass measuring cylinders capacity, 50 liter vessel. 230V, 50-60Hz </t>
  </si>
  <si>
    <t xml:space="preserve">Digital Hydrometer Water Bath; circulation system. Temperature range: Ambient to 35°C, Sensitivity: 0.5°C. 8 pieces glass measuring cylinders capacity, 50 liter vessel. 230V, 50-60Hz </t>
  </si>
  <si>
    <t>Circulation Pump</t>
  </si>
  <si>
    <t>Heater</t>
  </si>
  <si>
    <t>Hydrometer 151H, ASTM D422, AASHTO T88; 0,995 - 1,038g 0,001° division</t>
  </si>
  <si>
    <t>Hydrometer Jars, 1000 ml capacity, flat mouth, 18" (457mm) length x 2-½" outer diameter, 6 in set</t>
  </si>
  <si>
    <t>Sodium hexametaphosphate.1 kg</t>
  </si>
  <si>
    <t>Imhoff Funnels</t>
  </si>
  <si>
    <t>Semi-Automatic Digital Penetrometer for Liquid Limit used to determine penetration under constant load and temperature. Supplied complete with penetration timer unit, 30° cone. 
220 V, 50-60 Hz, 1 ph</t>
  </si>
  <si>
    <t>Liquid Limit Penetration Test Cone 30° Angle, Stainless Steel</t>
  </si>
  <si>
    <t>30° Cone Test Gauge for LT-S0030/1</t>
  </si>
  <si>
    <t>Liquid Limit Penetration Test Cone 60° Angle, Stainless Steel</t>
  </si>
  <si>
    <t>60° Cone Test Gauge for LT-S0030/4</t>
  </si>
  <si>
    <t>Shrinkage Limit Test Set, Supplied with 2 pieces Ø 45 x 10 mm Moisture Content Tin, Ø 55 x 35 mm Moisture Content Tin, Shrinkage Plate with three Metal Prongs, Ø 120 mm Porcelain Dish, 150 mm Spatula, 25 ml Graduated Glass Cylinder and Carrying Case.</t>
  </si>
  <si>
    <t>Shrinkage Plate with three Metal Prongs</t>
  </si>
  <si>
    <t>Moisture Tin with Cover, Aluminum, Ø: 45 x 10 mm</t>
  </si>
  <si>
    <t>Moisture Tin with Cover, Aluminum, Ø: 55 x 35 mm</t>
  </si>
  <si>
    <t>Porcelain Dish,  Ø 120 mm</t>
  </si>
  <si>
    <t>Spatula, 150 mm</t>
  </si>
  <si>
    <t>Graduated Glass Cylinder, 25 ml</t>
  </si>
  <si>
    <t>Linear Shrinkage Mould</t>
  </si>
  <si>
    <t>Manuel Liquid Limit Test Apparatus, BS. Comprises a removable brass cup, adjustable crank and cam mechanism, blow counter and base. Supplied with Metal grooving tool.</t>
  </si>
  <si>
    <t>Manuel Liquid Limit Test Apparatus, ASTM. Comprises a removable brass cup, adjustable crank and cam mechanism, blow counter and base. Supplied with Metal grooving tool.</t>
  </si>
  <si>
    <t>Automatic Liquid Limit Test Apparatus, BS. Comprises a removable brass cup, adjustable crank and cam mechanism, blow counter and base. Supplied with Metal grooving tool.</t>
  </si>
  <si>
    <t>Automatic Liquid Limit Test Apparatus, ASTM. Comprises a removable brass cup, adjustable crank and cam mechanism, blow counter and base. Supplied with Metal grooving tool.</t>
  </si>
  <si>
    <t>Metal Grooving Tool and Gauge Block, ASTM</t>
  </si>
  <si>
    <t>Plastic Grooving Tool, ASTM</t>
  </si>
  <si>
    <t>Plastic Grooving Tool, BS</t>
  </si>
  <si>
    <t>Spare Brass Cup</t>
  </si>
  <si>
    <t>Plastic Limit Test Set; Supplied with 6 pieces Ø 55 cm x 35 mm Moisture Content Tins, 300x300x5 mm Glass Plate, Ø 12 cm Porcelain Dish, Ø 3 x 100 mm Reference Rod, 100 mm Spatula and Carrying Case.</t>
  </si>
  <si>
    <t>Plastic Limit Glass Plate, 300x300x5 mm</t>
  </si>
  <si>
    <t>Plastic Limit Reference Rod. Ø3 x 100 mm</t>
  </si>
  <si>
    <t>Spatula, 100 mm</t>
  </si>
  <si>
    <t>Standard Proctor Mould, ASTM.  
Int. Dia: 101.6 ± 0,4 mm, Height: 116,4 ± 0,5 mm</t>
  </si>
  <si>
    <t>Modified Proctor Mould, ASTM.  
Int. Dia: 152.4 ± 0,7 mm, Height: 116,4 ± 0,5 mm</t>
  </si>
  <si>
    <t>A Type Standard Proctor Mould, EN.  
Int. Dia: 100 ± 1 mm, Height: 120 ± 1 mm</t>
  </si>
  <si>
    <t>Steel Plate for The End Layer Compaction for LT-S0060</t>
  </si>
  <si>
    <t>B Type Modified Proctor Mould, EN.  
Int. Dia: 150 ± 1 mm, Height: 120 ± 1 mm</t>
  </si>
  <si>
    <t>Steel Plate for The End Layer Compaction for LT-S0061</t>
  </si>
  <si>
    <t>1 Liter Standard Proctor Mould, BS, TS1900-1. 
Int. Dia: 105 ± 0,5 mm, Height: 115,5 ± 0,5 mm</t>
  </si>
  <si>
    <t>Straight edge. 40 cm</t>
  </si>
  <si>
    <t>Standard Proctor Rammer, ASTM. 
Rammer dia: 50.8 mm, Free fall Height: 304.8± 1 mm, 
Mass of Rammer: 2495 ± 23 g</t>
  </si>
  <si>
    <t>Modified Proctor Rammer, ASTM. 
Rammer dia: 50.8 mm, Free fall Height: 457 ± 1.3 mm, 
Mass of Rammer: 4540 ± 10 g</t>
  </si>
  <si>
    <t>A Type Standard Proctor Rammer, EN. 
Rammer dia: 50 ± 0.5 mm, Free fall Height: 305± 3 mm, 
Mass of Rammer: 2500 ± 20 g</t>
  </si>
  <si>
    <t>B Type Modified Proctor Rammer, EN. 
Rammer dia: 50 ± 0.5 mm, Free fall Height: 457 ± 3 mm, 
Mass of Rammer: 4500 ± 40 g</t>
  </si>
  <si>
    <t>2,5 kg Compaction Rammer, BS.
Rammer dia: 50 ± 0.5 mm, Free fall Height: 300± 3 mm, 
Mass of Rammer: 2500 ± 25 g</t>
  </si>
  <si>
    <t>4,5 kg Compaction Rammer, BS.
Rammer dia: 50 ± 0.5 mm, Free fall Height: 450 ± 4 mm, 
Mass of Rammer: 4500 ± 50 g</t>
  </si>
  <si>
    <t xml:space="preserve">Automatic Soil Compactor, used to compress standart, modified proctor and CBR mould specimens. Programmable digital counter, adjustable falling height (305 mm, 457 mm) and adjustable weight (2.5 kg , 4.5 kg).   </t>
  </si>
  <si>
    <t>Rammer for LT-S0075, EN</t>
  </si>
  <si>
    <t>Rammer for LT-S0075, ASTM</t>
  </si>
  <si>
    <t>Rammer for LT-S0075,  BS</t>
  </si>
  <si>
    <t xml:space="preserve">Automatic Soil Compactor, used to compress test specimens in CBR, standard and modified proctor moulds. Programmable digital counter, adjustable falling height (300mm, 305mm, 450mm, 457mm) and adjustable weight (2.5 kg, 4.5 kg). Supplied complete with ASTM/AASHTO/EN/BS rammer, Ø50.8mm ASTM/AASHTO circular face and Ø50mm EN/BS circular face. 220-240V, 50Hz, 1ph. </t>
  </si>
  <si>
    <t>Digital CBR Test Machine, 50kN capacity, Default Platen rate is 1.27 mm/min also maintained under load thanks to an overpowered electric motor. Supplied complete with LCD Control Unit, 50 kN capacity Load Cell, CBR Penetration Piston and 25 mm Displacement Sensor. 220-240 V, 50-60 Hz, 1 ph</t>
  </si>
  <si>
    <t>CBR Penetration Piston</t>
  </si>
  <si>
    <t>Digital CBR/MARSHALL 2 speed Test Machine, 50kN capacity, Test speed: 1,27 mm/min for CBR, 50.8 mm/min for Marshall tests. Complete with 50kN capacity Load Cell, 25mmx0,001 deformation transducer, Penetration Piston, Breaking Head and LCD digital read out unit. 
220-240V, 50-60Hz, 1 ph.</t>
  </si>
  <si>
    <t>Digital CBR Test Machine, 50kN capacity, Default Platen rate is 1.27 mm/min also maintained under load thanks to an overpowered electric motor. Supplied complete with  50 kN capacity Load Ring, CBR Penetration Piston and 30 x 0,01 mm Analog Dial Indicator. 220-240 V, 50-60 Hz, 1 ph</t>
  </si>
  <si>
    <t>CBR Mould Set, ASTM, AASHTO. 
Supplied complete with Ø 152.4 (6”) x 177.8 (7”) mm CBR Mould, Extension Collar and Perforated Base Plate.</t>
  </si>
  <si>
    <t>CBR Mould. Ø 152.4 (6”) x 177.8 (7”) mm. ASTM, AASHTO.</t>
  </si>
  <si>
    <t>Extension Collar. Ø 152.4 (6”) x 50 (2”) mm. ASTM, AASHTO</t>
  </si>
  <si>
    <t>Perforated Base Plate. ASTM, AASHTO</t>
  </si>
  <si>
    <t>CBR Solid Base Plate. ASTM, AASHTO</t>
  </si>
  <si>
    <t>Spacer Disc with 'T' Handle. Ø 150.8 x 61.4 mm. ASTM, AASHTO</t>
  </si>
  <si>
    <t>Annular Surcharge Weight, ASTM, AASHTO</t>
  </si>
  <si>
    <t>Slotted Surcharge Weight, ASTM, AASHTO</t>
  </si>
  <si>
    <t>Straight edge. 300x30x5 mm</t>
  </si>
  <si>
    <t>Filter Paper. No.5 x Ø 150 mm. Pack of 100. ASTM, AASHTO</t>
  </si>
  <si>
    <t>Filter Screen, 150 μm mesh. Ø 144 mm. ASTM, AASHTO</t>
  </si>
  <si>
    <t>CBR Mould Set, EN 13286-47 
Supplied complete with Ø 150 ± 1 mm x 120 ± 1 mm CBR Mould, Extension Collar and Perforated Base Plate.</t>
  </si>
  <si>
    <t>CBR Mould (B Type Modified Proctor Mould),  EN13286-47
Int. Dia: 150 ± 1 mm, Height: 120 ± 1 mm</t>
  </si>
  <si>
    <t>Extension Collar. EN13286-47</t>
  </si>
  <si>
    <t>CBR Solid Base Plate.  EN13286-47</t>
  </si>
  <si>
    <t>Perforated Base Plate.  EN13286-47</t>
  </si>
  <si>
    <t>Spacer Disc with 'T' Handle. EN 13286-47</t>
  </si>
  <si>
    <t>Annular Surcharge Weight, BS, EN 13286-4</t>
  </si>
  <si>
    <t>Split Surcharge Weight, BS, EN 13286-4</t>
  </si>
  <si>
    <t>Filter Paper. Coarse, Ø 148 mm. Pack of 100. BS, EN 13286-4</t>
  </si>
  <si>
    <t>CBR Mould Set, BS, EN 
Supplied complete with Ø 152 mm x 127 mm CBR Mould, Extension Collar and Solid Base Plate.</t>
  </si>
  <si>
    <t>CBR Mould. BS, EN 
Int. Dia: 152 mm, Height: 127 mm</t>
  </si>
  <si>
    <t xml:space="preserve">Extension Collar. BS, EN </t>
  </si>
  <si>
    <t xml:space="preserve">CBR Solid Base Plate.  BS, EN </t>
  </si>
  <si>
    <t xml:space="preserve">Perforated Base Plate.  BS, EN </t>
  </si>
  <si>
    <t xml:space="preserve">Spacer Disc with 'T' Handle. BS, EN </t>
  </si>
  <si>
    <t xml:space="preserve">Annular Surcharge Weight, BS, EN </t>
  </si>
  <si>
    <t xml:space="preserve">Split Surcharge Weight, BS, EN </t>
  </si>
  <si>
    <t>Filter Paper. No.1 x Ø 150 mm. Pack of 100. BS, EN</t>
  </si>
  <si>
    <t>C- Spanner for LT-S0180, 2 pieces</t>
  </si>
  <si>
    <t>Assembly Tool for Base Plate for LT-0180</t>
  </si>
  <si>
    <t>Swell Plate</t>
  </si>
  <si>
    <t>Tripod</t>
  </si>
  <si>
    <t>CBR Soaking Tank, hard plastic, 6 CBR moulds capacity.
Int. Dimensions: 500*700*400 mm.</t>
  </si>
  <si>
    <t>CBR Soaking Tank, hard plastic, 15 CBR moulds capacity.
Int. Dimensions: 770*1100*640 mm.</t>
  </si>
  <si>
    <t>Analog Dial Indicator, 30 x 0,01 mm</t>
  </si>
  <si>
    <t>Digital Dial Indicator, 25 x 0,01 mm</t>
  </si>
  <si>
    <t>The Field (In-situ) CBR Test Set; used for the in-situ determination of the bearing capacity of soils used in road construction. 50 kN capacity. The set consist of 50 kN capacity Mechanical Jack with ball seating, Penetration Piston, 50 kN capacity Load Ring, CBR Penetration Piston, Analog Penetration Dial Gauge (30 x 0,01 mm), Adjustable Dial Gauge Holder, Set of Extension Rods (2 pieces 102 mm, 1 pieces 305 mm and 1 pieces 610 mm), Datum Bar Assembly with two Tripod Stands, 4,5 kg Annular Surcharge Weight, 4,5 Kg and 9 Kg Slotted Surcharge Weights, Vehicle Bracket and Carrying Case.
Conversion Frame is used to convert the In-situ CBR test to a
Mechanical Laboratory CBR test machine and should be ordered separately.</t>
  </si>
  <si>
    <t>Mechanical Jack with ball seating, 50 kN</t>
  </si>
  <si>
    <t>Load Ring, 50 kN</t>
  </si>
  <si>
    <t>Adjustable Dial Gauge Holder</t>
  </si>
  <si>
    <t>Set of Extension Rods (2 x 102 mm, 1x 305 mm, 1 x 610 mm)</t>
  </si>
  <si>
    <t>Datum bar assembly with two Tripod Stands</t>
  </si>
  <si>
    <t>4,5 kg Annular Surcharge Weight</t>
  </si>
  <si>
    <t>4,5 Kg Slotted Surcharge Weight</t>
  </si>
  <si>
    <t>9 Kg Slotted Surcharge Weight</t>
  </si>
  <si>
    <t>Conversion Frame</t>
  </si>
  <si>
    <t>Plate Bearing Test Set, used for in-situ plate bearing tests. Hydraulic lift is 30 ton capacity. 300 kN capacity Plate Bearing Test Set consists of a 300 kN capacity Piston Assembly and Hydraulic Hand Pump, Analog Manometer, 2.4 m long Datum Bar, 3 pcs. 30 mm travel x 0.01 mm Analog Dial Gauges with Dial Gauge Holders, Ø 12”(305 mm)
and Ø 18”(457 mm) Loading Plates.</t>
  </si>
  <si>
    <t>Plate Bearing Test Set, used for in-situ plate bearing tests. Hydraulic lift is 50 ton capacity. 500 kN capacity Plate Bearing Test Set consists of a 500 kN capacity Piston Assembly and Hydraulic Hand Pump, Analog Manometer, 2.4 m long Datum Bar, 3 pcs. 30 mm travel x 0.01 mm Analog Dial Gauges with Dial Gauge Holders, Ø 24”(610 mm)
and Ø 30”(762 mm) Loading Plates.</t>
  </si>
  <si>
    <t>Plate Bearing Test Set, used for in-situ plate bearing tests. Hydraulic lift is 100 ton capacity. 1000 kN capacity Plate Bearing Test Set consists of a 1000 kN capacity Piston Assembly and Hydraulic Hand Pump, Analog Manometer, 2.4 m long Datum Bar, 3 pcs. 30 mm travel x 0.01 mm Analog Dial Gauges with Dial Gauge Holders, Ø 24”(610 mm) and Ø 30”(762 mm) Loading Plates.</t>
  </si>
  <si>
    <t>Digital Plate Bearing Test Set, used for in-situ plate bearing tests. Hydraulic lift is 30 ton capacity. 300 kN capacity Plate Bearing Test Set consists of a 300 kN capacity Piston Assembly and Hydraulic Hand Pump, Pressure Transducer, LPI battery operated digital readout unit, 2.4 m long Datum Bar, 3 pcs. 30 mm travel x 0.01 mm Analog Dial Gauges with Dial Gauge Holders, Ø 12”(305 mm) and Ø 18”(457 mm) Loading Plates.</t>
  </si>
  <si>
    <t>Digital Plate Bearing Test Set, used for in-situ plate bearing tests. Hydraulic lift is 50 ton capacity. 500 kN capacity Plate Bearing Test Set consists of a 500 kN capacity Piston Assembly and Hydraulic Hand Pump, Pressure Transducer, LPI battery operated digital readout unit, 2.4 m long Datum Bar, 3 pcs. 30 mm travel x 0.01 mm Analog Dial Gauges with Dial Gauge Holders, Ø 24”(610 mm) and Ø 30”(762 mm) Loading Plates.</t>
  </si>
  <si>
    <t>Piston Assembly, 300 kN capacity</t>
  </si>
  <si>
    <t>Piston Assembly, 500 kN capacity</t>
  </si>
  <si>
    <t>Piston Assembly, 1000 kN capacity</t>
  </si>
  <si>
    <t>Hydraulic Hand Pump, 700 bar</t>
  </si>
  <si>
    <t>Analog Manometer</t>
  </si>
  <si>
    <t>Datum Bar, 2.4 m long</t>
  </si>
  <si>
    <t>Loading Plate, Ø 12”(305 mm)</t>
  </si>
  <si>
    <t>Loading Plate, Ø 18”(457 mm)</t>
  </si>
  <si>
    <t>Loading Plate, Ø 24”(610 mm)</t>
  </si>
  <si>
    <t>Loading Plate, Ø 30”(762 mm)</t>
  </si>
  <si>
    <t>Sand Cone Set 6.5”, supplied with Sand Cone Assembly with valve, Metal Base with Centre Hole and 5lt capacity Plastic Sand Jar.</t>
  </si>
  <si>
    <t>Sand Cone Assembly with valve, 6,5”</t>
  </si>
  <si>
    <t>Metal Base with Centre Hole for LT-S0009</t>
  </si>
  <si>
    <t>Plastic Sand Jar, 5 lt capacity</t>
  </si>
  <si>
    <t>Sand Cone Set 12”, supplied with Sand Cone Assembly with valve, Metal Base with Centre Hole and Metal Sand Jar, 15 lt capacity.</t>
  </si>
  <si>
    <t>Density Cylinder, 12”</t>
  </si>
  <si>
    <t>Sand Replacement Test Set. 100 mm.
Complete set consists of Sand Pouring Cylinder, Metal Tray with Centre Hole and Calibration Container.</t>
  </si>
  <si>
    <t>Cone With Valve And Upper Cylinder, Ø 100 mm for LT-S0015</t>
  </si>
  <si>
    <t>Calibration Container for LT-S0015</t>
  </si>
  <si>
    <t>Metal Tray for LT-S0015</t>
  </si>
  <si>
    <t>Sand Replacement Test Set. 150 mm.
Complete set consists of Sand Pouring Cylinder, Metal Tray with Centre Hole and Calibration Container.</t>
  </si>
  <si>
    <t>Cone With Valve And Upper Cylinder, Ø 150 mm for LT-S0016</t>
  </si>
  <si>
    <t>Calibration Container for LT-S0016</t>
  </si>
  <si>
    <t>Metal Tray for LT-S0016</t>
  </si>
  <si>
    <t>Sand Replacement Test Set. 200 mm.
Complete set consists of Sand Pouring Cylinder, Metal Tray with Centre Hole and Calibration Container.</t>
  </si>
  <si>
    <t>Cone With Valve And Upper Cylinder, Ø 200 mm for LT-S0017</t>
  </si>
  <si>
    <t>Calibration Container for LT-S0017</t>
  </si>
  <si>
    <t>Metal Tray for LT-S0017</t>
  </si>
  <si>
    <t>Constant Head Permeability Set, Supplied complete with Ø 75 mm Constant Head Permeability Cell, Stand with 3 pieces Manometer Tubes, Constant Level Tank, 3 m Rubber Tube and 1 m Steel Ruler. 
De-Airing Water and Tamping Rod should be ordered separately.</t>
  </si>
  <si>
    <t>Constant Head Permeability Cell, Ø 75 mm</t>
  </si>
  <si>
    <t>Constant Head Permeability Set, Supplied complete with Ø 114 mm Constant Head Permeability Cell, Stand with 3 pieces Manometer Tubes, Constant Level Tank, 3 m Rubber Tube and 1 m Steel Ruler.
De-Airing Water and Tamping Rod should be ordered separately.</t>
  </si>
  <si>
    <t>Constant Head Permeability Cell, Ø 114 mm</t>
  </si>
  <si>
    <t>Stand with 3 Manometer Tubes</t>
  </si>
  <si>
    <t>Constant Level Tank</t>
  </si>
  <si>
    <t>Rubber Tube, 3 m</t>
  </si>
  <si>
    <t>Steel Ruler, 1 m</t>
  </si>
  <si>
    <t>De-Airing Water Apparatus</t>
  </si>
  <si>
    <t>Falling Head Permeameter Set, Supplied complete with Ø 100 mm Falling Head Permeability Cell, Stand with 4 pieces Ø 2, Ø 4, Ø 6, Ø 8 mm x 1,5 m long Manometer Tubes, Soaking Reservoir Tank, 3 m Rubber Tube and connectors.</t>
  </si>
  <si>
    <t>Ø 100 mm Falling Head Permeability Cell</t>
  </si>
  <si>
    <t>Booth with 4 Manometer Tubes</t>
  </si>
  <si>
    <t>Immersion Tank</t>
  </si>
  <si>
    <t>Rubber Hose, 3 m</t>
  </si>
  <si>
    <t>The High Pressure Consolidation Test Set is complete with 9:1, 10:1 and 11:1 Front Loading Oedometer , Bench for 3 Consolidation Oedometer, 3 set Ø 50 mm Consolidation Cell, Upper and Lower Porous Disc, Pressure Pad and Cutting (Specimen) Ring, 10x0,01 mm Analog Dial Gauge and 64 Kg (4x 10 kg, 3x 5 kg, 2x 2 kg, 3x 1 kg, 3x 0,5 kg, 2x 0,25 kg) Set of Weights. The other accessories are optional.</t>
  </si>
  <si>
    <t>The ASTM Consolidation Test Set is complete with 9:1, 10:1 and 11:1 Front Loading Oedometer, Bench for 3 Consolidation Oedometer, 3 set Ø 63,5 mm Consolidation Cell, Upper and Lower Porous Disc, Pressure Pad and Cutting (Specimen) Ring, 10x0,01 mm Analog Dial Gauge and 64 Kg (4x 10 kg, 3x 5 kg, 2x 2 kg, 3x 1 kg, 3x 0,5 kg, 2x 0,25 kg) Set of Weights. The other accessories are optional.</t>
  </si>
  <si>
    <t>The BS/EN Consolidation Test Set is complete with 9:1, 10:1 and 11:1 Front Loading Oedometer, Bench for 3 Consolidation Oedometer,
3 set Ø 75 mm Consolidation Cell, Upper and Lower Porous Disc, Pressure Pad and Cutting (Specimen) Ring, 10x0,01 mm Analog Dial Gauge and 80 Kg (6x 10 kg, 2x 5 kg, 3x 2 kg, 2x 1 kg, 3x 0,5 kg, 2x 0,25 kg) Set of Weights. The other accessories are optional.</t>
  </si>
  <si>
    <t>Consolidation Test Set Weighing 20 kg</t>
  </si>
  <si>
    <t>9:1, 10:1 and 11:1 Front Loading Oedometer</t>
  </si>
  <si>
    <t>Bench for Consolidation, 3 Oedometer Capacity</t>
  </si>
  <si>
    <t>Consolidation Cell, Ø 50 mm. Complete with Upper and Lower Porous Disc, Pressure Pad and Cutting (Specimen) Ring</t>
  </si>
  <si>
    <t>Upper and Lower Porous Disc for Ø 50 mm Cell</t>
  </si>
  <si>
    <t>Pressure Pad for Ø 50 mm Cell</t>
  </si>
  <si>
    <t>Cutting (Specimen) Ring for Ø 50 mm Cell</t>
  </si>
  <si>
    <t>Calibration disc for Ø 50 mm Consolidation Cell, stainless steel</t>
  </si>
  <si>
    <t>Apparatus for prepare Consolidation Sample for Ø 50 mm samples</t>
  </si>
  <si>
    <t>Consolidation Cell, Ø 63,5 mm. Complete with Upper and Lower Porous Disc, Pressure Pad and Cutting (Specimen) Ring</t>
  </si>
  <si>
    <t>Upper and Lower Porous Disc for Ø 63,5 mm Cell</t>
  </si>
  <si>
    <t>Pressure Pad for Ø 63,5 mm Cell</t>
  </si>
  <si>
    <t>Cutting (Specimen) Ring for Ø 63,5 mm Cell</t>
  </si>
  <si>
    <t>Calibration disc for Ø 63,5 mm Consolidation Cell, stainless steel</t>
  </si>
  <si>
    <t>Apparatus for prepare Consolidation Sample for Ø 63,5 mm samples</t>
  </si>
  <si>
    <t>Consolidation Cell, Ø 75 mm. Complete with Upper and Lower Porous Disc, Pressure Pad and Cutting (Specimen) Ring</t>
  </si>
  <si>
    <t>Upper and Lower Porous Disc for Ø 75 mm Cell</t>
  </si>
  <si>
    <t>Pressure Pad for Ø 75 mm Cell</t>
  </si>
  <si>
    <t>Cutting (Specimen) Ring for Ø 75 mm Cell</t>
  </si>
  <si>
    <t>Calibration disc for Ø 75 mm Consolidation Cell, stainless steel</t>
  </si>
  <si>
    <t>Apparatus for prepare Consolidation Sample for Ø 75 mm samples</t>
  </si>
  <si>
    <t>Digital Dial Indicator, 12,7 x 0,01 mm</t>
  </si>
  <si>
    <t>Digital Dial Indicator, 25 x 0,001 mm</t>
  </si>
  <si>
    <t>16 kg Weight Set ( 2x 5 kg, 1x 2 kg, 2x 1 kg, 3x 0,5 kg, 2x 0,25 kg)</t>
  </si>
  <si>
    <t>32 kg Weight Set (1x 10 kg, 3x 5 kg, 2x 2 kg, 1x 1 kg, 3x 0,5 kg, 2x 0,25 kg)</t>
  </si>
  <si>
    <t>50 kg Weight Set (3x 10 kg, 2x 5 kg, 3x 2 kg, 2x 1 kg, 3x 0,5 kg, 2x 0,25 kg)</t>
  </si>
  <si>
    <t>64 kg Weight Set (4x 10 kg, 3x 5 kg, 2x 2 kg, 3x 1 kg, 3x 0,5 kg, 2x 0,25 kg)</t>
  </si>
  <si>
    <t>80 kg Weight Set (6x 10 kg, 2x 5 kg, 3x 2 kg, 2x 1 kg, 3x 0,5 kg, 2x 0,25 kg)</t>
  </si>
  <si>
    <t>7"Touch screen digital readout unit Automatic Consolidation Test Set. Automatic Front Loading Oedometer , Bench top electromechanical system with 15 kn capacity. Supplied with, 1 set Ø 50 mm Consolidation Cell, Upper and Lower Porous Disc, Pressure Pad and Cutting (Specimen) Ring, 10x0,01 mm LVDT. 220 V, 50-60 hZ, 1ph</t>
  </si>
  <si>
    <t>Multispeed Testing Machine is used to make Uniaxial, Triaxial, CBR and Marshall Tests. The testing speed can be set between 0,001 mm/min to 51mm/min. Supplied complete with 50 kN Load Cell, 25 mm Displacement Sensor and Digital Readout and Control Unit.
The other Test Accessories should be ordered separately according to the test. 5 kN Load Cell should be ordered separately for Triaxial Tests, Compression Platens with ball seating assembly for Unaxial Tests, Penetration Piston for CBR Tests and Breaking Head for Marshall Tests.</t>
  </si>
  <si>
    <r>
      <t>Digital Unconfined Test Machine; 50 kN capacity.</t>
    </r>
    <r>
      <rPr>
        <sz val="10"/>
        <rFont val="Cambria"/>
        <family val="1"/>
        <charset val="162"/>
      </rPr>
      <t xml:space="preserve"> Default Platen rate is 0,5 mm/min or 1 mm/min also maintained under load thanks to an overpowered electric motor. Supplied complete with LCD Control Unit, 50 kN capacity Load Cell and  Compression Platens with ball seating assembly. 220-240 V, 50-60 Hz, 1 ph</t>
    </r>
  </si>
  <si>
    <t>Triaxial Test Set; The testing speed can be set between 0.0001 mm/min to 9.9999 mm/min. Supplied complete with 50 kN Load Cell, 25 mm x 0,01 mm  Lineer Potentiometric Transducer, 5 kN Load Cell for Triaxial Tests, Oil-Water Constant Pressure Gauge, ∅ 50 mm Cell, Distribution Panel, Sample prepare mould,  Membrane placing tool. and Digital Readout and Control Unit and Software.
220-240 V, 50-60 Hz, 1 ph</t>
  </si>
  <si>
    <t>Compression Platens with ball seating assembly</t>
  </si>
  <si>
    <t>Load cell, 5 kN capacity</t>
  </si>
  <si>
    <t>Triaxial Cell for Ø 38 and Ø 50 mm samples</t>
  </si>
  <si>
    <t>Triaxial Cell for Ø 70 and Ø 100 mm samples</t>
  </si>
  <si>
    <t>Digital Manometer (Optional)</t>
  </si>
  <si>
    <t>Oil and Water Constant Pressure System</t>
  </si>
  <si>
    <t>Software to Perform UU Triaxial Tests</t>
  </si>
  <si>
    <t>De-Airing Water Tank, 7 lt</t>
  </si>
  <si>
    <t>Plastic Hose, Ø 8 mm x 6 m</t>
  </si>
  <si>
    <t>Split Sand Former for Ø 38 mm samples</t>
  </si>
  <si>
    <t>Split Mould for Ø 38 mm samples</t>
  </si>
  <si>
    <t>Cutter for Ø 38 mm samples</t>
  </si>
  <si>
    <t>Aluminum Dolly for Ø 38 mm samples</t>
  </si>
  <si>
    <t>Split Sand Former for Ø 50 mm samples</t>
  </si>
  <si>
    <t>Split Mould for Ø 50 mm samples</t>
  </si>
  <si>
    <t>Cutter for Ø 50 mm samples</t>
  </si>
  <si>
    <t>Aluminum Dolly for Ø 50 mm samples</t>
  </si>
  <si>
    <t>Split Sand Former for Ø 70 mm samples</t>
  </si>
  <si>
    <t>Split Mould for Ø 70 mm samples</t>
  </si>
  <si>
    <t>Cutter for Ø 70 mm samples</t>
  </si>
  <si>
    <t>Aluminum Dolly for Ø 70 mm samples</t>
  </si>
  <si>
    <t>Split Sand Former for Ø 100 mm samples</t>
  </si>
  <si>
    <t>Split Mould for Ø 100 mm samples</t>
  </si>
  <si>
    <t>Cutter for Ø 100 mm samples</t>
  </si>
  <si>
    <t>Aluminum Dolly for Ø 100 mm samples</t>
  </si>
  <si>
    <t>Base Adaptor for Ø 38 mm samples</t>
  </si>
  <si>
    <t>Porous Top Cap for Ø 38 mm samples</t>
  </si>
  <si>
    <t>Nylon Tubing for Drainage for Ø 38 mm samples</t>
  </si>
  <si>
    <t>Pair of Porous Discs for Ø 38 mm samples</t>
  </si>
  <si>
    <t>Rubber Membrane for Ø 38 mm samples</t>
  </si>
  <si>
    <t>Membrane Placing Tool (Strecher) for Ø 38 mm samples</t>
  </si>
  <si>
    <t>0 Ring (Pack of 10) for Ø 38 mm samples</t>
  </si>
  <si>
    <t>0 Ring Placing Tool for Ø 38 mm samples</t>
  </si>
  <si>
    <t>Lateral Filter Paper (Pack of 50) for Ø 38 mm samples</t>
  </si>
  <si>
    <t>Filter Paper Discs (Pack of 100) for Ø 38 mm samples</t>
  </si>
  <si>
    <t>Plastic Discs (Pack of 2) for Ø 38 mm samples</t>
  </si>
  <si>
    <t>Base Adaptor for Ø 50 mm samples</t>
  </si>
  <si>
    <t>Porous Top Cap for Ø 50 mm samples</t>
  </si>
  <si>
    <t>Nylon Tubing for Drainage for Ø 50 mm samples</t>
  </si>
  <si>
    <t>Pair of Porous Discs for Ø 50 mm samples</t>
  </si>
  <si>
    <t>Rubber Membrane for Ø 50 mm samples</t>
  </si>
  <si>
    <t>Membrane Placing Tool (Strecher) for Ø 50 mm samples</t>
  </si>
  <si>
    <t>0 Ring (Pack of 10) for Ø 50 mm samples</t>
  </si>
  <si>
    <t>0 Ring Placing Tool for Ø 50 mm samples</t>
  </si>
  <si>
    <t>Lateral Filter Paper (Pack of 50) for Ø 50 mm samples</t>
  </si>
  <si>
    <t>Filter Paper Discs (Pack of 100) for Ø 50 mm samples</t>
  </si>
  <si>
    <t>Plastic Discs (Pack of 2) for Ø 50 mm samples</t>
  </si>
  <si>
    <t>Base Adaptor for Ø 70 mm samples</t>
  </si>
  <si>
    <t>Porous Top Cap for Ø 70 mm samples</t>
  </si>
  <si>
    <t>Nylon Tubing for Drainage for Ø 70 mm samples</t>
  </si>
  <si>
    <t>Pair of Porous Discs for Ø 70 mm samples</t>
  </si>
  <si>
    <t>Rubber Membrane for Ø 70 mm samples</t>
  </si>
  <si>
    <t>Membrane Placing Tool (Strecher) for Ø 70 mm samples</t>
  </si>
  <si>
    <t>0 Ring (Pack of 10) for Ø 70 mm samples</t>
  </si>
  <si>
    <t>0 Ring Placing Tool for Ø 70 mm samples</t>
  </si>
  <si>
    <t>Lateral Filter Paper (Pack of 50) for Ø 70 mm samples</t>
  </si>
  <si>
    <t>Filter Paper Discs (Pack of 100) for Ø 70 mm samples</t>
  </si>
  <si>
    <t>Plastic Discs (Pack of 2) for Ø 70 mm samples</t>
  </si>
  <si>
    <t>Base Adaptor for Ø 100 mm samples</t>
  </si>
  <si>
    <t>Porous Top Cap for Ø 100 mm samples</t>
  </si>
  <si>
    <t>Nylon Tubing for Drainage for Ø 100 mm samples</t>
  </si>
  <si>
    <t>Pair of Porous Discs for Ø 100 mm samples</t>
  </si>
  <si>
    <t>Rubber Membrane for Ø 100 mm samples</t>
  </si>
  <si>
    <t>Membrane Placing Tool (Strecher) for Ø 100 mm samples</t>
  </si>
  <si>
    <t>0 Ring (Pack of 10) for Ø 100 mm samples</t>
  </si>
  <si>
    <t>0 Ring Placing Tool for Ø 100 mm samples</t>
  </si>
  <si>
    <t>Lateral Filter Paper (Pack of 50) for Ø 100 mm samples</t>
  </si>
  <si>
    <t>Filter Paper Discs (Pack of 100) for Ø 100 mm samples</t>
  </si>
  <si>
    <t>Plastic Discs (Pack of 2) for Ø 100 mm samples</t>
  </si>
  <si>
    <t>Automatic Direct Shear Test Machine; 5 kN capacity.
Speed range is fully steeples variable over the range 0,00001 to 9,00000 mm/min. 5 kN load cell is used for load measurement. 10 x 0.002 mm and 25 x 0.01 mm sensitivity displacement sensors are used for vertical and horizontal displacement measurements respectively. Supplied with 50 kg Slotted Weight Set (4x10 kg + 1x5 kg + 2x2 kg + 1x1 kg). Supplied complete with Shear Box for 60x60 mm samples, Specimen cutter and Extrusion Dolly.</t>
  </si>
  <si>
    <t>Slotted Weight Set, 50 kg
(4x10 kg + 1x5 kg + 2x2 kg + 1x1 kg)</t>
  </si>
  <si>
    <t>Cutting Box Set; complete with Specimen cutter and Extrusion Dolly for 60x60 mm samples.</t>
  </si>
  <si>
    <t>Cutting Box for 60x60 mm samples.</t>
  </si>
  <si>
    <t>Loading Pad for 60x60 mm samples.</t>
  </si>
  <si>
    <t>Corrugated Base Plate for 60x60 mm samples.</t>
  </si>
  <si>
    <t>Porous Plate for 60x60 mm samples.</t>
  </si>
  <si>
    <t>Plane Grid for 60x60 mm samples.</t>
  </si>
  <si>
    <t>Perforated Grid for 60x60 mm samples.</t>
  </si>
  <si>
    <t xml:space="preserve"> Sample Cutter for 60x60 mm samples.</t>
  </si>
  <si>
    <t>Sample extractor for 60x60 mm samples.</t>
  </si>
  <si>
    <t>Cutting Box Assembly; complete with Specimen cutter and Extrusion Dolly for Ø 60 mm samples.</t>
  </si>
  <si>
    <t>Cutting Box for Ø 60 mm samples.</t>
  </si>
  <si>
    <t>Loading Pad for Ø 60 mm samples.</t>
  </si>
  <si>
    <t>Corrugated Base Plate for Ø 60 mm samples.</t>
  </si>
  <si>
    <t>Porous Plate for Ø 60 mm samples.</t>
  </si>
  <si>
    <t>Plane Grid for Ø 60 mm samples.</t>
  </si>
  <si>
    <t>Perforated Grid for Ø 60 mm samples.</t>
  </si>
  <si>
    <t>Sample Cutter for Ø 60 mm samples.</t>
  </si>
  <si>
    <t>Sample extractor for Ø 60 mm samples.</t>
  </si>
  <si>
    <t>Cutting Box Assembly; complete with Specimen cutter and Extrusion Dolly for 100x100 mm samples.</t>
  </si>
  <si>
    <t>Cutting Box for 100x100 mm samples.</t>
  </si>
  <si>
    <t>Loading Pad for 100x100 mm samples.</t>
  </si>
  <si>
    <t>Corrugated Base Plate for 100x100 mm samples.</t>
  </si>
  <si>
    <t>Porous Plate for 100x100 mm samples.</t>
  </si>
  <si>
    <t>Plane Grid for 100x100 mm samples.</t>
  </si>
  <si>
    <t>Perforated Grid for 100x100 mm samples.</t>
  </si>
  <si>
    <t>Sample Cutter for 100x100 mm samples.</t>
  </si>
  <si>
    <t>Sample Extractor for 100x100 mm samples.</t>
  </si>
  <si>
    <t>Shear Box Assembly; complete with Specimen cutter and Extrusion Dolly for Ø 100 mm samples.</t>
  </si>
  <si>
    <t>Shear Box for Ø 100 mm samples.</t>
  </si>
  <si>
    <t>Loading Pad for Ø 100 mm samples.</t>
  </si>
  <si>
    <t>Retaining Plate for Ø 100 mm samples.</t>
  </si>
  <si>
    <t>Porous Plate for Ø 100 mm samples.</t>
  </si>
  <si>
    <t>Plane Grid for Ø 100 mm samples.</t>
  </si>
  <si>
    <t>Perforated Grid for Ø 100 mm samples.</t>
  </si>
  <si>
    <t>Specimen Cutter for Ø 100 mm samples.</t>
  </si>
  <si>
    <t>Extrusion Dolly for Ø 100 mm samples.</t>
  </si>
  <si>
    <t>Shear Box Assembly; complete with Specimen cutter and Extrusion Dolly for Ø 2.5 inch samples.</t>
  </si>
  <si>
    <t>Shear Box for Ø 2.5 inch samples.</t>
  </si>
  <si>
    <t>Loading Pad for Ø 2.5 inch samples.</t>
  </si>
  <si>
    <t>Retaining Plate for Ø 2.5 inch samples.</t>
  </si>
  <si>
    <t>Porous Plate for Ø 2.5 inch samples.</t>
  </si>
  <si>
    <t>Plane Grid for Ø 2.5 inch samples.</t>
  </si>
  <si>
    <t>Perforated Grid for Ø 2.5 inch samples.</t>
  </si>
  <si>
    <t>Specimen Cutter for Ø 2.5 inch samples.</t>
  </si>
  <si>
    <t>Extrusion Dolly for Ø 2.5 inch samples.</t>
  </si>
  <si>
    <t>Liya Test Fully automatic Direc Shear device is an advanced
system specifically designed to perform consolidation,
direct and residual shear stages in a fully automated way.
The system is based on an electroservo motor system which
along with a high-performance regulator guarantees an
automatic application of a vertical load up to 5 kN, thus
offering the unique possibility to reduce to the absolute
minimum any form of manual intervention (no need of dead
weights or level arms).</t>
  </si>
  <si>
    <t>Clay Abrasion Tester is used to determine the abrasion property of
materials like clay, calcite, sepiyolit, talcum which are used in production of paper, ink, pigment, paint etc. The device is complete with a 210 μm opening, 22,4 x 8,7 cm wide brass wire, Pack of 1000.</t>
  </si>
  <si>
    <r>
      <t xml:space="preserve">210 μm opening, 22,4 x 8,7 cm </t>
    </r>
    <r>
      <rPr>
        <b/>
        <sz val="10"/>
        <rFont val="Calibri Light"/>
        <family val="1"/>
        <charset val="162"/>
        <scheme val="major"/>
      </rPr>
      <t>wide brass wire</t>
    </r>
    <r>
      <rPr>
        <sz val="10"/>
        <rFont val="Calibri Light"/>
        <family val="1"/>
        <charset val="162"/>
        <scheme val="major"/>
      </rPr>
      <t>, Pack of 1000.</t>
    </r>
  </si>
  <si>
    <t>Ballon Density Apparatus</t>
  </si>
  <si>
    <t xml:space="preserve">Relative Density Test Set, ASTM, 380V, 50Hz, 3 ph. Consists of an Electromagnetic Vibrating Table with Controller, Relative Density Mold Sets (0.1 ft. 3 and 0.5 ft. 3), Relative Density Gauge Set </t>
  </si>
  <si>
    <t>Vibrating Table, 762x762 mm</t>
  </si>
  <si>
    <t>Relative Density Mould Set, 0.5 ft 3, ASTM, Supplied complete with Circular Surcharge Weight with Handle, Surcharge Base Plate with Handle and Detachable Guide Sleeve with Clamp Assembly.</t>
  </si>
  <si>
    <t>Relative Density Gauge Set, ASTM, for use with relative density molds. Includes an Analog Displacement Dial Gauge (50 x 0.01mm division, 0-100 scale -) with Holder and a metal Calibration Bar (75 x 300 x 6mm).</t>
  </si>
  <si>
    <t>Mechanical Balance, Cent-O-Gram, 311 x 0,01 g capacity.
OHAUS, Sweden</t>
  </si>
  <si>
    <t>Mechanical Balance, Dial-O-Gram, 310 x 0,01 g capacity.
OHAUS, Sweden</t>
  </si>
  <si>
    <t>Mechanical Balance, Triple Beam, 2610 x 0,1 g capacity.
OHAUS, Sweden</t>
  </si>
  <si>
    <t>Mechanical Balance, Heavy Duty, 20 kg x 1 g capacity. 
OHAUS, Sweden</t>
  </si>
  <si>
    <t>Electronic Analytical Balance, 220 g cap. 0.01mg sensitivity until 60 g, 0.1mg sensitivity between 60-220g.</t>
  </si>
  <si>
    <t xml:space="preserve">Electronic Analytical Balance, 220 g cap. 0,0001g  (0,1mg) sensitivity. </t>
  </si>
  <si>
    <t xml:space="preserve">Electronic Analytical Balance, 310 g cap. 0,0001g  (0,1mg) sensitivity. </t>
  </si>
  <si>
    <t xml:space="preserve">Electronic Precision Balance, 500 g cap. 0,001g  (1mg) sensitivity, </t>
  </si>
  <si>
    <t>Electronic Precision Balance, 510 g cap. 0,001g  (1mg) sensitivity, 
Radwag, Poland.</t>
  </si>
  <si>
    <t>Electronic Precision Balance, 750 g cap. 0,001g  (1mg) sensitivity, 
Radwag, Poland.</t>
  </si>
  <si>
    <t>Electronic Precision Balance; 4500 g capacity 0,01 gr sensitivity,
Radwag, Poland.</t>
  </si>
  <si>
    <t>Electronic Precision Balance; 5000 g capacity 0,01 gr sensitivity</t>
  </si>
  <si>
    <t>Electronic Precision Balance; 6000 g capacity 0,01 gr sensitivity,
Radwag, Poland.</t>
  </si>
  <si>
    <t>Electronic Precision Balance; 10 kg capacity 0,01 gr sensitivity,
Radwag, Poland.</t>
  </si>
  <si>
    <t>Digital Balance; 600 gr capacity 0,01 gr sensitivity</t>
  </si>
  <si>
    <t>Digital Balance; 3000 g capacity 0,01 gr sensitivity</t>
  </si>
  <si>
    <t>Digital Balance; 6000 g capacity 0,01 gr sensitivity,
Radwag, Poland.</t>
  </si>
  <si>
    <t>Digital Balance; 6000 g capacity 0,1 gr sensitivity</t>
  </si>
  <si>
    <t>Digital Balance; 30 kg capacity 0,5 gr sensitivity</t>
  </si>
  <si>
    <t>Digital Balance; 30 kg capacity 0,1 gr sensitivity</t>
  </si>
  <si>
    <t>Digital Platform Balance; 60 kg capacity 2 gr sensitivity</t>
  </si>
  <si>
    <t>Digital Platform Balance; 150 kg capacity 5 gr sensitivity</t>
  </si>
  <si>
    <t>Digital Platform Balance; 150 kg capacity 10 gr sensitivity. 35x45 cm</t>
  </si>
  <si>
    <t>Digital Platform Balance; 150 kg capacity, 50 gr sensitivity 40x50cm</t>
  </si>
  <si>
    <t>Digital Platform Balance; 300 kg capacity, 10 gr sensitivity 40x50 cm</t>
  </si>
  <si>
    <t>Digital Platform Balance; 600 kg capacity, 20 gr sensitivity. 60x70 cm</t>
  </si>
  <si>
    <t xml:space="preserve">Moisture Balance, 50g capacity, 0,0001g (0,1mg) sensitivity.
</t>
  </si>
  <si>
    <t>Moisture Balance, 50g capacity, 0,001g (1mg) sensitivity.
Radwag, Poland.</t>
  </si>
  <si>
    <t>Moisture Balance, 110g capacity, 0,001g (1mg) sensitivity.
Radwag, Poland.</t>
  </si>
  <si>
    <t>Moisture Balance, 210g capacity, 0,001g (1mg) sensitivity.
Radwag, Poland.</t>
  </si>
  <si>
    <t>Moisture Balance, 60g capacity, 0,001g (1mg) sensitivity.
Infrared/Dark. External Calibration. Precisa, Swiden</t>
  </si>
  <si>
    <t>Moisture Balance, 124 g capacity, 0,001g (1mg) sensitivity.
Infrared/Dark. External Calibration. Precisa, Swiden</t>
  </si>
  <si>
    <t>Moisture Balance, 124 g capacity, 0,0001g (0.1mg) sensitivity.
Infrared/Dark. External Calibration. Precisa, Swiden</t>
  </si>
  <si>
    <t>Moisture Balance, 310g capacity, 0,001g (1mg) sensitivity.
Infrared/Dark. External Calibration. Precisa, Swiden</t>
  </si>
  <si>
    <t>Moisture Balance, 124g capacity, 0,0001g (0.1mg)sensitivity.
Infrared/Dark. Automatic Calibration. Precisa, Swiden</t>
  </si>
  <si>
    <t>Calibration Weight; Class M1; Stainless Steel. 1 mg</t>
  </si>
  <si>
    <t>Calibration Weight; Class M1; Stainless Steel. 2 mg</t>
  </si>
  <si>
    <t>Calibration Weight; Class M1; Stainless Steel. 5 mg</t>
  </si>
  <si>
    <t>Calibration Weight; Class M1; Stainless Steel. 10 mg</t>
  </si>
  <si>
    <t>Calibration Weight; Class M1; Stainless Steel. 20 mg</t>
  </si>
  <si>
    <t>Calibration Weight; Class M1; Stainless Steel. 50 mg</t>
  </si>
  <si>
    <t>Calibration Weight; Class M1; Stainless Steel. 100 mg</t>
  </si>
  <si>
    <t>Calibration Weight; Class M1; Stainless Steel. 200 mg</t>
  </si>
  <si>
    <t>Calibration Weight; Class M1; Stainless Steel. 500 mg</t>
  </si>
  <si>
    <t>Calibration Weight; Class M1; Stainless Steel.  1 g</t>
  </si>
  <si>
    <t>Calibration Weight; Class M1; Stainless Steel.  2 g</t>
  </si>
  <si>
    <t>Calibration Weight; Class M1; Stainless Steel.  5 g</t>
  </si>
  <si>
    <t>Calibration Weight; Class M1; Stainless Steel.  10 g</t>
  </si>
  <si>
    <t>Calibration Weight; Class M1; Stainless Steel.  20 g</t>
  </si>
  <si>
    <t>Calibration Weight; Class M1; Stainless Steel.  50 g</t>
  </si>
  <si>
    <t>Calibration Weight; Class M1; Stainless Steel.  100 g</t>
  </si>
  <si>
    <t>Calibration Weight; Class M1; Stainless Steel.  200 g</t>
  </si>
  <si>
    <t>Calibration Weight; Class M1; Stainless Steel.  500 g</t>
  </si>
  <si>
    <t>Calibration Weight; Class M1; Cast Iron.  500 g</t>
  </si>
  <si>
    <t>Box for 1 - 500 g Class M1; Stainless Steel Calibration Weight</t>
  </si>
  <si>
    <t>Calibration Weight; Class M1; Stainless Steel.  1 kg</t>
  </si>
  <si>
    <t>Box for 1 kg Class M1; Stainless Steel Calibration Weight</t>
  </si>
  <si>
    <t>Calibration Weight; Class M1; Cast Iron.  1 kg</t>
  </si>
  <si>
    <t>Calibration Weight; Class M1; Stainless Steel.  2 kg</t>
  </si>
  <si>
    <t>Box for 2 kg Class M1; Stainless Steel Calibration Weight</t>
  </si>
  <si>
    <t>Calibration Weight; Class M1; Cast Iron.  2 kg</t>
  </si>
  <si>
    <t>Calibration Weight; Class M1; Stainless Steel.  5 kg</t>
  </si>
  <si>
    <t>Box for 5 kg Class M1; Stainless Steel Calibration Weight</t>
  </si>
  <si>
    <t>Calibration Weight; Class M1; Cast Iron.  5 kg</t>
  </si>
  <si>
    <t>Wooden Box for 5 kg Class M1; Cast Iron Calibration Weight</t>
  </si>
  <si>
    <t>Calibration Weight; Class M1; Stainless Steel.  10 kg</t>
  </si>
  <si>
    <t>Box for 10 kg Class M1; Stainless Steel Calibration Weight</t>
  </si>
  <si>
    <t>Calibration Weight; Class M1; Cast Iron.  10 kg</t>
  </si>
  <si>
    <t>Wooden Box for 10 kg Class M1; Cast Iron Calibration Weight</t>
  </si>
  <si>
    <t>Calibration Weight; Class M1; Stainless Steel.  20 kg</t>
  </si>
  <si>
    <t>Box for 20 kg Class M1; Stainless Steel Calibration Weight</t>
  </si>
  <si>
    <t>Calibration Weight; Class M1; Cast Iron.  20 kg</t>
  </si>
  <si>
    <t>Wooden Box for 20 kg Class M1; Cast Iron Calibration Weight</t>
  </si>
  <si>
    <t>Calibration Weight; Class M1; Cast Iron.  50 kg</t>
  </si>
  <si>
    <t>Calibration Weight; Class M1; Cast Iron.  100 kg</t>
  </si>
  <si>
    <t>Calibration Weight; Class M1; Cast Iron. 200 kg</t>
  </si>
  <si>
    <t>Calibration Weight; Class M1; Cast Iron. 500 kg</t>
  </si>
  <si>
    <t>Calibration Weight; Class M1; Cast Iron. 1000 kg</t>
  </si>
  <si>
    <t>Calibration Certificate for 500 g - 5 kg</t>
  </si>
  <si>
    <t>Calibration Certificate for 10 kg - 20 kg</t>
  </si>
  <si>
    <t>Calibration Certificate for 50 kg</t>
  </si>
  <si>
    <t>Calibration Weight; Class F1; Stainless Steel.1 mg</t>
  </si>
  <si>
    <t>Calibration Weight; Class F1; Stainless Steel.2 mg</t>
  </si>
  <si>
    <t>Calibration Weight; Class F1; Stainless Steel.5 mg</t>
  </si>
  <si>
    <t>Calibration Weight; Class F1; Stainless Steel.10 mg</t>
  </si>
  <si>
    <t>Calibration Weight; Class F1; Stainless Steel.20 mg</t>
  </si>
  <si>
    <t>Calibration Weight; Class F1; Stainless Steel.50 mg</t>
  </si>
  <si>
    <t>Calibration Weight; Class F1; Stainless Steel.100 mg</t>
  </si>
  <si>
    <t>Calibration Weight; Class F1; Stainless Steel.200 mg</t>
  </si>
  <si>
    <t>Calibration Weight; Class F1; Stainless Steel.500 mg</t>
  </si>
  <si>
    <t>Calibration Weight; Class F1; Stainless Steel. 1 g</t>
  </si>
  <si>
    <t>Calibration Weight; Class F1; Stainless Steel. 2 g</t>
  </si>
  <si>
    <t>Calibration Weight; Class F1; Stainless Steel. 5 g</t>
  </si>
  <si>
    <t>Calibration Weight; Class F1; Stainless Steel. 10 g</t>
  </si>
  <si>
    <t>Calibration Weight; Class F1; Stainless Steel. 20 g</t>
  </si>
  <si>
    <t>Calibration Weight; Class F1; Stainless Steel. 50 g</t>
  </si>
  <si>
    <t>Calibration Weight; Class F1; Stainless Steel. 100 g</t>
  </si>
  <si>
    <t>Calibration Weight; Class F1; Stainless Steel. 200 g</t>
  </si>
  <si>
    <t>Calibration Weight; Class F1; Stainless Steel. 500 g</t>
  </si>
  <si>
    <t>Calibration Weight; Class F1; Stainless Steel. 1 kg</t>
  </si>
  <si>
    <t>Calibration Weight; Class F1; Stainless Steel. 2 kg</t>
  </si>
  <si>
    <t>Calibration Weight; Class F1; Stainless Steel. 5 kg</t>
  </si>
  <si>
    <t>Calibration Weight; Class F1; Stainless Steel. 10 kg</t>
  </si>
  <si>
    <t>Calibration Weight; Class F1; Stainless Steel. 20 kg</t>
  </si>
  <si>
    <t>Calibration Weight; Class F1; Stainless Steel. 50 kg</t>
  </si>
  <si>
    <t>Box for 1 mg - 500 g Class F1; Stainless Steel Calibration Weight</t>
  </si>
  <si>
    <t>Box for 1 kg - 2 kg Class F1; Stainless Steel Calibration Weight</t>
  </si>
  <si>
    <t>Box for 5 kg Class F1; Stainless Steel Calibration Weight</t>
  </si>
  <si>
    <t>Box for 10 kg Class F1; Stainless Steel Calibration Weight</t>
  </si>
  <si>
    <t>Box for 20 kg Class F1; Stainless Steel Calibration Weight</t>
  </si>
  <si>
    <t>Box for 50 kg Class F1; Stainless Steel Calibration Weight</t>
  </si>
  <si>
    <t>Calibration Certificate for 1 mg - 2 kg</t>
  </si>
  <si>
    <t>Calibration Certificate for 5 kg - 10 kg</t>
  </si>
  <si>
    <t>Calibration Certificate for 20 kg</t>
  </si>
  <si>
    <t>Calibration Weight; Class E2; Stainless Steel. 1 mg</t>
  </si>
  <si>
    <t>Calibration Weight; Class E2; Stainless Steel. 2 mg</t>
  </si>
  <si>
    <t>Calibration Weight; Class E2; Stainless Steel. 5 mg</t>
  </si>
  <si>
    <t>Calibration Weight; Class E2; Stainless Steel. 10 mg</t>
  </si>
  <si>
    <t>Calibration Weight; Class E2; Stainless Steel. 20 mg</t>
  </si>
  <si>
    <t>Calibration Weight; Class E2; Stainless Steel. 50 mg</t>
  </si>
  <si>
    <t>Calibration Weight; Class E2; Stainless Steel. 100 mg</t>
  </si>
  <si>
    <t>Calibration Weight; Class E2; Stainless Steel. 200 mg</t>
  </si>
  <si>
    <t>Calibration Weight; Class E2; Stainless Steel. 500 mg</t>
  </si>
  <si>
    <t>Calibration Weight; Class E2; Stainless Steel.  1 g</t>
  </si>
  <si>
    <t>Calibration Weight; Class E2; Stainless Steel.  2 g</t>
  </si>
  <si>
    <t>Calibration Weight; Class E2; Stainless Steel.  5 g</t>
  </si>
  <si>
    <t>Calibration Weight; Class E2; Stainless Steel.  10 g</t>
  </si>
  <si>
    <t>Calibration Weight; Class E2; Stainless Steel.  20 g</t>
  </si>
  <si>
    <t>Calibration Weight; Class E2; Stainless Steel.  50 g</t>
  </si>
  <si>
    <t>Calibration Weight; Class E2; Stainless Steel.  100 g</t>
  </si>
  <si>
    <t>Calibration Weight; Class E2; Stainless Steel.  200 g</t>
  </si>
  <si>
    <t>Calibration Weight; Class E2; Stainless Steel.  500 g</t>
  </si>
  <si>
    <t>Calibration Weight; Class E2; Stainless Steel.  1 kg</t>
  </si>
  <si>
    <t>Calibration Weight; Class E2; Stainless Steel.  2 kg</t>
  </si>
  <si>
    <t>Calibration Weight; Class E2; Stainless Steel.  5 kg</t>
  </si>
  <si>
    <t>Calibration Weight; Class E2; Stainless Steel.  10 kg</t>
  </si>
  <si>
    <t>Calibration Weight; Class E2; Stainless Steel.  20 kg</t>
  </si>
  <si>
    <t>Calibration Weight; Class E2; Stainless Steel.  50 kg</t>
  </si>
  <si>
    <t>Glass Beaker 10 ml</t>
  </si>
  <si>
    <t>Glass Beaker 25 ml</t>
  </si>
  <si>
    <t>Glass Beaker 50 ml</t>
  </si>
  <si>
    <t>Glass Beaker 100 ml</t>
  </si>
  <si>
    <t>Glass Beaker 250 ml</t>
  </si>
  <si>
    <t>Glass Beaker 400 ml</t>
  </si>
  <si>
    <t>Glass Beaker 600 ml</t>
  </si>
  <si>
    <t>Glass Beaker 800 ml</t>
  </si>
  <si>
    <t>Glass Beaker 1000 ml</t>
  </si>
  <si>
    <t>Glass Beaker 2000 ml</t>
  </si>
  <si>
    <t>Glass Beaker 3000 ml</t>
  </si>
  <si>
    <t>Glass Beaker 5000 ml</t>
  </si>
  <si>
    <t>Glass Measuring Cylinder, 10 ml</t>
  </si>
  <si>
    <t>Glass Measuring Cylinder, 25 ml</t>
  </si>
  <si>
    <t>Glass Measuring Cylinder, 50 ml</t>
  </si>
  <si>
    <t>Glass Measuring Cylinder, 100 ml</t>
  </si>
  <si>
    <t>Glass Measuring Cylinder, 250 ml</t>
  </si>
  <si>
    <t>Glass Measuring Cylinder, 500 ml</t>
  </si>
  <si>
    <t>Glass Measuring Cylinder, 1000 ml</t>
  </si>
  <si>
    <t>Glass Measuring Cylinder, 2000 ml</t>
  </si>
  <si>
    <t>Conical Flask, Erlenmeyer, 50 ml</t>
  </si>
  <si>
    <t>Conical Flask, Erlenmeyer, 100 ml</t>
  </si>
  <si>
    <t>Conical Flask, Erlenmeyer, 150 ml</t>
  </si>
  <si>
    <t>Conical Flask, Erlenmeyer, 250 ml</t>
  </si>
  <si>
    <t>Conical Flask, Erlenmeyer, 300 ml</t>
  </si>
  <si>
    <t>Conical Flask, Erlenmeyer, 500 ml</t>
  </si>
  <si>
    <t>Conical Flask, Erlenmeyer, 1000 ml</t>
  </si>
  <si>
    <t>Conical Flask, Erlenmeyer, 2000 ml</t>
  </si>
  <si>
    <t>Conical Flask, Erlenmeyer, 5000 ml</t>
  </si>
  <si>
    <t>Filter Flask, 250ml</t>
  </si>
  <si>
    <t>Filter Flask, 500ml</t>
  </si>
  <si>
    <t>Filter Flask, 1000ml</t>
  </si>
  <si>
    <t>Filter Flask, 2000ml</t>
  </si>
  <si>
    <t>Volumetric Flask, 5  ml</t>
  </si>
  <si>
    <t>Volumetric Flask, 10 ml</t>
  </si>
  <si>
    <t>Volumetric Flask, 25 ml</t>
  </si>
  <si>
    <t>Volumetric Flask, 50 ml</t>
  </si>
  <si>
    <t>Volumetric Flask, 100 ml</t>
  </si>
  <si>
    <t>Volumetric Flask, 250 ml</t>
  </si>
  <si>
    <t>Volumetric Flask, 500 ml</t>
  </si>
  <si>
    <t>Volumetric Flask, 1000 ml</t>
  </si>
  <si>
    <t>Volumetric Flask, 2000 ml</t>
  </si>
  <si>
    <t>Volumetric Flask, 3000 ml</t>
  </si>
  <si>
    <t>Volumetric Flask, 5000 ml</t>
  </si>
  <si>
    <t>Graduated Impurities Test Bottle, Glass 250 ml</t>
  </si>
  <si>
    <t>Graduated Impurities Test Bottle, Glass 500 ml</t>
  </si>
  <si>
    <t>Graduated Impurities Test Bottle, Glass 1000 ml</t>
  </si>
  <si>
    <t>Graduated Impurities Test Bottle, Glass 2000 ml</t>
  </si>
  <si>
    <t>Glass Funnel; 40 mm</t>
  </si>
  <si>
    <t>Glass Funnel; 60 mm</t>
  </si>
  <si>
    <t>Glass Funnel; 75 mm</t>
  </si>
  <si>
    <t>Glass Funnel; 100 mm</t>
  </si>
  <si>
    <t>Glass Funnel; 120 mm</t>
  </si>
  <si>
    <t>Glass Funnel; 200 mm</t>
  </si>
  <si>
    <t>Watch Glass, 70 mm</t>
  </si>
  <si>
    <t>Watch Glass, 100 mm</t>
  </si>
  <si>
    <t>Watch Glass, 120 mm</t>
  </si>
  <si>
    <t>Watch Glass, 150 mm</t>
  </si>
  <si>
    <t>Petri Dish, 100 mm</t>
  </si>
  <si>
    <t>Petri Dish, 120 mm</t>
  </si>
  <si>
    <t>Pipette 1 ml</t>
  </si>
  <si>
    <t>Pipette 2 ml</t>
  </si>
  <si>
    <t>Pipette 5 ml</t>
  </si>
  <si>
    <t>Pipette 10 ml</t>
  </si>
  <si>
    <t>Pipette 25 ml</t>
  </si>
  <si>
    <t>Pipette 50 ml</t>
  </si>
  <si>
    <t>Pasteur Pipette, 150 mm. Pack of 250</t>
  </si>
  <si>
    <t>Pasteur Pipette, 230 mm. Pack of 250</t>
  </si>
  <si>
    <t>Burette, 10 ml</t>
  </si>
  <si>
    <t>Burette, 25 ml</t>
  </si>
  <si>
    <t>Burette, 100 ml</t>
  </si>
  <si>
    <t>Amber Burette, 10 ml</t>
  </si>
  <si>
    <t>Amber Burette, 25 ml</t>
  </si>
  <si>
    <t>Amber Burette, 50 ml</t>
  </si>
  <si>
    <t>Automatic Burette, Single Tap, 10 ml</t>
  </si>
  <si>
    <t>Automatic Burette, Single Tap, 25 ml</t>
  </si>
  <si>
    <t>Automatic Burette, Single Tap, 50 ml</t>
  </si>
  <si>
    <t>Automatic Burette, Double Tap, 10 ml</t>
  </si>
  <si>
    <t>Automatic Burette, Double Tap, 25 ml</t>
  </si>
  <si>
    <t>Automatic Burette, Double Tap, 50 ml</t>
  </si>
  <si>
    <t>Automatic Burette, Double Tap, 100 ml</t>
  </si>
  <si>
    <t>Automatic Amber Burette, Double Tap, 10 ml</t>
  </si>
  <si>
    <t>Automatic Amber Burette, Double Tap, 25 ml</t>
  </si>
  <si>
    <t>Automatic Amber Burette, Double Tap, 50 ml</t>
  </si>
  <si>
    <t>Amber Automatic Burette Storage Bottle, 2000 ml</t>
  </si>
  <si>
    <t>Automatic Burette Storage Bottle, 2000 ml</t>
  </si>
  <si>
    <t>Glass Stirring Rod; 6*200 mm</t>
  </si>
  <si>
    <t>Glass Stirring Rod; 8*250 mm</t>
  </si>
  <si>
    <t xml:space="preserve">Vaccum Dessicator. Ø 210 mm </t>
  </si>
  <si>
    <t>VaccumDessicator, Ø 240 mm</t>
  </si>
  <si>
    <t>Vaccum Dessicator, Ø 300 mm</t>
  </si>
  <si>
    <t>Dessicator,Cabinet</t>
  </si>
  <si>
    <t>Hydrometer, 700-800</t>
  </si>
  <si>
    <t>Hydrometer, 800-900</t>
  </si>
  <si>
    <t>Hydrometer, 900-1000</t>
  </si>
  <si>
    <t>Hydrometer, 1000-1100</t>
  </si>
  <si>
    <t>Hydrometer, 1100-1200</t>
  </si>
  <si>
    <t>Hydrometer, 1200-1300</t>
  </si>
  <si>
    <t>Hydrometer, 1300-1400</t>
  </si>
  <si>
    <t>Hydrometer, 1400-1500</t>
  </si>
  <si>
    <t>Hydrometer, 1500-1600</t>
  </si>
  <si>
    <t>Hydrometer, 1600-1700</t>
  </si>
  <si>
    <t>Hydrometer, 1700-1800</t>
  </si>
  <si>
    <t>Hydrometer, 1800-1900</t>
  </si>
  <si>
    <t>Hydrometer, 1900-2000</t>
  </si>
  <si>
    <t>Plastic Measuring Cylinder, 10 ml</t>
  </si>
  <si>
    <t>Plastic Measuring Cylinder, 25 ml</t>
  </si>
  <si>
    <t>Plastic Measuring Cylinder, 50 ml</t>
  </si>
  <si>
    <t>Plastic Measuring Cylinder, 100 ml</t>
  </si>
  <si>
    <t>Plastic Measuring Cylinder, 250 ml</t>
  </si>
  <si>
    <t>Plastic Measuring Cylinder, 500 ml</t>
  </si>
  <si>
    <t>Plastic Measuring Cylinder, 1000 ml</t>
  </si>
  <si>
    <t>Plastic Measuring Cylinder, 2000 ml</t>
  </si>
  <si>
    <t>Wash Bottle, 100 ml</t>
  </si>
  <si>
    <t>Wash Bottle, 250 ml</t>
  </si>
  <si>
    <t>Wash Bottle, 500 ml</t>
  </si>
  <si>
    <t>Wash Bottle, 1000 ml</t>
  </si>
  <si>
    <t>Plastic Beaker, 25 ml</t>
  </si>
  <si>
    <t>Plastic Beaker, 50 ml</t>
  </si>
  <si>
    <t>Plastic Beaker, 100 ml</t>
  </si>
  <si>
    <t>Plastic Beaker, 250 ml</t>
  </si>
  <si>
    <t>Plastic Beaker, 500 ml</t>
  </si>
  <si>
    <t>Plastic Beaker, 2000 ml</t>
  </si>
  <si>
    <t>Plastic Beaker, Handled,  250 ml</t>
  </si>
  <si>
    <t>Plastic Beaker, Handled,  500 ml</t>
  </si>
  <si>
    <t>Plastic Beaker, Handled,  1000 ml</t>
  </si>
  <si>
    <t>Plastic Beaker, Handled,  3000 ml</t>
  </si>
  <si>
    <t>Plastic Beaker, Handled,  5000 ml</t>
  </si>
  <si>
    <t>Plastic Volumetric Flask, 25 ml</t>
  </si>
  <si>
    <t>Plastic Volumetric Flask, 50 ml</t>
  </si>
  <si>
    <t>Plastic Volumetric Flask, 100 ml</t>
  </si>
  <si>
    <t>Plastic Volumetric Flask, 250 ml</t>
  </si>
  <si>
    <t>Plastic Volumetric Flask, 500 ml</t>
  </si>
  <si>
    <t>Plastic Volumetric Flask, 1000 ml</t>
  </si>
  <si>
    <t>Plastic Funnel, 50 mm</t>
  </si>
  <si>
    <t>Plastic Funnel, 70 mm</t>
  </si>
  <si>
    <t>Plastic Funnel, 90 mm</t>
  </si>
  <si>
    <t>Plastic Funnel, 120 mm</t>
  </si>
  <si>
    <t>Plastic Funnel, 150 mm</t>
  </si>
  <si>
    <t>Plastic Bucket, 25 lt</t>
  </si>
  <si>
    <t>Plastic Bucket, 35 lt</t>
  </si>
  <si>
    <t>Plastic Bucket, 50 lt</t>
  </si>
  <si>
    <t>Plastic Bucket, 70 lt</t>
  </si>
  <si>
    <t>Sample Zip Lock Bag, Pack of 300, 17x23 cm</t>
  </si>
  <si>
    <t>Sample Zip Lock Bag, Pack of 300, 19x25 cm</t>
  </si>
  <si>
    <t>Sample Zip Lock Bag, Pack of 300, 21x27 cm</t>
  </si>
  <si>
    <t>Sample Zip Lock Bag, Pack of 300, 23x31 cm</t>
  </si>
  <si>
    <t>Sample Zip Lock Bag, Pack of 200, 26x35 cm</t>
  </si>
  <si>
    <t>Sample Bag. Canvas, 25x40 cm</t>
  </si>
  <si>
    <t>Sample Bag. Canvas, 40x80 cm</t>
  </si>
  <si>
    <t>Sample Bag. Canvas, 50x80 cm</t>
  </si>
  <si>
    <t>Sample Bag. Canvas, 60x40 cm</t>
  </si>
  <si>
    <t>Sample Bag. Canvas, 50x100 cm</t>
  </si>
  <si>
    <t>Plastic Pasteur Pipette, 3 ml, Pack of 500</t>
  </si>
  <si>
    <t>Hand Pump for Pipette/Burette</t>
  </si>
  <si>
    <t>Hand Pump, Three-Way for Pipette/Burette</t>
  </si>
  <si>
    <t>Pipet Pump, 2 ml (Blue), 10 ml(Green), 25 ml (Red)</t>
  </si>
  <si>
    <t>Porcelain Mortar with Pestle, Ø 80 mm</t>
  </si>
  <si>
    <t>Porcelain Mortar with Pestle, Ø 100 mm</t>
  </si>
  <si>
    <t>Porcelain Mortar with Pestle, Ø 130 mm</t>
  </si>
  <si>
    <t>Porcelain Mortar with Pestle, Ø 160 mm</t>
  </si>
  <si>
    <t>Porcelain Mortar with Pestle, Ø 190 mm</t>
  </si>
  <si>
    <t>Porcelain Evaporating Dish, Ø 50 mm</t>
  </si>
  <si>
    <t>Porcelain Evaporating Dish, Ø 70 mm</t>
  </si>
  <si>
    <t>Porcelain Evaporating Dish, Ø 80 mm</t>
  </si>
  <si>
    <t>Porcelain Evaporating Dish, Ø 100 mm</t>
  </si>
  <si>
    <t>Porcelain Evaporating Dish, Ø 120 mm</t>
  </si>
  <si>
    <t>Porcelain Crucible, 15 ml</t>
  </si>
  <si>
    <t>Porcelain Crucible, 30 ml</t>
  </si>
  <si>
    <t>Porcelain Crucible, 40 ml</t>
  </si>
  <si>
    <t>Porcelain Buchner Funnel, 100 mm</t>
  </si>
  <si>
    <t>Porcelain Buchner Funnel, 120 mm</t>
  </si>
  <si>
    <t>Digital Thermometer, -50 + 300°C 10 cm Prob</t>
  </si>
  <si>
    <t>Digital Thermometer, -50 + 300°C 31 cm Prob</t>
  </si>
  <si>
    <t>Digital Max-Min Thermometer with cable, -50 +70°C</t>
  </si>
  <si>
    <t>Digital Max-Min Thermo-Hygrometer with cable, -50 +70°C</t>
  </si>
  <si>
    <t>Digital Infrared (Laser) Thermometer, -50°C + 380°C</t>
  </si>
  <si>
    <t>Manuel Hygrometer, %20 - %100</t>
  </si>
  <si>
    <t>Mechanical Barometer, 940...1060 mb, Ø 100 mm</t>
  </si>
  <si>
    <t>Glass Thermometer, Max. 110°C</t>
  </si>
  <si>
    <t>Glass Thermometer, Max. 360°C</t>
  </si>
  <si>
    <t>Digital Stop Watch</t>
  </si>
  <si>
    <t>Calculator</t>
  </si>
  <si>
    <t>Caliper, 150 mm</t>
  </si>
  <si>
    <t>Caliper, 300 mm</t>
  </si>
  <si>
    <t>Caliper, 500 mm</t>
  </si>
  <si>
    <t>Caliper, 600 mm</t>
  </si>
  <si>
    <t>Caliper, 1000 mm</t>
  </si>
  <si>
    <t>Digital Caliper, 150 mm</t>
  </si>
  <si>
    <t>Digital Caliper, 200 mm</t>
  </si>
  <si>
    <t>Digital Caliper, 300 mm</t>
  </si>
  <si>
    <t>Digital Caliper, 500 mm</t>
  </si>
  <si>
    <t>Nitril Gloves. Pack of 100</t>
  </si>
  <si>
    <t>Latex Gloves, Pack of 100</t>
  </si>
  <si>
    <t>Heat Resistant Gloves</t>
  </si>
  <si>
    <t>Leather Gloves</t>
  </si>
  <si>
    <t>Cotton Gloves</t>
  </si>
  <si>
    <t xml:space="preserve">Rubber Gloves </t>
  </si>
  <si>
    <t xml:space="preserve">Nitrile Gloves </t>
  </si>
  <si>
    <t>Bristle brush No.1</t>
  </si>
  <si>
    <t>Bristle brush No.1,5</t>
  </si>
  <si>
    <t>Bristle brush No.2</t>
  </si>
  <si>
    <t>Bristle brush No.2,5</t>
  </si>
  <si>
    <t>Bristle brush No.3</t>
  </si>
  <si>
    <t>Bristle brush No.4</t>
  </si>
  <si>
    <t>Wire brush with handle</t>
  </si>
  <si>
    <t>Mixing Bowl, Stainless Steel, Ø 160 mm</t>
  </si>
  <si>
    <t>Mixing Bowl, Stainless Steel, Ø 180 mm</t>
  </si>
  <si>
    <t>Mixing Bowl, Stainless Steel, Ø 200 mm</t>
  </si>
  <si>
    <t>Steel Tape, 3 m</t>
  </si>
  <si>
    <t>Steel Tape, 5 m</t>
  </si>
  <si>
    <t>Micrometer, Analog, 0-25 x 0,01 mm</t>
  </si>
  <si>
    <t>Micrometer, Analog, 25-50 x 0,01 mm</t>
  </si>
  <si>
    <t>Micrometer, Digital, 0-25 mm 
MICROMAR 40 EWR Protection Class</t>
  </si>
  <si>
    <t>Feeler gauge. 20 pieces. 0,05 to 1,00 / 0,05 mm Interval</t>
  </si>
  <si>
    <t>Steel Ruler, 150 mm</t>
  </si>
  <si>
    <t>Steel Ruler, 300 mm</t>
  </si>
  <si>
    <t>Steel Ruler, 500 mm</t>
  </si>
  <si>
    <t>Steel Ruler, 1000 mm</t>
  </si>
  <si>
    <t>Precision Knife Straight Edge, Stainless Steel, 75 mm</t>
  </si>
  <si>
    <t>Precision Knife Straight Edge, Stainless Steel, 100 mm</t>
  </si>
  <si>
    <t>Precision Knife Straight Edge, Stainless Steel, 150 mm</t>
  </si>
  <si>
    <t>Precision Knife Straight Edge, Stainless Steel, 200 mm</t>
  </si>
  <si>
    <t>Precision Knife Straight Edge, Stainless Steel, 250 mm</t>
  </si>
  <si>
    <t>Square Knife Edges, 50x40 mm</t>
  </si>
  <si>
    <t>Square Knife Edges, 75x50 mm</t>
  </si>
  <si>
    <t>Square Knife Edges, 100x70 mm</t>
  </si>
  <si>
    <t>Square Knife Edges, 150x100 mm</t>
  </si>
  <si>
    <t>Square Knife Edges, 200x130 mm</t>
  </si>
  <si>
    <t>Square with Base, 100x70 mm</t>
  </si>
  <si>
    <t>Square with Base, 150x100 mm</t>
  </si>
  <si>
    <t>Square with Base, 200x130 mm</t>
  </si>
  <si>
    <t>Square with Base, 250x165 mm</t>
  </si>
  <si>
    <t>Square with Base, 300x175 mm</t>
  </si>
  <si>
    <t>Square with Base, 400x200 mm</t>
  </si>
  <si>
    <t>Square with Base, 500x250 mm</t>
  </si>
  <si>
    <t>Square Flat, 100x70 mm</t>
  </si>
  <si>
    <t>Square Flat, 150x100 mm</t>
  </si>
  <si>
    <t>Square Flat, 200x130 mm</t>
  </si>
  <si>
    <t>Square Flat, 250x165 mm</t>
  </si>
  <si>
    <t>Square Flat, 300x175 mm</t>
  </si>
  <si>
    <t>Square Flat, 400x200 mm</t>
  </si>
  <si>
    <t>Square Flat, 500x250 mm</t>
  </si>
  <si>
    <t>Square, 300x175 mm</t>
  </si>
  <si>
    <t>Moisture Tin with Cover, Aluminum, Ø: 150 x 170 mm</t>
  </si>
  <si>
    <t>Moisture Tin with Cover, Aluminum, Ø: 140 x 9,5 mm</t>
  </si>
  <si>
    <t>Moisture Tin with Cover, Aluminum, Ø: 120 x 120 mm</t>
  </si>
  <si>
    <t>Moisture Tin with Cover, Aluminum, Ø: 125 x 100 mm</t>
  </si>
  <si>
    <t>Moisture Tin with Cover, Aluminum, Ø: 105 x 100 mm</t>
  </si>
  <si>
    <t>Moisture Tin with Cover, Aluminum, Ø: 100 x 70 mm</t>
  </si>
  <si>
    <t>Moisture Tin with Cover, Aluminum, Ø: 80 x 90 mm</t>
  </si>
  <si>
    <t>Moisture Tin with Cover, Aluminum, Ø: 80 x 45 mm</t>
  </si>
  <si>
    <t>Moisture Tin with Cover, Aluminum, Ø: 70 x 45 mm</t>
  </si>
  <si>
    <t>Moisture Tin with Cover, Aluminum, Ø: 60 x 60 mm</t>
  </si>
  <si>
    <t>Round Aluminum Scoop, Small</t>
  </si>
  <si>
    <t>Round Aluminum Scoop, Medium</t>
  </si>
  <si>
    <t>Round Aluminum Scoop, Large</t>
  </si>
  <si>
    <t>Round Aluminum Scoop, Extra Large</t>
  </si>
  <si>
    <t>Round Stainless Steel Scoop, 5 kg of Concrete, 
EN 12350-1, BS 1881:101</t>
  </si>
  <si>
    <t>Mixing Pan, Stainless Steel, 20x30x4 cm (No.1)</t>
  </si>
  <si>
    <t>Mixing Pan, Stainless Steel, 23x33x4 cm (No.2)</t>
  </si>
  <si>
    <t>Mixing Pan, Stainless Steel, 26x38x4 cm (No.3)</t>
  </si>
  <si>
    <t>Mixing Pan, Stainless Steel, 29x44x4 cm (No.4)</t>
  </si>
  <si>
    <t>Mixing Pan, Stainless Steel, 31x48x4 cm(No.5)</t>
  </si>
  <si>
    <t>Mixing Pan, Stainless Steel, 20x20x5 cm</t>
  </si>
  <si>
    <t>Mixing Pan, Stainless Steel, 30x30x5 cm</t>
  </si>
  <si>
    <t>Mixing Pan, Stainless Steel, 40x40x5 cm</t>
  </si>
  <si>
    <t>Mixing Pan, Stainless Steel, 50x50x5 cm</t>
  </si>
  <si>
    <t>Mixing Pan, Stainless Steel, 60x60x5 cm</t>
  </si>
  <si>
    <t>Mixing Pan, Stainless Steel, 100x100x5 cm</t>
  </si>
  <si>
    <t>Mixing Pan, Stainless Steel, 30x30x7 cm</t>
  </si>
  <si>
    <t>Mixing Pan, Stainless Steel, 40x40x7 cm</t>
  </si>
  <si>
    <t>Mixing Pan, Stainless Steel, 50x50x7 cm</t>
  </si>
  <si>
    <t>Mixing Pan, Stainless Steel, 60x60x7 cm</t>
  </si>
  <si>
    <t>Mixing Pan, Stainless Steel, 100x100x7 cm</t>
  </si>
  <si>
    <t>Mixing Pan, Stainless Steel, 30x30x8 cm</t>
  </si>
  <si>
    <t>Mixing Pan, Stainless Steel, 40x40x8 cm</t>
  </si>
  <si>
    <t>Mixing Pan, Stainless Steel, 50x50x8 cm</t>
  </si>
  <si>
    <t>Mixing Pan, Stainless Steel, 60x60x8 cm</t>
  </si>
  <si>
    <t>Mixing Pan, Stainless Steel, 100x100x8 cm</t>
  </si>
  <si>
    <t>Mixing Pan, Stainless Steel, 40x40x10 cm</t>
  </si>
  <si>
    <t>Mixing Pan, Stainless Steel, 50x50x10 cm</t>
  </si>
  <si>
    <t>Mixing Pan, Stainless Steel, 60x60x10 cm</t>
  </si>
  <si>
    <t>Mixing Pan, Stainless Steel, 100x100x10 cm</t>
  </si>
  <si>
    <t>Flexible Spatula, 100 mm</t>
  </si>
  <si>
    <t>Flexible Spatula, 150 mm</t>
  </si>
  <si>
    <t>Flexible Spatula, 200 mm</t>
  </si>
  <si>
    <t>Rigid Spatula, Small</t>
  </si>
  <si>
    <t>Rigid Spatula, Medium</t>
  </si>
  <si>
    <t>Rigid Spatula, Large</t>
  </si>
  <si>
    <t>Crucible Tong, 250 mm</t>
  </si>
  <si>
    <t>Crucible Tong, 300 mm</t>
  </si>
  <si>
    <t>Crucible Tong, 450 mm</t>
  </si>
  <si>
    <t>Tong</t>
  </si>
  <si>
    <t>Water Level, 60 cm</t>
  </si>
  <si>
    <t>Water Level, 100 cm</t>
  </si>
  <si>
    <t>Coarse Filter Paper, Pack of 250</t>
  </si>
  <si>
    <t>Adjustable Pliers</t>
  </si>
  <si>
    <t>Clipper</t>
  </si>
  <si>
    <t>Flat Screwdriver</t>
  </si>
  <si>
    <t>Fillister Head Screwdriver</t>
  </si>
  <si>
    <t>Allen Wrench Set</t>
  </si>
  <si>
    <t>Knife</t>
  </si>
  <si>
    <t>Pick</t>
  </si>
  <si>
    <t>Sampling Spoon</t>
  </si>
  <si>
    <t>Ladle, Stainless Steel</t>
  </si>
  <si>
    <t>Trowel</t>
  </si>
  <si>
    <t>Rectangular Trowel</t>
  </si>
  <si>
    <t>Steel Hammer, 0,5 kg</t>
  </si>
  <si>
    <t>Steel Hammer, 1 kg</t>
  </si>
  <si>
    <t>Steel Hammer, 1,5 kg</t>
  </si>
  <si>
    <t>Steel Hammer, 2 kg</t>
  </si>
  <si>
    <t>Sledge Hammer, 3 kg</t>
  </si>
  <si>
    <t>Sledge Hammer, 5 kg</t>
  </si>
  <si>
    <t>Shovel</t>
  </si>
  <si>
    <t>Broach with Plastic Handle, 30 cm</t>
  </si>
  <si>
    <t>Chisel</t>
  </si>
  <si>
    <t>Bill</t>
  </si>
  <si>
    <t>Wire. Pack of 12</t>
  </si>
  <si>
    <t>Hand Lamp</t>
  </si>
  <si>
    <t>Laboratory Trolley</t>
  </si>
  <si>
    <t>Wheel Barrow</t>
  </si>
  <si>
    <t>Tool Kit.</t>
  </si>
  <si>
    <t>Vacuum Pump, Single Stage, 70 l/min Flow Rate, 2 Pa Partial
Pressure, Forced Oil Cycling System, 220 V, 50-60 Hz, 1 Ph</t>
  </si>
  <si>
    <t>Vacuum Pump, Single Stage, 100 l/min Flow Rate, 2 Pa Partial
Pressure, Forced Oil Cycling System, 220 V, 50-60 Hz, 1 Ph</t>
  </si>
  <si>
    <t>Vacuum Pump, Single Stage, 170 l/min Flow Rate, 2 Pa Partial
Pressure, Forced Oil Cycling System, 220 V, 50-60 Hz, 1 Ph</t>
  </si>
  <si>
    <t>Vacuum Pump, Single Stage, 226 l/min Flow Rate, 2 Pa Partial
Pressure, Forced Oil Cycling System, 220 V, 50-60 Hz, 1 Ph</t>
  </si>
  <si>
    <t>Vacuum Pump, Dual Stage, 42 l/min Flow Rate, 2x10‾¹ Pa Partial
Pressure, Forced Oil Cycling System, 220 V, 50-60 Hz, 1 Ph</t>
  </si>
  <si>
    <t>Vacuum Pump, Dual Stage, 70 l/min Flow Rate, 2x10‾¹ Pa Partial
Pressure, Forced Oil Cycling System, 220 V, 50-60 Hz, 1 Ph</t>
  </si>
  <si>
    <t>Vacuum Pump, Dual Stage, 128 l/min Flow Rate, 2x10‾¹ Pa Partial
Pressure, Forced Oil Cycling System, 220 V, 50-60 Hz, 1 Ph</t>
  </si>
  <si>
    <t>Vacuum Pump, Dual Stage, 170 l/min Flow Rate, 2x10‾¹ Pa Partial
Pressure, Forced Oil Cycling System, 220 V, 50-60 Hz, 1 Ph</t>
  </si>
  <si>
    <t>Vacuum Pump, Dual Stage, 226 l/min Flow Rate, 2x10‾¹ Pa Partial
Pressure, Forced Oil Cycling System, 220 V, 50-60 Hz, 1 Ph</t>
  </si>
  <si>
    <t>Air pressure Pump, 8 Bar / 50 lt. 220 V, 50 Hz, 1 ph</t>
  </si>
  <si>
    <t>Air pressure Pump, 10 Bar / 100 lt. 380 V, 50 Hz, 3 ph</t>
  </si>
  <si>
    <t>Air pressure Pump, 12 Bar / 200 lt. 380 V, 50 Hz, 3 ph</t>
  </si>
  <si>
    <t>Air pressure Pump, 12 Bar / 200 lt. 220 V, 50 Hz, 1 ph</t>
  </si>
  <si>
    <t>Hammer Drill;
Rated Power Input 650 W
Output Power 338 W
Torque at max. output power 9,0 Nm
No-load speed 50 – 3.000 dak-1
Impact rate 48.000 dak-1
Weight 1,9 kg
Max. drilling dia.;
Concrete 14 mm
Steel 12 mm
Wood 30 mm</t>
  </si>
  <si>
    <t>Hammer Drill;
Rated Power Input 500 W
Output Power 228 W
Torque at max. output power  7,5 Nm
No-load speed 50 – 3.000dev/dak
Impact rate 33000dev/dak
Weight  1,6 kg
Max. drilling dia.;
Concrete 10 mm
Steel 8 mm
Wood 25 mm</t>
  </si>
  <si>
    <t xml:space="preserve">Digital Laser Measure, 25 m. Complete with 4 x 1,5 V LR03 (AAA) batteries, Hand loop, Protective case. </t>
  </si>
  <si>
    <t>Digital Laser Measure, 50 m. Complete with 4 x 1,5 V LR03 (AAA) batteries, Hand loop, Protective case.</t>
  </si>
  <si>
    <t>Pocket Type pH Meter</t>
  </si>
  <si>
    <t>Pocket Type pH Meter. HANNA</t>
  </si>
  <si>
    <t>Portable pH Meter</t>
  </si>
  <si>
    <t>Portable pH Meter. HANNA</t>
  </si>
  <si>
    <t>Laboratory pH Meter</t>
  </si>
  <si>
    <t>Laboratory pH Meter. HANNA</t>
  </si>
  <si>
    <t>Laboratory pH Meter. Computer connected.</t>
  </si>
  <si>
    <t>pH Indicator Papers, pH Range: 0-14</t>
  </si>
  <si>
    <t>pH meter Calibration Solution, 100 ml</t>
  </si>
  <si>
    <t>pH meter Calibration Solution, 250 ml</t>
  </si>
  <si>
    <t>pH meter Calibration Solution, 500 ml</t>
  </si>
  <si>
    <t>Mercury. 100 gr</t>
  </si>
  <si>
    <t>Trichloroethylene.  1 lt</t>
  </si>
  <si>
    <t>Trichloroethylene. 20 kg</t>
  </si>
  <si>
    <t>Trichloroethylene. 50 kg</t>
  </si>
  <si>
    <t>Trichloroethylene Can for 30 lt</t>
  </si>
  <si>
    <t>Trichloroethylene Can for 60 lt</t>
  </si>
  <si>
    <t>Trichloroethylene. 1 barrel 300 kg</t>
  </si>
  <si>
    <t>Silver Nitrate. 1kg</t>
  </si>
  <si>
    <t>Potassium Nitrate. 1 kg</t>
  </si>
  <si>
    <t>Potassium Choramate. 1 kg</t>
  </si>
  <si>
    <t>Sodium Hydroxide, NaO. 1 kg</t>
  </si>
  <si>
    <t>Sodium Hydroxide, NaOH. 1 kg (MERCK)</t>
  </si>
  <si>
    <t>Sodium Sulphate, Na2SO4. 1 kg</t>
  </si>
  <si>
    <t>Sodium Sulphate, Na2SO4. 50 kg</t>
  </si>
  <si>
    <t>Barium Chloride. 1 kg</t>
  </si>
  <si>
    <t>Potassium Hydroxide. 1 kg (MERCK)</t>
  </si>
  <si>
    <t>Distilled Water. 5 lt</t>
  </si>
  <si>
    <t>Ethyl alcohol. 1 lt</t>
  </si>
  <si>
    <t>Hydrochloric acid. 1 lt</t>
  </si>
  <si>
    <t>Sulphuric acid. 1 lt</t>
  </si>
  <si>
    <t>Cyrstal Calcium Chloride. 1 kg</t>
  </si>
  <si>
    <t>Glycerine. 1 kg</t>
  </si>
  <si>
    <t>Glycerine. 5 kg</t>
  </si>
  <si>
    <t>Sodium hexametaphosphate. 1 kg</t>
  </si>
  <si>
    <t>Formaldehyde. 1 lt</t>
  </si>
  <si>
    <t>Paraffin Wax. 1 kg</t>
  </si>
  <si>
    <t>Silica Gel. 1 kg</t>
  </si>
  <si>
    <t>Lithium Chloride. 250 gr (MERCK)</t>
  </si>
  <si>
    <t>Standard sand. 1350gr</t>
  </si>
  <si>
    <t>Special Sand for Sand Replecement Tests. 1000 gr</t>
  </si>
  <si>
    <t>Water still, 4 l/h capacity, 220 V, 50 Hz, 1 ph</t>
  </si>
  <si>
    <t>Water still, 6 l/h capacity, 380 V, 50-60 Hz, 3 ph</t>
  </si>
  <si>
    <t>Water still, 7 l/h capacity, 380 V, 50-60 Hz, 3 ph</t>
  </si>
  <si>
    <t>Water still, 8 l/h capacity, 380 V, 50-60 Hz, 3 ph</t>
  </si>
  <si>
    <t>Water still, 10 l/h capacity, 380 V, 50-60 Hz, 3 ph</t>
  </si>
  <si>
    <t>Water still, 12 l/h capacity, 380 V, 50-60 Hz, 3 ph</t>
  </si>
  <si>
    <t>Load Cell 1 kN Capacity, S Type</t>
  </si>
  <si>
    <t>Load Cell 2 kN Capacity, S Type</t>
  </si>
  <si>
    <t>Load Cell 5 kN Capacity, S Type</t>
  </si>
  <si>
    <t>Load Cell 10 kN Capacity, Pancake Type</t>
  </si>
  <si>
    <t>Load Cell 20 kN Capacity, Pancake Type</t>
  </si>
  <si>
    <t>Load Cell 50 kN Capacity, Pancake Type</t>
  </si>
  <si>
    <t>Load Cell 100 kN Capacity, Pancake Type</t>
  </si>
  <si>
    <t>Load Cell 300 kN Capacity, Pancake Type</t>
  </si>
  <si>
    <t>Load Cell 600 kN Capacity, Pancake Type</t>
  </si>
  <si>
    <t>Load Cell 1000 kN Capacity, Pancake Type</t>
  </si>
  <si>
    <t>4 Channel Data Logger</t>
  </si>
  <si>
    <t>Electromechanical Tile Flexural Testing Machine with Digital graphic readout unit. Can be test flexure stress of different kind of tiles. The device works with an electromechanical motor and maximum capacity of the frame is 50 kN. Test machine can be controlled from the computer automatically or run from the control unit automatically or manually. The device can be connected to any computer with serial port or USB with Serial port adapter. The program can record the test data and Print out the test report. LİYA compression/flexure software is free of charge.</t>
  </si>
  <si>
    <t>Electromechanical Universal Testing Machine 5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</si>
  <si>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Electromechanical Universal Testing Machine 10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</si>
  <si>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Electromechanical Universal Testing Machine 20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</si>
  <si>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Electromechanical Universal Testing Machine 50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</si>
  <si>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Electromechanical Universal Testing Machine 100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</si>
  <si>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Electromechanical Universal Testing Machine 200 kN capacity, fully automatic load and displacement controlled. Supplied complete with tensile grip. Can be used for tension, compression and flexural test under load or displacement control within machine capacities. Suitable accessories should be ordered separately to test on materials such as steel, soil, concrete, cement, asphalt. 220-240V, 50-60Hz, 1ph.</t>
  </si>
  <si>
    <t>150 Joule Charpy/Izod Test Device</t>
  </si>
  <si>
    <t>300 Joule Charpy/Izod Test Device</t>
  </si>
  <si>
    <t>450 Joule Charpy/Izod Test Device</t>
  </si>
  <si>
    <t>Container 3*7 m;
Supplied complete with Electrical Installation, Plumbing, kitchen cabinet and kitchen bench. Machines will be mounted on the container.</t>
  </si>
  <si>
    <t>Rapid Chloride Permeability Tester</t>
  </si>
  <si>
    <t>Core Cutting Machine is mainly used to cut rock, concrete and core specimens of various sizes and to obtain two half cylinders from core specimens.Cutting capacity up to Ø 110 mm and 1100 mm length.
380 V, 50-60 Hz, 3 ph</t>
  </si>
  <si>
    <t>Jaw Crusher; Width of the jaws is 10X10 cm. Material feeding dimension is 100 mm. Collector capacity is 5 liters. 
380 V, 50-60 Hz, 3 ph</t>
  </si>
  <si>
    <t>Jaws Set For Jaw Crusher 100 mm 2 pcs</t>
  </si>
  <si>
    <t>Jaw Crusher; Width of the jaws is 10X20 cm. Material feeding dimension is 100 mm. Collector capacity is 5 liters. 
380 V, 50-60 Hz, 3 ph</t>
  </si>
  <si>
    <t>Jaw Crusher Terminator Type; Width of the jaws is 20X30 cm. Material feeding dimension is 100 mm. Collector capacity is 5 liters. 
380 V, 50-60 Hz, 3 ph</t>
  </si>
  <si>
    <t>Jaw Crusher Safety Cabinet</t>
  </si>
  <si>
    <t xml:space="preserve">Pneumatic Disc Mill is used for pulverizing the soil, rock, cement, limestone, ceramic, metal oxidesetc rigid fragile materials.
100 cc Steel Grinding Set is available as an optional and should be ordered seperately.
Loss of material is minimum during the pulverizing.(
THE COMPRESSOR MUST BE ORDERED ALSO.)
</t>
  </si>
  <si>
    <t>Grinding Disc 100 cc</t>
  </si>
  <si>
    <t>Grinding Disc Mill 600 cc</t>
  </si>
  <si>
    <t>Grinding Disc Mill 800 cc</t>
  </si>
  <si>
    <t>Grinding Disc Mill 1000 cc</t>
  </si>
  <si>
    <t>Grinding Disc  Mill 2000 cc</t>
  </si>
  <si>
    <t>Pressure Filter The outer diameter of the Cylinder Reservoir of Presssure Filter Device which made the
filtration is 250 ± 5 mm and manufactured from 304 stainless steel. The size of the Cylinder
Reservoir is 400 ± 5 mm and the thickness is 6 mm.</t>
  </si>
  <si>
    <t>Vacuum Filter Ø250x60 mm filter pan made of steel and consisting of two pieces; the body and its top cover Together with one 1000 ml or 2000 ml water collecting glass vessel
(erlene) and vacuum hoses Double-Stage Vacuum Pump (Made in Switzerland) l, Also provided with: white filter paper (40 µm square apertured), filter cloth, filter wire wowen screen mesh 1 mm  square apertured</t>
  </si>
  <si>
    <t>Horizontal Abrasion Device (Bohme  Device) Testing Machine. 
The apparatus is basically composed of cast iron horizontal disc
with a speed of 30 ± 1 rpm and a diameter of 750mm furnished
of a 200mm test track to position a specimen.
Control panel with digital revolutions counter with automatic stop
after 22 rotations.
Abrasive Sand is must be ordered separately.
220 V, 50-60 Hz, 1 ph</t>
  </si>
  <si>
    <t>Abrasive Sand, 50 Kg</t>
  </si>
  <si>
    <t>Roller Crusher.
Roll dimensions are 25x15 cm. Crushed materials are maximum
12 mm size.
380 V, 50-60 Hz, 3 ph.</t>
  </si>
  <si>
    <t>Abrasion Testing Machine for Natural Stones and Concrete Tiles, designed for determining the resistance to abrasion / wear of natural stones and concrete products. The abrasion wheel is 70 mm thick and rotates with speed of between 75 r.p.m. the machine is equipped with digital counter. 
380V, 50-60 Hz, 1 ph</t>
  </si>
  <si>
    <t>Abrasive Sand, 1 Kg</t>
  </si>
  <si>
    <t>Calibration (Boulonnaise) Marble</t>
  </si>
  <si>
    <t>Abrasion Tester for Bricks and Glazed Tiles, designed for determining the resistance to abrasion / wear of natural stones and concrete products. The abrasion wheel is 10 mm thick and rotates with speed of between 75 r.p.m. the machine is equipped with digital counter. 
380V, 50-60 Hz, 1 ph</t>
  </si>
  <si>
    <t>Mould for Bricks and Glazed Tiles Abrasion (EN 12808-2)</t>
  </si>
  <si>
    <t>Disc Mill; The discharge opening between the discs infinitely
adjustable between 0 and 10 mm. 380 V, 50-60 Hz, 3 ph</t>
  </si>
  <si>
    <t>Vibratory Disc Mill; Max. Sample dimensions: 2 mm. Min. Sample dimensions: micron level. Supplied with 50cc, 100cc, 250cc Grinding Jars. 380 V, 50-60 Hz, 3 ph</t>
  </si>
  <si>
    <t>Vibratory Disc Mill Grinding Jars. 50cc</t>
  </si>
  <si>
    <t>Vibratory Disc Mill Grinding Jars. 100cc</t>
  </si>
  <si>
    <t>Vibratory Disc Mill Grinding Jars. 250cc</t>
  </si>
  <si>
    <t>Vibratory Disc Mill Grinding Jars. 800cc</t>
  </si>
  <si>
    <t>Ball &amp; Rod Mill</t>
  </si>
  <si>
    <t>Planet Ball Mill</t>
  </si>
  <si>
    <t>Rotary Sample Divider</t>
  </si>
  <si>
    <t>Rotary Sample Divider (8x250ml)</t>
  </si>
  <si>
    <t>Rotary Sample Divider (8x500ml)</t>
  </si>
  <si>
    <t>Rotary Sample Divider (8x1000ml)</t>
  </si>
  <si>
    <t>Rotary Sample Divider 20-100lt</t>
  </si>
  <si>
    <t>FLOTATİON MACHİNE</t>
  </si>
  <si>
    <t>Rotating Sample Dividers</t>
  </si>
  <si>
    <t>Hammer Crusher Ø300x190 mm</t>
  </si>
  <si>
    <t>Tumbler Test Device for Iron Ore ; It is used  for determination of stability and stiffness of metallurgical coke which goes to blast furnace. Manufactured in accordance with ASTM D 3402-93 standard. 2 drums Ø 800 mm x 900 mm in size, made of 6 mm thick AISI 304 stainless steel , drums speed 24 ± 1 rpm ,they rotate 1400 full revolutions and stop automatically by  a digital rev. counter.  Provided with two satinless steel material collecting trays. All system is enclosed in a steel sheet protective cabinet against dust and noise, with two front lids with safety switches. Electrical Motor: 4 HP,380 V, 3 p, 50 Hz</t>
  </si>
  <si>
    <t>Drum Mill 50LT</t>
  </si>
  <si>
    <t>Micum Drum Test Apparatus</t>
  </si>
  <si>
    <t>Cold Compression Strenght Test Machine</t>
  </si>
  <si>
    <t>Cold Bending Test Device</t>
  </si>
  <si>
    <t>Jones Riffle Type Riffle Box 7mm</t>
  </si>
  <si>
    <t>Jones Riffle Type Riffle Box 13mm</t>
  </si>
  <si>
    <t>Jones Riffle Type Riffle Box 15mm</t>
  </si>
  <si>
    <t>Jones Riffle Type Riffle Box 19mm</t>
  </si>
  <si>
    <t>Jones Riffle Type Riffle Box 25mm</t>
  </si>
  <si>
    <t>Jones Riffle Type Riffle Box 30mm</t>
  </si>
  <si>
    <t>Jones Riffle Type Riffle Box 38mm</t>
  </si>
  <si>
    <t>Jones Riffle Type Riffle Box 45mm</t>
  </si>
  <si>
    <t>Jones Riffle Type Riffle Box 50mm</t>
  </si>
  <si>
    <t>Jones Riffle Type Riffle Box 64mm</t>
  </si>
  <si>
    <t>Jones Riffle Type Riffle Box 75mm</t>
  </si>
  <si>
    <t>Flux Mixer , 25 Cricibles capacity, rotation speed and duration can be adjusted. Thanks to its special structure, the top of the crucibles is covered with stretch film to prevent the materials in the crucibles from mixing with each other during rotation.  750 W, 220 V, 10-60 rpm, 50-60 Hz.</t>
  </si>
  <si>
    <t>Manuel Pellet Press</t>
  </si>
  <si>
    <t>Automatic Pellet Press 30 Ton. Its management is very simple, thanks to a user-friendly display equipped with digital controls for both time and pressure settings. Consist of  Load Frame, Automatic Hydraulic Power Pack, Digital data acquisition &amp; control system, Limit Switch for safety  220 V, 50-60 Hz, 1 ph</t>
  </si>
  <si>
    <t>Pellet Mould Ø32 mm</t>
  </si>
  <si>
    <t>Pellet Mould  Ø35 mm</t>
  </si>
  <si>
    <t>Pellet Mould  Ø40 mm</t>
  </si>
  <si>
    <t>Pellet Mould  Ø51.5 mm</t>
  </si>
  <si>
    <t>Gold Pan</t>
  </si>
  <si>
    <t>Orbital Shaker</t>
  </si>
  <si>
    <t>50-Ton Automatic Hydraulic Test Press; Loading Body, Automatic Hydraulic Power Unit, Digital Data Reading &amp; Control System. The device reaches the desired pressure with a precision of ±2 tons and waits at this pressure for the duration entered on the screen.</t>
  </si>
  <si>
    <t xml:space="preserve">120 Ton Hydraulic Rock and Mineral Crushing Press. It is used for rapid and safe size reduction without material loss by
crushing under hydraulic pressure to prepare suitable sized samples to feed to laboratory type crushers. </t>
  </si>
  <si>
    <t>Dual Disk Surface Grinder</t>
  </si>
  <si>
    <t>Fusion Furnace, 
 Takes 50 x 65g or 45x75g Crucibles at one time.Hot face of 70% alumina fire-brick backed with insulating fire-brick.Electronic, automatic control 1200°C, type “K” Thermocouple and silicon carbide resistance, Door Operation Pneumatic rising. Operated by foot control.Fusion Furnaces are manufactured from premium grade raw materials under an ISO 9001:2015 quality management system.</t>
  </si>
  <si>
    <t xml:space="preserve"> Cupellation Furnace, 
 Takes 90 cupels at one time.Hot face of 70% alumina fire-brick backed with insulating fire-brick.Electronic, automatic control 900°C, type “K” Thermocouple and silicon carbide resistance, Door Operation Pneumatic rising. Operated by foot control.Fusion Furnaces are manufactured from premium grade raw materials under an ISO 9001:2015 quality management system.</t>
  </si>
  <si>
    <t xml:space="preserve"> Work Station (180 X 75 X 90 cm)</t>
  </si>
  <si>
    <t>Benc Grid 45 Place</t>
  </si>
  <si>
    <t>Pot loaders</t>
  </si>
  <si>
    <t>Pouring trolleys</t>
  </si>
  <si>
    <t>Pot pouring tongs</t>
  </si>
  <si>
    <t>Pot cooling racks</t>
  </si>
  <si>
    <t>Pot tray</t>
  </si>
  <si>
    <t>Hot pot trolleys</t>
  </si>
  <si>
    <t>Pouring moulds</t>
  </si>
  <si>
    <t>Mould covers</t>
  </si>
  <si>
    <t>Cupel forks</t>
  </si>
  <si>
    <t>Cupel cooling racks</t>
  </si>
  <si>
    <t>Knock-up benches</t>
  </si>
  <si>
    <t>Furnace brushes</t>
  </si>
  <si>
    <t>Furnace rakes</t>
  </si>
  <si>
    <t>Furnace shovels</t>
  </si>
  <si>
    <t>Prill Bench(140 x 75 x 90 cm)</t>
  </si>
  <si>
    <t>Furnace Chamber</t>
  </si>
  <si>
    <t>Furnace tile</t>
  </si>
  <si>
    <t xml:space="preserve"> </t>
  </si>
  <si>
    <t>2025-09-04 15:23:18.020</t>
  </si>
  <si>
    <t>2025-09-04 15:23:18.021</t>
  </si>
  <si>
    <t>2025-09-04 15:23:18.022</t>
  </si>
  <si>
    <t>2025-09-04 15:23:18.023</t>
  </si>
  <si>
    <t>2025-09-04 15:23:18.024</t>
  </si>
  <si>
    <t>2025-09-04 15:23:18.025</t>
  </si>
  <si>
    <t>2025-09-04 15:23:18.026</t>
  </si>
  <si>
    <t>2025-09-04 15:23:18.027</t>
  </si>
  <si>
    <t>2025-09-04 15:23:18.028</t>
  </si>
  <si>
    <t>2025-09-04 15:23:18.029</t>
  </si>
  <si>
    <t>2025-09-04 15:23:18.030</t>
  </si>
  <si>
    <t>2025-09-04 15:23:18.031</t>
  </si>
  <si>
    <t>2025-09-04 15:23:18.032</t>
  </si>
  <si>
    <t>2025-09-04 15:23:18.033</t>
  </si>
  <si>
    <t>2025-09-04 15:23:18.034</t>
  </si>
  <si>
    <t>2025-09-04 15:23:18.035</t>
  </si>
  <si>
    <t>2025-09-04 15:23:18.036</t>
  </si>
  <si>
    <t>2025-09-04 15:23:18.037</t>
  </si>
  <si>
    <t>2025-09-04 15:23:18.038</t>
  </si>
  <si>
    <t>2025-09-04 15:23:18.039</t>
  </si>
  <si>
    <t>2025-09-04 15:23:18.040</t>
  </si>
  <si>
    <t>2025-09-04 15:23:18.041</t>
  </si>
  <si>
    <t>2025-09-04 15:23:18.042</t>
  </si>
  <si>
    <t>2025-09-04 15:23:18.043</t>
  </si>
  <si>
    <t>2025-09-04 15:23:18.044</t>
  </si>
  <si>
    <t>2025-09-04 15:23:18.045</t>
  </si>
  <si>
    <t>2025-09-04 15:23:18.046</t>
  </si>
  <si>
    <t>2025-09-04 15:23:18.047</t>
  </si>
  <si>
    <t>2025-09-04 15:23:18.048</t>
  </si>
  <si>
    <t>2025-09-04 15:23:18.049</t>
  </si>
  <si>
    <t>2025-09-04 15:23:18.050</t>
  </si>
  <si>
    <t>2025-09-04 15:23:18.051</t>
  </si>
  <si>
    <t>2025-09-04 15:23:18.052</t>
  </si>
  <si>
    <t>2025-09-04 15:23:18.053</t>
  </si>
  <si>
    <t>2025-09-04 15:23:18.054</t>
  </si>
  <si>
    <t>2025-09-04 15:23:18.055</t>
  </si>
  <si>
    <t>2025-09-04 15:23:18.056</t>
  </si>
  <si>
    <t>2025-09-04 15:23:18.057</t>
  </si>
  <si>
    <t>2025-09-04 15:23:18.058</t>
  </si>
  <si>
    <t>2025-09-04 15:23:18.059</t>
  </si>
  <si>
    <t>2025-09-04 15:23:18.060</t>
  </si>
  <si>
    <t>2025-09-04 15:23:18.061</t>
  </si>
  <si>
    <t>2025-09-04 15:23:18.062</t>
  </si>
  <si>
    <t>2025-09-04 15:23:18.063</t>
  </si>
  <si>
    <t>2025-09-04 15:23:18.064</t>
  </si>
  <si>
    <t>2025-09-04 15:23:18.065</t>
  </si>
  <si>
    <t>2025-09-04 15:23:18.066</t>
  </si>
  <si>
    <t>2025-09-04 15:23:18.067</t>
  </si>
  <si>
    <t>2025-09-04 15:23:18.068</t>
  </si>
  <si>
    <t>2025-09-04 15:23:18.069</t>
  </si>
  <si>
    <t>2025-09-04 15:23:18.070</t>
  </si>
  <si>
    <t>2025-09-04 15:23:18.071</t>
  </si>
  <si>
    <t>2025-09-04 15:23:18.072</t>
  </si>
  <si>
    <t>2025-09-04 15:23:18.073</t>
  </si>
  <si>
    <t>2025-09-04 15:23:18.074</t>
  </si>
  <si>
    <t>2025-09-04 15:23:18.075</t>
  </si>
  <si>
    <t>2025-09-04 15:23:18.076</t>
  </si>
  <si>
    <t>2025-09-04 15:23:18.077</t>
  </si>
  <si>
    <t>2025-09-04 15:23:18.078</t>
  </si>
  <si>
    <t>2025-09-04 15:23:18.079</t>
  </si>
  <si>
    <t>2025-09-04 15:23:18.080</t>
  </si>
  <si>
    <t>2025-09-04 15:23:18.081</t>
  </si>
  <si>
    <t>2025-09-04 15:23:18.082</t>
  </si>
  <si>
    <t>2025-09-04 15:23:18.083</t>
  </si>
  <si>
    <t>2025-09-04 15:23:18.084</t>
  </si>
  <si>
    <t>2025-09-04 15:23:18.085</t>
  </si>
  <si>
    <t>2025-09-04 15:23:18.086</t>
  </si>
  <si>
    <t>2025-09-04 15:23:18.087</t>
  </si>
  <si>
    <t>2025-09-04 15:23:18.088</t>
  </si>
  <si>
    <t>2025-09-04 15:23:18.089</t>
  </si>
  <si>
    <t>2025-09-04 15:23:18.090</t>
  </si>
  <si>
    <t>2025-09-04 15:23:18.091</t>
  </si>
  <si>
    <t>2025-09-04 15:23:18.092</t>
  </si>
  <si>
    <t>2025-09-04 15:23:18.093</t>
  </si>
  <si>
    <t>2025-09-04 15:23:18.094</t>
  </si>
  <si>
    <t>2025-09-04 15:23:18.095</t>
  </si>
  <si>
    <t>2025-09-04 15:23:18.096</t>
  </si>
  <si>
    <t>2025-09-04 15:23:18.097</t>
  </si>
  <si>
    <t>2025-09-04 15:23:18.098</t>
  </si>
  <si>
    <t>2025-09-04 15:23:18.099</t>
  </si>
  <si>
    <t>2025-09-04 15:23:18.100</t>
  </si>
  <si>
    <t>2025-09-04 15:23:18.101</t>
  </si>
  <si>
    <t>2025-09-04 15:23:18.102</t>
  </si>
  <si>
    <t>2025-09-04 15:23:18.103</t>
  </si>
  <si>
    <t>2025-09-04 15:23:18.104</t>
  </si>
  <si>
    <t>2025-09-04 15:23:18.105</t>
  </si>
  <si>
    <t>2025-09-04 15:23:18.106</t>
  </si>
  <si>
    <t>2025-09-04 15:23:18.107</t>
  </si>
  <si>
    <t>2025-09-04 15:23:18.108</t>
  </si>
  <si>
    <t>2025-09-04 15:23:18.109</t>
  </si>
  <si>
    <t>2025-09-04 15:23:18.110</t>
  </si>
  <si>
    <t>2025-09-04 15:23:18.111</t>
  </si>
  <si>
    <t>2025-09-04 15:23:18.112</t>
  </si>
  <si>
    <t>2025-09-04 15:23:18.113</t>
  </si>
  <si>
    <t>2025-09-04 15:23:18.114</t>
  </si>
  <si>
    <t>2025-09-04 15:23:18.115</t>
  </si>
  <si>
    <t>2025-09-04 15:23:18.116</t>
  </si>
  <si>
    <t>2025-09-04 15:23:18.117</t>
  </si>
  <si>
    <t>2025-09-04 15:23:18.118</t>
  </si>
  <si>
    <t>2025-09-04 15:23:18.119</t>
  </si>
  <si>
    <t>2025-09-04 15:23:18.120</t>
  </si>
  <si>
    <t>2025-09-04 15:23:18.121</t>
  </si>
  <si>
    <t>2025-09-04 15:23:18.122</t>
  </si>
  <si>
    <t>2025-09-04 15:23:18.123</t>
  </si>
  <si>
    <t>2025-09-04 15:23:18.124</t>
  </si>
  <si>
    <t>2025-09-04 15:23:18.125</t>
  </si>
  <si>
    <t>2025-09-04 15:23:18.126</t>
  </si>
  <si>
    <t>2025-09-04 15:23:18.127</t>
  </si>
  <si>
    <t>2025-09-04 15:23:18.128</t>
  </si>
  <si>
    <t>2025-09-04 15:23:18.129</t>
  </si>
  <si>
    <t>2025-09-04 15:23:18.130</t>
  </si>
  <si>
    <t>2025-09-04 15:23:18.131</t>
  </si>
  <si>
    <t>2025-09-04 15:23:18.132</t>
  </si>
  <si>
    <t>2025-09-04 15:23:18.133</t>
  </si>
  <si>
    <t>2025-09-04 15:23:18.134</t>
  </si>
  <si>
    <t>2025-09-04 15:23:18.135</t>
  </si>
  <si>
    <t>2025-09-04 15:23:18.136</t>
  </si>
  <si>
    <t>2025-09-04 15:23:18.137</t>
  </si>
  <si>
    <t>2025-09-04 15:23:18.138</t>
  </si>
  <si>
    <t>2025-09-04 15:23:18.139</t>
  </si>
  <si>
    <t>2025-09-04 15:23:18.140</t>
  </si>
  <si>
    <t>2025-09-04 15:23:18.141</t>
  </si>
  <si>
    <t>2025-09-04 15:23:18.142</t>
  </si>
  <si>
    <t>2025-09-04 15:23:18.143</t>
  </si>
  <si>
    <t>2025-09-04 15:23:18.144</t>
  </si>
  <si>
    <t>2025-09-04 15:23:18.145</t>
  </si>
  <si>
    <t>2025-09-04 15:23:18.146</t>
  </si>
  <si>
    <t>2025-09-04 15:23:18.147</t>
  </si>
  <si>
    <t>2025-09-04 15:23:18.148</t>
  </si>
  <si>
    <t>2025-09-04 15:23:18.149</t>
  </si>
  <si>
    <t>2025-09-04 15:23:18.150</t>
  </si>
  <si>
    <t>2025-09-04 15:23:18.151</t>
  </si>
  <si>
    <t>2025-09-04 15:23:18.152</t>
  </si>
  <si>
    <t>2025-09-04 15:23:18.153</t>
  </si>
  <si>
    <t>2025-09-04 15:23:18.154</t>
  </si>
  <si>
    <t>2025-09-04 15:23:18.155</t>
  </si>
  <si>
    <t>2025-09-04 15:23:18.156</t>
  </si>
  <si>
    <t>2025-09-04 15:23:18.157</t>
  </si>
  <si>
    <t>2025-09-04 15:23:18.158</t>
  </si>
  <si>
    <t>2025-09-04 15:23:18.159</t>
  </si>
  <si>
    <t>2025-09-04 15:23:18.160</t>
  </si>
  <si>
    <t>2025-09-04 15:23:18.161</t>
  </si>
  <si>
    <t>2025-09-04 15:23:18.162</t>
  </si>
  <si>
    <t>2025-09-04 15:23:18.163</t>
  </si>
  <si>
    <t>2025-09-04 15:23:18.164</t>
  </si>
  <si>
    <t>2025-09-04 15:23:18.165</t>
  </si>
  <si>
    <t>2025-09-04 15:23:18.166</t>
  </si>
  <si>
    <t>2025-09-04 15:23:18.167</t>
  </si>
  <si>
    <t>2025-09-04 15:23:18.168</t>
  </si>
  <si>
    <t>2025-09-04 15:23:18.169</t>
  </si>
  <si>
    <t>2025-09-04 15:23:18.170</t>
  </si>
  <si>
    <t>2025-09-04 15:23:18.171</t>
  </si>
  <si>
    <t>2025-09-04 15:23:18.172</t>
  </si>
  <si>
    <t>2025-09-04 15:23:18.173</t>
  </si>
  <si>
    <t>2025-09-04 15:23:18.174</t>
  </si>
  <si>
    <t>2025-09-04 15:23:18.175</t>
  </si>
  <si>
    <t>2025-09-04 15:23:18.176</t>
  </si>
  <si>
    <t>2025-09-04 15:23:18.177</t>
  </si>
  <si>
    <t>2025-09-04 15:23:18.178</t>
  </si>
  <si>
    <t>2025-09-04 15:23:18.179</t>
  </si>
  <si>
    <t>2025-09-04 15:23:18.180</t>
  </si>
  <si>
    <t>2025-09-04 15:23:18.181</t>
  </si>
  <si>
    <t>2025-09-04 15:23:18.182</t>
  </si>
  <si>
    <t>2025-09-04 15:23:18.183</t>
  </si>
  <si>
    <t>2025-09-04 15:23:18.184</t>
  </si>
  <si>
    <t>2025-09-04 15:23:18.185</t>
  </si>
  <si>
    <t>2025-09-04 15:23:18.186</t>
  </si>
  <si>
    <t>2025-09-04 15:23:18.187</t>
  </si>
  <si>
    <t>2025-09-04 15:23:18.188</t>
  </si>
  <si>
    <t>2025-09-04 15:23:18.189</t>
  </si>
  <si>
    <t>2025-09-04 15:23:18.190</t>
  </si>
  <si>
    <t>2025-09-04 15:23:18.191</t>
  </si>
  <si>
    <t>2025-09-04 15:23:18.192</t>
  </si>
  <si>
    <t>2025-09-04 15:23:18.193</t>
  </si>
  <si>
    <t>2025-09-04 15:23:18.194</t>
  </si>
  <si>
    <t>2025-09-04 15:23:18.195</t>
  </si>
  <si>
    <t>2025-09-04 15:23:18.196</t>
  </si>
  <si>
    <t>2025-09-04 15:23:18.197</t>
  </si>
  <si>
    <t>2025-09-04 15:23:18.198</t>
  </si>
  <si>
    <t>2025-09-04 15:23:18.199</t>
  </si>
  <si>
    <t>2025-09-04 15:23:18.200</t>
  </si>
  <si>
    <t>2025-09-04 15:23:18.201</t>
  </si>
  <si>
    <t>2025-09-04 15:23:18.202</t>
  </si>
  <si>
    <t>2025-09-04 15:23:18.203</t>
  </si>
  <si>
    <t>2025-09-04 15:23:18.204</t>
  </si>
  <si>
    <t>2025-09-04 15:23:18.205</t>
  </si>
  <si>
    <t>2025-09-04 15:23:18.206</t>
  </si>
  <si>
    <t>2025-09-04 15:23:18.207</t>
  </si>
  <si>
    <t>2025-09-04 15:23:18.208</t>
  </si>
  <si>
    <t>2025-09-04 15:23:18.209</t>
  </si>
  <si>
    <t>2025-09-04 15:23:18.210</t>
  </si>
  <si>
    <t>2025-09-04 15:23:18.211</t>
  </si>
  <si>
    <t>2025-09-04 15:23:18.212</t>
  </si>
  <si>
    <t>2025-09-04 15:23:18.213</t>
  </si>
  <si>
    <t>2025-09-04 15:23:18.214</t>
  </si>
  <si>
    <t>2025-09-04 15:23:18.215</t>
  </si>
  <si>
    <t>2025-09-04 15:23:18.216</t>
  </si>
  <si>
    <t>2025-09-04 15:23:18.217</t>
  </si>
  <si>
    <t>2025-09-04 15:23:18.218</t>
  </si>
  <si>
    <t>2025-09-04 15:23:18.219</t>
  </si>
  <si>
    <t>2025-09-04 15:23:18.220</t>
  </si>
  <si>
    <t>2025-09-04 15:23:18.221</t>
  </si>
  <si>
    <t>2025-09-04 15:23:18.222</t>
  </si>
  <si>
    <t>2025-09-04 15:23:18.223</t>
  </si>
  <si>
    <t>2025-09-04 15:23:18.224</t>
  </si>
  <si>
    <t>2025-09-04 15:23:18.225</t>
  </si>
  <si>
    <t>2025-09-04 15:23:18.226</t>
  </si>
  <si>
    <t>2025-09-04 15:23:18.227</t>
  </si>
  <si>
    <t>2025-09-04 15:23:18.228</t>
  </si>
  <si>
    <t>2025-09-04 15:23:18.229</t>
  </si>
  <si>
    <t>2025-09-04 15:23:18.230</t>
  </si>
  <si>
    <t>2025-09-04 15:23:18.231</t>
  </si>
  <si>
    <t>2025-09-04 15:23:18.232</t>
  </si>
  <si>
    <t>2025-09-04 15:23:18.233</t>
  </si>
  <si>
    <t>2025-09-04 15:23:18.234</t>
  </si>
  <si>
    <t>2025-09-04 15:23:18.235</t>
  </si>
  <si>
    <t>2025-09-04 15:23:18.236</t>
  </si>
  <si>
    <t>2025-09-04 15:23:18.237</t>
  </si>
  <si>
    <t>2025-09-04 15:23:18.238</t>
  </si>
  <si>
    <t>2025-09-04 15:23:18.239</t>
  </si>
  <si>
    <t>2025-09-04 15:23:18.240</t>
  </si>
  <si>
    <t>2025-09-04 15:23:18.241</t>
  </si>
  <si>
    <t>2025-09-04 15:23:18.242</t>
  </si>
  <si>
    <t>2025-09-04 15:23:18.243</t>
  </si>
  <si>
    <t>2025-09-04 15:23:18.244</t>
  </si>
  <si>
    <t>2025-09-04 15:23:18.245</t>
  </si>
  <si>
    <t>2025-09-04 15:23:18.246</t>
  </si>
  <si>
    <t>2025-09-04 15:23:18.247</t>
  </si>
  <si>
    <t>2025-09-04 15:23:18.248</t>
  </si>
  <si>
    <t>2025-09-04 15:23:18.249</t>
  </si>
  <si>
    <t>2025-09-04 15:23:18.250</t>
  </si>
  <si>
    <t>2025-09-04 15:23:18.251</t>
  </si>
  <si>
    <t>2025-09-04 15:23:18.252</t>
  </si>
  <si>
    <t>2025-09-04 15:23:18.253</t>
  </si>
  <si>
    <t>2025-09-04 15:23:18.254</t>
  </si>
  <si>
    <t>2025-09-04 15:23:18.255</t>
  </si>
  <si>
    <t>2025-09-04 15:23:18.256</t>
  </si>
  <si>
    <t>2025-09-04 15:23:18.257</t>
  </si>
  <si>
    <t>2025-09-04 15:23:18.258</t>
  </si>
  <si>
    <t>2025-09-04 15:23:18.259</t>
  </si>
  <si>
    <t>2025-09-04 15:23:18.260</t>
  </si>
  <si>
    <t>2025-09-04 15:23:18.261</t>
  </si>
  <si>
    <t>2025-09-04 15:23:18.262</t>
  </si>
  <si>
    <t>2025-09-04 15:23:18.263</t>
  </si>
  <si>
    <t>2025-09-04 15:23:18.264</t>
  </si>
  <si>
    <t>2025-09-04 15:23:18.265</t>
  </si>
  <si>
    <t>2025-09-04 15:23:18.266</t>
  </si>
  <si>
    <t>2025-09-04 15:23:18.267</t>
  </si>
  <si>
    <t>2025-09-04 15:23:18.268</t>
  </si>
  <si>
    <t>2025-09-04 15:23:18.269</t>
  </si>
  <si>
    <t>2025-09-04 15:23:18.270</t>
  </si>
  <si>
    <t>2025-09-04 15:23:18.271</t>
  </si>
  <si>
    <t>2025-09-04 15:23:18.272</t>
  </si>
  <si>
    <t>2025-09-04 15:23:18.273</t>
  </si>
  <si>
    <t>2025-09-04 15:23:18.274</t>
  </si>
  <si>
    <t>2025-09-04 15:23:18.275</t>
  </si>
  <si>
    <t>2025-09-04 15:23:18.276</t>
  </si>
  <si>
    <t>2025-09-04 15:23:18.277</t>
  </si>
  <si>
    <t>2025-09-04 15:23:18.278</t>
  </si>
  <si>
    <t>2025-09-04 15:23:18.279</t>
  </si>
  <si>
    <t>2025-09-04 15:23:18.280</t>
  </si>
  <si>
    <t>2025-09-04 15:23:18.281</t>
  </si>
  <si>
    <t>2025-09-04 15:23:18.282</t>
  </si>
  <si>
    <t>2025-09-04 15:23:18.283</t>
  </si>
  <si>
    <t>2025-09-04 15:23:18.284</t>
  </si>
  <si>
    <t>2025-09-04 15:23:18.285</t>
  </si>
  <si>
    <t>2025-09-04 15:23:18.286</t>
  </si>
  <si>
    <t>2025-09-04 15:23:18.287</t>
  </si>
  <si>
    <t>2025-09-04 15:23:18.288</t>
  </si>
  <si>
    <t>2025-09-04 15:23:18.289</t>
  </si>
  <si>
    <t>2025-09-04 15:23:18.290</t>
  </si>
  <si>
    <t>2025-09-04 15:23:18.291</t>
  </si>
  <si>
    <t>2025-09-04 15:23:18.292</t>
  </si>
  <si>
    <t>2025-09-04 15:23:18.293</t>
  </si>
  <si>
    <t>2025-09-04 15:23:18.294</t>
  </si>
  <si>
    <t>2025-09-04 15:23:18.295</t>
  </si>
  <si>
    <t>2025-09-04 15:23:18.296</t>
  </si>
  <si>
    <t>2025-09-04 15:23:18.297</t>
  </si>
  <si>
    <t>2025-09-04 15:23:18.298</t>
  </si>
  <si>
    <t>2025-09-04 15:23:18.299</t>
  </si>
  <si>
    <t>2025-09-04 15:23:18.300</t>
  </si>
  <si>
    <t>2025-09-04 15:23:18.301</t>
  </si>
  <si>
    <t>2025-09-04 15:23:18.302</t>
  </si>
  <si>
    <t>2025-09-04 15:23:18.303</t>
  </si>
  <si>
    <t>2025-09-04 15:23:18.304</t>
  </si>
  <si>
    <t>2025-09-04 15:23:18.305</t>
  </si>
  <si>
    <t>2025-09-04 15:23:18.306</t>
  </si>
  <si>
    <t>2025-09-04 15:23:18.307</t>
  </si>
  <si>
    <t>2025-09-04 15:23:18.308</t>
  </si>
  <si>
    <t>2025-09-04 15:23:18.309</t>
  </si>
  <si>
    <t>2025-09-04 15:23:18.310</t>
  </si>
  <si>
    <t>2025-09-04 15:23:18.311</t>
  </si>
  <si>
    <t>2025-09-04 15:23:18.312</t>
  </si>
  <si>
    <t>2025-09-04 15:23:18.313</t>
  </si>
  <si>
    <t>2025-09-04 15:23:18.314</t>
  </si>
  <si>
    <t>2025-09-04 15:23:18.315</t>
  </si>
  <si>
    <t>2025-09-04 15:23:18.316</t>
  </si>
  <si>
    <t>2025-09-04 15:23:18.317</t>
  </si>
  <si>
    <t>2025-09-04 15:23:18.318</t>
  </si>
  <si>
    <t>2025-09-04 15:23:18.319</t>
  </si>
  <si>
    <t>2025-09-04 15:23:18.320</t>
  </si>
  <si>
    <t>2025-09-04 15:23:18.321</t>
  </si>
  <si>
    <t>2025-09-04 15:23:18.322</t>
  </si>
  <si>
    <t>2025-09-04 15:23:18.323</t>
  </si>
  <si>
    <t>2025-09-04 15:23:18.324</t>
  </si>
  <si>
    <t>2025-09-04 15:23:18.325</t>
  </si>
  <si>
    <t>2025-09-04 15:23:18.326</t>
  </si>
  <si>
    <t>2025-09-04 15:23:18.327</t>
  </si>
  <si>
    <t>2025-09-04 15:23:18.328</t>
  </si>
  <si>
    <t>2025-09-04 15:23:18.329</t>
  </si>
  <si>
    <t>2025-09-04 15:23:18.330</t>
  </si>
  <si>
    <t>2025-09-04 15:23:18.331</t>
  </si>
  <si>
    <t>2025-09-04 15:23:18.332</t>
  </si>
  <si>
    <t>2025-09-04 15:23:18.333</t>
  </si>
  <si>
    <t>2025-09-04 15:23:18.334</t>
  </si>
  <si>
    <t>2025-09-04 15:23:18.335</t>
  </si>
  <si>
    <t>2025-09-04 15:23:18.336</t>
  </si>
  <si>
    <t>2025-09-04 15:23:18.337</t>
  </si>
  <si>
    <t>2025-09-04 15:23:18.338</t>
  </si>
  <si>
    <t>2025-09-04 15:23:18.339</t>
  </si>
  <si>
    <t>2025-09-04 15:23:18.340</t>
  </si>
  <si>
    <t>2025-09-04 15:23:18.341</t>
  </si>
  <si>
    <t>2025-09-04 15:23:18.342</t>
  </si>
  <si>
    <t>2025-09-04 15:23:18.343</t>
  </si>
  <si>
    <t>2025-09-04 15:23:18.344</t>
  </si>
  <si>
    <t>2025-09-04 15:23:18.345</t>
  </si>
  <si>
    <t>2025-09-04 15:23:18.346</t>
  </si>
  <si>
    <t>2025-09-04 15:23:18.347</t>
  </si>
  <si>
    <t>2025-09-04 15:23:18.348</t>
  </si>
  <si>
    <t>2025-09-04 15:23:18.349</t>
  </si>
  <si>
    <t>2025-09-04 15:23:18.350</t>
  </si>
  <si>
    <t>2025-09-04 15:23:18.351</t>
  </si>
  <si>
    <t>2025-09-04 15:23:18.352</t>
  </si>
  <si>
    <t>2025-09-04 15:23:18.353</t>
  </si>
  <si>
    <t>2025-09-04 15:23:18.354</t>
  </si>
  <si>
    <t>2025-09-04 15:23:18.355</t>
  </si>
  <si>
    <t>2025-09-04 15:23:18.356</t>
  </si>
  <si>
    <t>2025-09-04 15:23:18.357</t>
  </si>
  <si>
    <t>2025-09-04 15:23:18.358</t>
  </si>
  <si>
    <t>2025-09-04 15:23:18.359</t>
  </si>
  <si>
    <t>2025-09-04 15:23:18.360</t>
  </si>
  <si>
    <t>2025-09-04 15:23:18.361</t>
  </si>
  <si>
    <t>2025-09-04 15:23:18.362</t>
  </si>
  <si>
    <t>2025-09-04 15:23:18.363</t>
  </si>
  <si>
    <t>2025-09-04 15:23:18.364</t>
  </si>
  <si>
    <t>2025-09-04 15:23:18.365</t>
  </si>
  <si>
    <t>2025-09-04 15:23:18.366</t>
  </si>
  <si>
    <t>2025-09-04 15:23:18.367</t>
  </si>
  <si>
    <t>2025-09-04 15:23:18.368</t>
  </si>
  <si>
    <t>2025-09-04 15:23:18.369</t>
  </si>
  <si>
    <t>2025-09-04 15:23:18.370</t>
  </si>
  <si>
    <t>2025-09-04 15:23:18.371</t>
  </si>
  <si>
    <t>2025-09-04 15:23:18.372</t>
  </si>
  <si>
    <t>2025-09-04 15:23:18.373</t>
  </si>
  <si>
    <t>2025-09-04 15:23:18.374</t>
  </si>
  <si>
    <t>2025-09-04 15:23:18.375</t>
  </si>
  <si>
    <t>2025-09-04 15:23:18.376</t>
  </si>
  <si>
    <t>2025-09-04 15:23:18.377</t>
  </si>
  <si>
    <t>2025-09-04 15:23:18.378</t>
  </si>
  <si>
    <t>2025-09-04 15:23:18.379</t>
  </si>
  <si>
    <t>2025-09-04 15:23:18.380</t>
  </si>
  <si>
    <t>2025-09-04 15:23:18.381</t>
  </si>
  <si>
    <t>2025-09-04 15:23:18.382</t>
  </si>
  <si>
    <t>2025-09-04 15:23:18.383</t>
  </si>
  <si>
    <t>2025-09-04 15:23:18.384</t>
  </si>
  <si>
    <t>2025-09-04 15:23:18.385</t>
  </si>
  <si>
    <t>2025-09-04 15:23:18.386</t>
  </si>
  <si>
    <t>2025-09-04 15:23:18.387</t>
  </si>
  <si>
    <t>2025-09-04 15:23:18.388</t>
  </si>
  <si>
    <t>2025-09-04 15:23:18.389</t>
  </si>
  <si>
    <t>2025-09-04 15:23:18.390</t>
  </si>
  <si>
    <t>2025-09-04 15:23:18.391</t>
  </si>
  <si>
    <t>2025-09-04 15:23:18.392</t>
  </si>
  <si>
    <t>2025-09-04 15:23:18.393</t>
  </si>
  <si>
    <t>2025-09-04 15:23:18.394</t>
  </si>
  <si>
    <t>2025-09-04 15:23:18.395</t>
  </si>
  <si>
    <t>2025-09-04 15:23:18.396</t>
  </si>
  <si>
    <t>2025-09-04 15:23:18.397</t>
  </si>
  <si>
    <t>2025-09-04 15:23:18.398</t>
  </si>
  <si>
    <t>2025-09-04 15:23:18.399</t>
  </si>
  <si>
    <t>2025-09-04 15:23:18.400</t>
  </si>
  <si>
    <t>2025-09-04 15:23:18.401</t>
  </si>
  <si>
    <t>2025-09-04 15:23:18.402</t>
  </si>
  <si>
    <t>2025-09-04 15:23:18.403</t>
  </si>
  <si>
    <t>2025-09-04 15:23:18.404</t>
  </si>
  <si>
    <t>2025-09-04 15:23:18.405</t>
  </si>
  <si>
    <t>2025-09-04 15:23:18.406</t>
  </si>
  <si>
    <t>2025-09-04 15:23:18.407</t>
  </si>
  <si>
    <t>2025-09-04 15:23:18.408</t>
  </si>
  <si>
    <t>2025-09-04 15:23:18.409</t>
  </si>
  <si>
    <t>2025-09-04 15:23:18.410</t>
  </si>
  <si>
    <t>2025-09-04 15:23:18.411</t>
  </si>
  <si>
    <t>2025-09-04 15:23:18.412</t>
  </si>
  <si>
    <t>2025-09-04 15:23:18.413</t>
  </si>
  <si>
    <t>2025-09-04 15:23:18.414</t>
  </si>
  <si>
    <t>2025-09-04 15:23:18.415</t>
  </si>
  <si>
    <t>2025-09-04 15:23:18.416</t>
  </si>
  <si>
    <t>2025-09-04 15:23:18.417</t>
  </si>
  <si>
    <t>2025-09-04 15:23:18.418</t>
  </si>
  <si>
    <t>2025-09-04 15:23:18.419</t>
  </si>
  <si>
    <t>2025-09-04 15:23:18.420</t>
  </si>
  <si>
    <t>2025-09-04 15:23:18.421</t>
  </si>
  <si>
    <t>2025-09-04 15:23:18.422</t>
  </si>
  <si>
    <t>2025-09-04 15:23:18.423</t>
  </si>
  <si>
    <t>2025-09-04 15:23:18.424</t>
  </si>
  <si>
    <t>2025-09-04 15:23:18.425</t>
  </si>
  <si>
    <t>2025-09-04 15:23:18.426</t>
  </si>
  <si>
    <t>2025-09-04 15:23:18.427</t>
  </si>
  <si>
    <t>2025-09-04 15:23:18.428</t>
  </si>
  <si>
    <t>2025-09-04 15:23:18.429</t>
  </si>
  <si>
    <t>2025-09-04 15:23:18.430</t>
  </si>
  <si>
    <t>2025-09-04 15:23:18.431</t>
  </si>
  <si>
    <t>2025-09-04 15:23:18.432</t>
  </si>
  <si>
    <t>2025-09-04 15:23:18.433</t>
  </si>
  <si>
    <t>2025-09-04 15:23:18.434</t>
  </si>
  <si>
    <t>2025-09-04 15:23:18.435</t>
  </si>
  <si>
    <t>2025-09-04 15:23:18.436</t>
  </si>
  <si>
    <t>2025-09-04 15:23:18.437</t>
  </si>
  <si>
    <t>2025-09-04 15:23:18.438</t>
  </si>
  <si>
    <t>2025-09-04 15:23:18.439</t>
  </si>
  <si>
    <t>2025-09-04 15:23:18.440</t>
  </si>
  <si>
    <t>2025-09-04 15:23:18.441</t>
  </si>
  <si>
    <t>2025-09-04 15:23:18.442</t>
  </si>
  <si>
    <t>2025-09-04 15:23:18.443</t>
  </si>
  <si>
    <t>2025-09-04 15:23:18.444</t>
  </si>
  <si>
    <t>2025-09-04 15:23:18.445</t>
  </si>
  <si>
    <t>2025-09-04 15:23:18.446</t>
  </si>
  <si>
    <t>2025-09-04 15:23:18.447</t>
  </si>
  <si>
    <t>2025-09-04 15:23:18.448</t>
  </si>
  <si>
    <t>2025-09-04 15:23:18.449</t>
  </si>
  <si>
    <t>2025-09-04 15:23:18.450</t>
  </si>
  <si>
    <t>2025-09-04 15:23:18.451</t>
  </si>
  <si>
    <t>2025-09-04 15:23:18.452</t>
  </si>
  <si>
    <t>2025-09-04 15:23:18.453</t>
  </si>
  <si>
    <t>2025-09-04 15:23:18.454</t>
  </si>
  <si>
    <t>2025-09-04 15:23:18.455</t>
  </si>
  <si>
    <t>2025-09-04 15:23:18.456</t>
  </si>
  <si>
    <t>2025-09-04 15:23:18.457</t>
  </si>
  <si>
    <t>2025-09-04 15:23:18.458</t>
  </si>
  <si>
    <t>2025-09-04 15:23:18.459</t>
  </si>
  <si>
    <t>2025-09-04 15:23:18.460</t>
  </si>
  <si>
    <t>2025-09-04 15:23:18.461</t>
  </si>
  <si>
    <t>2025-09-04 15:23:18.462</t>
  </si>
  <si>
    <t>2025-09-04 15:23:18.463</t>
  </si>
  <si>
    <t>2025-09-04 15:23:18.464</t>
  </si>
  <si>
    <t>2025-09-04 15:23:18.465</t>
  </si>
  <si>
    <t>2025-09-04 15:23:18.466</t>
  </si>
  <si>
    <t>2025-09-04 15:23:18.467</t>
  </si>
  <si>
    <t>2025-09-04 15:23:18.468</t>
  </si>
  <si>
    <t>2025-09-04 15:23:18.469</t>
  </si>
  <si>
    <t>2025-09-04 15:23:18.470</t>
  </si>
  <si>
    <t>2025-09-04 15:23:18.471</t>
  </si>
  <si>
    <t>2025-09-04 15:23:18.472</t>
  </si>
  <si>
    <t>2025-09-04 15:23:18.473</t>
  </si>
  <si>
    <t>2025-09-04 15:23:18.474</t>
  </si>
  <si>
    <t>2025-09-04 15:23:18.475</t>
  </si>
  <si>
    <t>2025-09-04 15:23:18.476</t>
  </si>
  <si>
    <t>2025-09-04 15:23:18.477</t>
  </si>
  <si>
    <t>2025-09-04 15:23:18.478</t>
  </si>
  <si>
    <t>2025-09-04 15:23:18.479</t>
  </si>
  <si>
    <t>2025-09-04 15:23:18.480</t>
  </si>
  <si>
    <t>2025-09-04 15:23:18.481</t>
  </si>
  <si>
    <t>2025-09-04 15:23:18.482</t>
  </si>
  <si>
    <t>2025-09-04 15:23:18.483</t>
  </si>
  <si>
    <t>2025-09-04 15:23:18.484</t>
  </si>
  <si>
    <t>2025-09-04 15:23:18.485</t>
  </si>
  <si>
    <t>2025-09-04 15:23:18.486</t>
  </si>
  <si>
    <t>2025-09-04 15:23:18.487</t>
  </si>
  <si>
    <t>2025-09-04 15:23:18.488</t>
  </si>
  <si>
    <t>2025-09-04 15:23:18.489</t>
  </si>
  <si>
    <t>2025-09-04 15:23:18.490</t>
  </si>
  <si>
    <t>2025-09-04 15:23:18.491</t>
  </si>
  <si>
    <t>2025-09-04 15:23:18.492</t>
  </si>
  <si>
    <t>2025-09-04 15:23:18.493</t>
  </si>
  <si>
    <t>2025-09-04 15:23:18.494</t>
  </si>
  <si>
    <t>2025-09-04 15:23:18.495</t>
  </si>
  <si>
    <t>2025-09-04 15:23:18.496</t>
  </si>
  <si>
    <t>2025-09-04 15:23:18.497</t>
  </si>
  <si>
    <t>2025-09-04 15:23:18.498</t>
  </si>
  <si>
    <t>2025-09-04 15:23:18.499</t>
  </si>
  <si>
    <t>2025-09-04 15:23:18.500</t>
  </si>
  <si>
    <t>2025-09-04 15:23:18.501</t>
  </si>
  <si>
    <t>2025-09-04 15:23:18.502</t>
  </si>
  <si>
    <t>2025-09-04 15:23:18.503</t>
  </si>
  <si>
    <t>2025-09-04 15:23:18.504</t>
  </si>
  <si>
    <t>2025-09-04 15:23:18.505</t>
  </si>
  <si>
    <t>2025-09-04 15:23:18.506</t>
  </si>
  <si>
    <t>2025-09-04 15:23:18.507</t>
  </si>
  <si>
    <t>2025-09-04 15:23:18.508</t>
  </si>
  <si>
    <t>2025-09-04 15:23:18.509</t>
  </si>
  <si>
    <t>2025-09-04 15:23:18.510</t>
  </si>
  <si>
    <t>2025-09-04 15:23:18.511</t>
  </si>
  <si>
    <t>2025-09-04 15:23:18.512</t>
  </si>
  <si>
    <t>2025-09-04 15:23:18.513</t>
  </si>
  <si>
    <t>2025-09-04 15:23:18.514</t>
  </si>
  <si>
    <t>2025-09-04 15:23:18.515</t>
  </si>
  <si>
    <t>2025-09-04 15:23:18.516</t>
  </si>
  <si>
    <t>2025-09-04 15:23:18.517</t>
  </si>
  <si>
    <t>2025-09-04 15:23:18.518</t>
  </si>
  <si>
    <t>2025-09-04 15:23:18.519</t>
  </si>
  <si>
    <t>2025-09-04 15:23:18.520</t>
  </si>
  <si>
    <t>2025-09-04 15:23:18.521</t>
  </si>
  <si>
    <t>2025-09-04 15:23:18.522</t>
  </si>
  <si>
    <t>2025-09-04 15:23:18.523</t>
  </si>
  <si>
    <t>2025-09-04 15:23:18.524</t>
  </si>
  <si>
    <t>2025-09-04 15:23:18.525</t>
  </si>
  <si>
    <t>2025-09-04 15:23:18.526</t>
  </si>
  <si>
    <t>2025-09-04 15:23:18.527</t>
  </si>
  <si>
    <t>2025-09-04 15:23:18.528</t>
  </si>
  <si>
    <t>2025-09-04 15:23:18.529</t>
  </si>
  <si>
    <t>2025-09-04 15:23:18.530</t>
  </si>
  <si>
    <t>2025-09-04 15:23:18.531</t>
  </si>
  <si>
    <t>2025-09-04 15:23:18.532</t>
  </si>
  <si>
    <t>2025-09-04 15:23:18.533</t>
  </si>
  <si>
    <t>2025-09-04 15:23:18.534</t>
  </si>
  <si>
    <t>2025-09-04 15:23:18.535</t>
  </si>
  <si>
    <t>2025-09-04 15:23:18.536</t>
  </si>
  <si>
    <t>2025-09-04 15:23:18.537</t>
  </si>
  <si>
    <t>2025-09-04 15:23:18.538</t>
  </si>
  <si>
    <t>2025-09-04 15:23:18.539</t>
  </si>
  <si>
    <t>2025-09-04 15:23:18.540</t>
  </si>
  <si>
    <t>2025-09-04 15:23:18.541</t>
  </si>
  <si>
    <t>2025-09-04 15:23:18.542</t>
  </si>
  <si>
    <t>2025-09-04 15:23:18.543</t>
  </si>
  <si>
    <t>2025-09-04 15:23:18.544</t>
  </si>
  <si>
    <t>2025-09-04 15:23:18.545</t>
  </si>
  <si>
    <t>2025-09-04 15:23:18.546</t>
  </si>
  <si>
    <t>2025-09-04 15:23:18.547</t>
  </si>
  <si>
    <t>2025-09-04 15:23:18.548</t>
  </si>
  <si>
    <t>2025-09-04 15:23:18.549</t>
  </si>
  <si>
    <t>2025-09-04 15:23:18.550</t>
  </si>
  <si>
    <t>2025-09-04 15:23:18.551</t>
  </si>
  <si>
    <t>2025-09-04 15:23:18.552</t>
  </si>
  <si>
    <t>2025-09-04 15:23:18.553</t>
  </si>
  <si>
    <t>2025-09-04 15:23:18.554</t>
  </si>
  <si>
    <t>2025-09-04 15:23:18.555</t>
  </si>
  <si>
    <t>2025-09-04 15:23:18.556</t>
  </si>
  <si>
    <t>2025-09-04 15:23:18.557</t>
  </si>
  <si>
    <t>2025-09-04 15:23:18.558</t>
  </si>
  <si>
    <t>2025-09-04 15:23:18.559</t>
  </si>
  <si>
    <t>2025-09-04 15:23:18.560</t>
  </si>
  <si>
    <t>2025-09-04 15:23:18.561</t>
  </si>
  <si>
    <t>2025-09-04 15:23:18.562</t>
  </si>
  <si>
    <t>2025-09-04 15:23:18.563</t>
  </si>
  <si>
    <t>2025-09-04 15:23:18.564</t>
  </si>
  <si>
    <t>2025-09-04 15:23:18.565</t>
  </si>
  <si>
    <t>2025-09-04 15:23:18.566</t>
  </si>
  <si>
    <t>2025-09-04 15:23:18.567</t>
  </si>
  <si>
    <t>2025-09-04 15:23:18.568</t>
  </si>
  <si>
    <t>2025-09-04 15:23:18.569</t>
  </si>
  <si>
    <t>2025-09-04 15:23:18.570</t>
  </si>
  <si>
    <t>2025-09-04 15:23:18.571</t>
  </si>
  <si>
    <t>2025-09-04 15:23:18.572</t>
  </si>
  <si>
    <t>2025-09-04 15:23:18.573</t>
  </si>
  <si>
    <t>2025-09-04 15:23:18.574</t>
  </si>
  <si>
    <t>2025-09-04 15:23:18.575</t>
  </si>
  <si>
    <t>2025-09-04 15:23:18.576</t>
  </si>
  <si>
    <t>2025-09-04 15:23:18.577</t>
  </si>
  <si>
    <t>2025-09-04 15:23:18.578</t>
  </si>
  <si>
    <t>2025-09-04 15:23:18.579</t>
  </si>
  <si>
    <t>2025-09-04 15:23:18.580</t>
  </si>
  <si>
    <t>2025-09-04 15:23:18.581</t>
  </si>
  <si>
    <t>2025-09-04 15:23:18.582</t>
  </si>
  <si>
    <t>2025-09-04 15:23:18.583</t>
  </si>
  <si>
    <t>2025-09-04 15:23:18.584</t>
  </si>
  <si>
    <t>2025-09-04 15:23:18.585</t>
  </si>
  <si>
    <t>2025-09-04 15:23:18.586</t>
  </si>
  <si>
    <t>2025-09-04 15:23:18.587</t>
  </si>
  <si>
    <t>2025-09-04 15:23:18.588</t>
  </si>
  <si>
    <t>2025-09-04 15:23:18.589</t>
  </si>
  <si>
    <t>2025-09-04 15:23:18.590</t>
  </si>
  <si>
    <t>2025-09-04 15:23:18.591</t>
  </si>
  <si>
    <t>2025-09-04 15:23:18.592</t>
  </si>
  <si>
    <t>2025-09-04 15:23:18.593</t>
  </si>
  <si>
    <t>2025-09-04 15:23:18.594</t>
  </si>
  <si>
    <t>2025-09-04 15:23:18.595</t>
  </si>
  <si>
    <t>2025-09-04 15:23:18.596</t>
  </si>
  <si>
    <t>2025-09-04 15:23:18.597</t>
  </si>
  <si>
    <t>2025-09-04 15:23:18.598</t>
  </si>
  <si>
    <t>2025-09-04 15:23:18.599</t>
  </si>
  <si>
    <t>2025-09-04 15:23:18.600</t>
  </si>
  <si>
    <t>2025-09-04 15:23:18.601</t>
  </si>
  <si>
    <t>2025-09-04 15:23:18.602</t>
  </si>
  <si>
    <t>2025-09-04 15:23:18.603</t>
  </si>
  <si>
    <t>2025-09-04 15:23:18.604</t>
  </si>
  <si>
    <t>2025-09-04 15:23:18.605</t>
  </si>
  <si>
    <t>2025-09-04 15:23:18.606</t>
  </si>
  <si>
    <t>2025-09-04 15:23:18.607</t>
  </si>
  <si>
    <t>2025-09-04 15:23:18.608</t>
  </si>
  <si>
    <t>2025-09-04 15:23:18.609</t>
  </si>
  <si>
    <t>2025-09-04 15:23:18.610</t>
  </si>
  <si>
    <t>2025-09-04 15:23:18.611</t>
  </si>
  <si>
    <t>2025-09-04 15:23:18.612</t>
  </si>
  <si>
    <t>2025-09-04 15:23:18.613</t>
  </si>
  <si>
    <t>2025-09-04 15:23:18.614</t>
  </si>
  <si>
    <t>2025-09-04 15:23:18.615</t>
  </si>
  <si>
    <t>2025-09-04 15:23:18.616</t>
  </si>
  <si>
    <t>2025-09-04 15:23:18.617</t>
  </si>
  <si>
    <t>2025-09-04 15:23:18.618</t>
  </si>
  <si>
    <t>2025-09-04 15:23:18.619</t>
  </si>
  <si>
    <t>2025-09-04 15:23:18.620</t>
  </si>
  <si>
    <t>2025-09-04 15:23:18.621</t>
  </si>
  <si>
    <t>2025-09-04 15:23:18.622</t>
  </si>
  <si>
    <t>2025-09-04 15:23:18.623</t>
  </si>
  <si>
    <t>2025-09-04 15:23:18.624</t>
  </si>
  <si>
    <t>2025-09-04 15:23:18.625</t>
  </si>
  <si>
    <t>2025-09-04 15:23:18.626</t>
  </si>
  <si>
    <t>2025-09-04 15:23:18.627</t>
  </si>
  <si>
    <t>2025-09-04 15:23:18.628</t>
  </si>
  <si>
    <t>2025-09-04 15:23:18.629</t>
  </si>
  <si>
    <t>2025-09-04 15:23:18.630</t>
  </si>
  <si>
    <t>2025-09-04 15:23:18.631</t>
  </si>
  <si>
    <t>2025-09-04 15:23:18.632</t>
  </si>
  <si>
    <t>2025-09-04 15:23:18.633</t>
  </si>
  <si>
    <t>2025-09-04 15:23:18.634</t>
  </si>
  <si>
    <t>2025-09-04 15:23:18.635</t>
  </si>
  <si>
    <t>2025-09-04 15:23:18.636</t>
  </si>
  <si>
    <t>2025-09-04 15:23:18.637</t>
  </si>
  <si>
    <t>2025-09-04 15:23:18.638</t>
  </si>
  <si>
    <t>2025-09-04 15:23:18.639</t>
  </si>
  <si>
    <t>2025-09-04 15:23:18.640</t>
  </si>
  <si>
    <t>2025-09-04 15:23:18.641</t>
  </si>
  <si>
    <t>2025-09-04 15:23:18.642</t>
  </si>
  <si>
    <t>2025-09-04 15:23:18.643</t>
  </si>
  <si>
    <t>2025-09-04 15:23:18.644</t>
  </si>
  <si>
    <t>2025-09-04 15:23:18.645</t>
  </si>
  <si>
    <t>2025-09-04 15:23:18.646</t>
  </si>
  <si>
    <t>2025-09-04 15:23:18.647</t>
  </si>
  <si>
    <t>2025-09-04 15:23:18.648</t>
  </si>
  <si>
    <t>2025-09-04 15:23:18.649</t>
  </si>
  <si>
    <t>2025-09-04 15:23:18.650</t>
  </si>
  <si>
    <t>2025-09-04 15:23:18.651</t>
  </si>
  <si>
    <t>2025-09-04 15:23:18.652</t>
  </si>
  <si>
    <t>2025-09-04 15:23:18.653</t>
  </si>
  <si>
    <t>2025-09-04 15:23:18.654</t>
  </si>
  <si>
    <t>2025-09-04 15:23:18.655</t>
  </si>
  <si>
    <t>2025-09-04 15:23:18.656</t>
  </si>
  <si>
    <t>2025-09-04 15:23:18.657</t>
  </si>
  <si>
    <t>2025-09-04 15:23:18.658</t>
  </si>
  <si>
    <t>2025-09-04 15:23:18.659</t>
  </si>
  <si>
    <t>2025-09-04 15:23:18.660</t>
  </si>
  <si>
    <t>2025-09-04 15:23:18.661</t>
  </si>
  <si>
    <t>2025-09-04 15:23:18.662</t>
  </si>
  <si>
    <t>2025-09-04 15:23:18.663</t>
  </si>
  <si>
    <t>2025-09-04 15:23:18.664</t>
  </si>
  <si>
    <t>2025-09-04 15:23:18.665</t>
  </si>
  <si>
    <t>2025-09-04 15:23:18.666</t>
  </si>
  <si>
    <t>2025-09-04 15:23:18.667</t>
  </si>
  <si>
    <t>2025-09-04 15:23:18.668</t>
  </si>
  <si>
    <t>2025-09-04 15:23:18.669</t>
  </si>
  <si>
    <t>2025-09-04 15:23:18.670</t>
  </si>
  <si>
    <t>2025-09-04 15:23:18.671</t>
  </si>
  <si>
    <t>2025-09-04 15:23:18.672</t>
  </si>
  <si>
    <t>2025-09-04 15:23:18.673</t>
  </si>
  <si>
    <t>2025-09-04 15:23:18.674</t>
  </si>
  <si>
    <t>2025-09-04 15:23:18.675</t>
  </si>
  <si>
    <t>2025-09-04 15:23:18.676</t>
  </si>
  <si>
    <t>2025-09-04 15:23:18.677</t>
  </si>
  <si>
    <t>2025-09-04 15:23:18.678</t>
  </si>
  <si>
    <t>2025-09-04 15:23:18.679</t>
  </si>
  <si>
    <t>2025-09-04 15:23:18.680</t>
  </si>
  <si>
    <t>2025-09-04 15:23:18.681</t>
  </si>
  <si>
    <t>2025-09-04 15:23:18.682</t>
  </si>
  <si>
    <t>2025-09-04 15:23:18.683</t>
  </si>
  <si>
    <t>2025-09-04 15:23:18.684</t>
  </si>
  <si>
    <t>2025-09-04 15:23:18.685</t>
  </si>
  <si>
    <t>2025-09-04 15:23:18.686</t>
  </si>
  <si>
    <t>2025-09-04 15:23:18.687</t>
  </si>
  <si>
    <t>2025-09-04 15:23:18.688</t>
  </si>
  <si>
    <t>2025-09-04 15:23:18.689</t>
  </si>
  <si>
    <t>2025-09-04 15:23:18.690</t>
  </si>
  <si>
    <t>2025-09-04 15:23:18.691</t>
  </si>
  <si>
    <t>2025-09-04 15:23:18.692</t>
  </si>
  <si>
    <t>2025-09-04 15:23:18.693</t>
  </si>
  <si>
    <t>2025-09-04 15:23:18.694</t>
  </si>
  <si>
    <t>2025-09-04 15:23:18.695</t>
  </si>
  <si>
    <t>2025-09-04 15:23:18.696</t>
  </si>
  <si>
    <t>2025-09-04 15:23:18.697</t>
  </si>
  <si>
    <t>2025-09-04 15:23:18.698</t>
  </si>
  <si>
    <t>2025-09-04 15:23:18.699</t>
  </si>
  <si>
    <t>2025-09-04 15:23:18.700</t>
  </si>
  <si>
    <t>2025-09-04 15:23:18.701</t>
  </si>
  <si>
    <t>2025-09-04 15:23:18.702</t>
  </si>
  <si>
    <t>2025-09-04 15:23:18.703</t>
  </si>
  <si>
    <t>2025-09-04 15:23:18.704</t>
  </si>
  <si>
    <t>2025-09-04 15:23:18.705</t>
  </si>
  <si>
    <t>2025-09-04 15:23:18.706</t>
  </si>
  <si>
    <t>2025-09-04 15:23:18.707</t>
  </si>
  <si>
    <t>2025-09-04 15:23:18.708</t>
  </si>
  <si>
    <t>2025-09-04 15:23:18.709</t>
  </si>
  <si>
    <t>2025-09-04 15:23:18.710</t>
  </si>
  <si>
    <t>2025-09-04 15:23:18.711</t>
  </si>
  <si>
    <t>2025-09-04 15:23:18.712</t>
  </si>
  <si>
    <t>2025-09-04 15:23:18.713</t>
  </si>
  <si>
    <t>2025-09-04 15:23:18.714</t>
  </si>
  <si>
    <t>2025-09-04 15:23:18.715</t>
  </si>
  <si>
    <t>2025-09-04 15:23:18.716</t>
  </si>
  <si>
    <t>2025-09-04 15:23:18.717</t>
  </si>
  <si>
    <t>2025-09-04 15:23:18.718</t>
  </si>
  <si>
    <t>2025-09-04 15:23:18.719</t>
  </si>
  <si>
    <t>2025-09-04 15:23:18.720</t>
  </si>
  <si>
    <t>2025-09-04 15:23:18.721</t>
  </si>
  <si>
    <t>2025-09-04 15:23:18.722</t>
  </si>
  <si>
    <t>2025-09-04 15:23:18.723</t>
  </si>
  <si>
    <t>2025-09-04 15:23:18.724</t>
  </si>
  <si>
    <t>2025-09-04 15:23:18.725</t>
  </si>
  <si>
    <t>2025-09-04 15:23:18.726</t>
  </si>
  <si>
    <t>2025-09-04 15:23:18.727</t>
  </si>
  <si>
    <t>2025-09-04 15:23:18.728</t>
  </si>
  <si>
    <t>2025-09-04 15:23:18.729</t>
  </si>
  <si>
    <t>2025-09-04 15:23:18.730</t>
  </si>
  <si>
    <t>2025-09-04 15:23:18.731</t>
  </si>
  <si>
    <t>2025-09-04 15:23:18.732</t>
  </si>
  <si>
    <t>2025-09-04 15:23:18.733</t>
  </si>
  <si>
    <t>2025-09-04 15:23:18.734</t>
  </si>
  <si>
    <t>2025-09-04 15:23:18.735</t>
  </si>
  <si>
    <t>2025-09-04 15:23:18.736</t>
  </si>
  <si>
    <t>2025-09-04 15:23:18.737</t>
  </si>
  <si>
    <t>2025-09-04 15:23:18.738</t>
  </si>
  <si>
    <t>2025-09-04 15:23:18.739</t>
  </si>
  <si>
    <t>2025-09-04 15:23:18.740</t>
  </si>
  <si>
    <t>2025-09-04 15:23:18.741</t>
  </si>
  <si>
    <t>2025-09-04 15:23:18.742</t>
  </si>
  <si>
    <t>2025-09-04 15:23:18.743</t>
  </si>
  <si>
    <t>2025-09-04 15:23:18.744</t>
  </si>
  <si>
    <t>2025-09-04 15:23:18.745</t>
  </si>
  <si>
    <t>2025-09-04 15:23:18.746</t>
  </si>
  <si>
    <t>2025-09-04 15:23:18.747</t>
  </si>
  <si>
    <t>2025-09-04 15:23:18.748</t>
  </si>
  <si>
    <t>2025-09-04 15:23:18.749</t>
  </si>
  <si>
    <t>2025-09-04 15:23:18.750</t>
  </si>
  <si>
    <t>2025-09-04 15:23:18.751</t>
  </si>
  <si>
    <t>2025-09-04 15:23:18.752</t>
  </si>
  <si>
    <t>2025-09-04 15:23:18.753</t>
  </si>
  <si>
    <t>2025-09-04 15:23:18.754</t>
  </si>
  <si>
    <t>2025-09-04 15:23:18.755</t>
  </si>
  <si>
    <t>2025-09-04 15:23:18.756</t>
  </si>
  <si>
    <t>2025-09-04 15:23:18.757</t>
  </si>
  <si>
    <t>2025-09-04 15:23:18.758</t>
  </si>
  <si>
    <t>2025-09-04 15:23:18.759</t>
  </si>
  <si>
    <t>2025-09-04 15:23:18.760</t>
  </si>
  <si>
    <t>2025-09-04 15:23:18.761</t>
  </si>
  <si>
    <t>2025-09-04 15:23:18.762</t>
  </si>
  <si>
    <t>2025-09-04 15:23:18.763</t>
  </si>
  <si>
    <t>2025-09-04 15:23:18.764</t>
  </si>
  <si>
    <t>2025-09-04 15:23:18.765</t>
  </si>
  <si>
    <t>2025-09-04 15:23:18.766</t>
  </si>
  <si>
    <t>2025-09-04 15:23:18.767</t>
  </si>
  <si>
    <t>2025-09-04 15:23:18.768</t>
  </si>
  <si>
    <t>2025-09-04 15:23:18.769</t>
  </si>
  <si>
    <t>2025-09-04 15:23:18.770</t>
  </si>
  <si>
    <t>2025-09-04 15:23:18.771</t>
  </si>
  <si>
    <t>2025-09-04 15:23:18.772</t>
  </si>
  <si>
    <t>2025-09-04 15:23:18.773</t>
  </si>
  <si>
    <t>2025-09-04 15:23:18.774</t>
  </si>
  <si>
    <t>2025-09-04 15:23:18.775</t>
  </si>
  <si>
    <t>2025-09-04 15:23:18.776</t>
  </si>
  <si>
    <t>2025-09-04 15:23:18.777</t>
  </si>
  <si>
    <t>2025-09-04 15:23:18.778</t>
  </si>
  <si>
    <t>2025-09-04 15:23:18.779</t>
  </si>
  <si>
    <t>2025-09-04 15:23:18.780</t>
  </si>
  <si>
    <t>2025-09-04 15:23:18.781</t>
  </si>
  <si>
    <t>2025-09-04 15:23:18.782</t>
  </si>
  <si>
    <t>2025-09-04 15:23:18.783</t>
  </si>
  <si>
    <t>2025-09-04 15:23:18.784</t>
  </si>
  <si>
    <t>2025-09-04 15:23:18.785</t>
  </si>
  <si>
    <t>2025-09-04 15:23:18.786</t>
  </si>
  <si>
    <t>2025-09-04 15:23:18.787</t>
  </si>
  <si>
    <t>2025-09-04 15:23:18.788</t>
  </si>
  <si>
    <t>2025-09-04 15:23:18.789</t>
  </si>
  <si>
    <t>2025-09-04 15:23:18.790</t>
  </si>
  <si>
    <t>2025-09-04 15:23:18.791</t>
  </si>
  <si>
    <t>2025-09-04 15:23:18.792</t>
  </si>
  <si>
    <t>2025-09-04 15:23:18.793</t>
  </si>
  <si>
    <t>2025-09-04 15:23:18.794</t>
  </si>
  <si>
    <t>2025-09-04 15:23:18.795</t>
  </si>
  <si>
    <t>2025-09-04 15:23:18.796</t>
  </si>
  <si>
    <t>2025-09-04 15:23:18.797</t>
  </si>
  <si>
    <t>2025-09-04 15:23:18.798</t>
  </si>
  <si>
    <t>2025-09-04 15:23:18.799</t>
  </si>
  <si>
    <t>2025-09-04 15:23:18.800</t>
  </si>
  <si>
    <t>2025-09-04 15:23:18.801</t>
  </si>
  <si>
    <t>2025-09-04 15:23:18.802</t>
  </si>
  <si>
    <t>2025-09-04 15:23:18.803</t>
  </si>
  <si>
    <t>2025-09-04 15:23:18.804</t>
  </si>
  <si>
    <t>2025-09-04 15:23:18.805</t>
  </si>
  <si>
    <t>2025-09-04 15:23:18.806</t>
  </si>
  <si>
    <t>2025-09-04 15:23:18.807</t>
  </si>
  <si>
    <t>2025-09-04 15:23:18.808</t>
  </si>
  <si>
    <t>2025-09-04 15:23:18.809</t>
  </si>
  <si>
    <t>2025-09-04 15:23:18.810</t>
  </si>
  <si>
    <t>2025-09-04 15:23:18.811</t>
  </si>
  <si>
    <t>2025-09-04 15:23:18.812</t>
  </si>
  <si>
    <t>2025-09-04 15:23:18.813</t>
  </si>
  <si>
    <t>2025-09-04 15:23:18.814</t>
  </si>
  <si>
    <t>2025-09-04 15:23:18.815</t>
  </si>
  <si>
    <t>2025-09-04 15:23:18.816</t>
  </si>
  <si>
    <t>2025-09-04 15:23:18.817</t>
  </si>
  <si>
    <t>2025-09-04 15:23:18.818</t>
  </si>
  <si>
    <t>2025-09-04 15:23:18.819</t>
  </si>
  <si>
    <t>2025-09-04 15:23:18.820</t>
  </si>
  <si>
    <t>2025-09-04 15:23:18.821</t>
  </si>
  <si>
    <t>2025-09-04 15:23:18.822</t>
  </si>
  <si>
    <t>2025-09-04 15:23:18.823</t>
  </si>
  <si>
    <t>2025-09-04 15:23:18.824</t>
  </si>
  <si>
    <t>2025-09-04 15:23:18.825</t>
  </si>
  <si>
    <t>2025-09-04 15:23:18.826</t>
  </si>
  <si>
    <t>2025-09-04 15:23:18.827</t>
  </si>
  <si>
    <t>2025-09-04 15:23:18.828</t>
  </si>
  <si>
    <t>2025-09-04 15:23:18.829</t>
  </si>
  <si>
    <t>2025-09-04 15:23:18.830</t>
  </si>
  <si>
    <t>2025-09-04 15:23:18.831</t>
  </si>
  <si>
    <t>2025-09-04 15:23:18.832</t>
  </si>
  <si>
    <t>2025-09-04 15:23:18.833</t>
  </si>
  <si>
    <t>2025-09-04 15:23:18.834</t>
  </si>
  <si>
    <t>2025-09-04 15:23:18.835</t>
  </si>
  <si>
    <t>2025-09-04 15:23:18.836</t>
  </si>
  <si>
    <t>2025-09-04 15:23:18.837</t>
  </si>
  <si>
    <t>2025-09-04 15:23:18.838</t>
  </si>
  <si>
    <t>2025-09-04 15:23:18.839</t>
  </si>
  <si>
    <t>2025-09-04 15:23:18.840</t>
  </si>
  <si>
    <t>2025-09-04 15:23:18.841</t>
  </si>
  <si>
    <t>2025-09-04 15:23:18.842</t>
  </si>
  <si>
    <t>2025-09-04 15:23:18.843</t>
  </si>
  <si>
    <t>2025-09-04 15:23:18.844</t>
  </si>
  <si>
    <t>2025-09-04 15:23:18.845</t>
  </si>
  <si>
    <t>2025-09-04 15:23:18.846</t>
  </si>
  <si>
    <t>2025-09-04 15:23:18.847</t>
  </si>
  <si>
    <t>2025-09-04 15:23:18.848</t>
  </si>
  <si>
    <t>2025-09-04 15:23:18.849</t>
  </si>
  <si>
    <t>2025-09-04 15:23:18.850</t>
  </si>
  <si>
    <t>2025-09-04 15:23:18.851</t>
  </si>
  <si>
    <t>2025-09-04 15:23:18.852</t>
  </si>
  <si>
    <t>2025-09-04 15:23:18.853</t>
  </si>
  <si>
    <t>2025-09-04 15:23:18.854</t>
  </si>
  <si>
    <t>2025-09-04 15:23:18.855</t>
  </si>
  <si>
    <t>2025-09-04 15:23:18.856</t>
  </si>
  <si>
    <t>2025-09-04 15:23:18.857</t>
  </si>
  <si>
    <t>2025-09-04 15:23:18.858</t>
  </si>
  <si>
    <t>2025-09-04 15:23:18.859</t>
  </si>
  <si>
    <t>2025-09-04 15:23:18.860</t>
  </si>
  <si>
    <t>2025-09-04 15:23:18.861</t>
  </si>
  <si>
    <t>2025-09-04 15:23:18.862</t>
  </si>
  <si>
    <t>2025-09-04 15:23:18.863</t>
  </si>
  <si>
    <t>2025-09-04 15:23:18.864</t>
  </si>
  <si>
    <t>2025-09-04 15:23:18.865</t>
  </si>
  <si>
    <t>2025-09-04 15:23:18.866</t>
  </si>
  <si>
    <t>2025-09-04 15:23:18.867</t>
  </si>
  <si>
    <t>2025-09-04 15:23:18.868</t>
  </si>
  <si>
    <t>2025-09-04 15:23:18.869</t>
  </si>
  <si>
    <t>2025-09-04 15:23:18.870</t>
  </si>
  <si>
    <t>2025-09-04 15:23:18.871</t>
  </si>
  <si>
    <t>2025-09-04 15:23:18.872</t>
  </si>
  <si>
    <t>2025-09-04 15:23:18.873</t>
  </si>
  <si>
    <t>2025-09-04 15:23:18.874</t>
  </si>
  <si>
    <t>2025-09-04 15:23:18.875</t>
  </si>
  <si>
    <t>2025-09-04 15:23:18.876</t>
  </si>
  <si>
    <t>2025-09-04 15:23:18.877</t>
  </si>
  <si>
    <t>2025-09-04 15:23:18.878</t>
  </si>
  <si>
    <t>2025-09-04 15:23:18.879</t>
  </si>
  <si>
    <t>2025-09-04 15:23:18.880</t>
  </si>
  <si>
    <t>2025-09-04 15:23:18.881</t>
  </si>
  <si>
    <t>2025-09-04 15:23:18.882</t>
  </si>
  <si>
    <t>2025-09-04 15:23:18.883</t>
  </si>
  <si>
    <t>2025-09-04 15:23:18.884</t>
  </si>
  <si>
    <t>2025-09-04 15:23:18.885</t>
  </si>
  <si>
    <t>2025-09-04 15:23:18.886</t>
  </si>
  <si>
    <t>2025-09-04 15:23:18.887</t>
  </si>
  <si>
    <t>2025-09-04 15:23:18.888</t>
  </si>
  <si>
    <t>2025-09-04 15:23:18.889</t>
  </si>
  <si>
    <t>2025-09-04 15:23:18.890</t>
  </si>
  <si>
    <t>2025-09-04 15:23:18.891</t>
  </si>
  <si>
    <t>2025-09-04 15:23:18.892</t>
  </si>
  <si>
    <t>2025-09-04 15:23:18.893</t>
  </si>
  <si>
    <t>2025-09-04 15:23:18.894</t>
  </si>
  <si>
    <t>2025-09-04 15:23:18.895</t>
  </si>
  <si>
    <t>2025-09-04 15:23:18.896</t>
  </si>
  <si>
    <t>2025-09-04 15:23:18.897</t>
  </si>
  <si>
    <t>2025-09-04 15:23:18.898</t>
  </si>
  <si>
    <t>2025-09-04 15:23:18.899</t>
  </si>
  <si>
    <t>2025-09-04 15:23:18.900</t>
  </si>
  <si>
    <t>2025-09-04 15:23:18.901</t>
  </si>
  <si>
    <t>2025-09-04 15:23:18.902</t>
  </si>
  <si>
    <t>2025-09-04 15:23:18.903</t>
  </si>
  <si>
    <t>2025-09-04 15:23:18.904</t>
  </si>
  <si>
    <t>2025-09-04 15:23:18.905</t>
  </si>
  <si>
    <t>2025-09-04 15:23:18.906</t>
  </si>
  <si>
    <t>2025-09-04 15:23:18.907</t>
  </si>
  <si>
    <t>2025-09-04 15:23:18.908</t>
  </si>
  <si>
    <t>2025-09-04 15:23:18.909</t>
  </si>
  <si>
    <t>2025-09-04 15:23:18.910</t>
  </si>
  <si>
    <t>2025-09-04 15:23:18.911</t>
  </si>
  <si>
    <t>2025-09-04 15:23:18.912</t>
  </si>
  <si>
    <t>2025-09-04 15:23:18.913</t>
  </si>
  <si>
    <t>2025-09-04 15:23:18.914</t>
  </si>
  <si>
    <t>2025-09-04 15:23:18.915</t>
  </si>
  <si>
    <t>2025-09-04 15:23:18.916</t>
  </si>
  <si>
    <t>2025-09-04 15:23:18.917</t>
  </si>
  <si>
    <t>2025-09-04 15:23:18.918</t>
  </si>
  <si>
    <t>2025-09-04 15:23:18.919</t>
  </si>
  <si>
    <t>2025-09-04 15:23:18.920</t>
  </si>
  <si>
    <t>2025-09-04 15:23:18.921</t>
  </si>
  <si>
    <t>2025-09-04 15:23:18.922</t>
  </si>
  <si>
    <t>2025-09-04 15:23:18.923</t>
  </si>
  <si>
    <t>2025-09-04 15:23:18.924</t>
  </si>
  <si>
    <t>2025-09-04 15:23:18.925</t>
  </si>
  <si>
    <t>2025-09-04 15:23:18.926</t>
  </si>
  <si>
    <t>2025-09-04 15:23:18.927</t>
  </si>
  <si>
    <t>2025-09-04 15:23:18.928</t>
  </si>
  <si>
    <t>2025-09-04 15:23:18.929</t>
  </si>
  <si>
    <t>2025-09-04 15:23:18.930</t>
  </si>
  <si>
    <t>2025-09-04 15:23:18.931</t>
  </si>
  <si>
    <t>2025-09-04 15:23:18.932</t>
  </si>
  <si>
    <t>2025-09-04 15:23:18.933</t>
  </si>
  <si>
    <t>2025-09-04 15:23:18.934</t>
  </si>
  <si>
    <t>2025-09-04 15:23:18.935</t>
  </si>
  <si>
    <t>2025-09-04 15:23:18.936</t>
  </si>
  <si>
    <t>2025-09-04 15:23:18.937</t>
  </si>
  <si>
    <t>2025-09-04 15:23:18.938</t>
  </si>
  <si>
    <t>2025-09-04 15:23:18.939</t>
  </si>
  <si>
    <t>2025-09-04 15:23:18.940</t>
  </si>
  <si>
    <t>2025-09-04 15:23:18.941</t>
  </si>
  <si>
    <t>2025-09-04 15:23:18.942</t>
  </si>
  <si>
    <t>2025-09-04 15:23:18.943</t>
  </si>
  <si>
    <t>2025-09-04 15:23:18.944</t>
  </si>
  <si>
    <t>2025-09-04 15:23:18.945</t>
  </si>
  <si>
    <t>2025-09-04 15:23:18.946</t>
  </si>
  <si>
    <t>2025-09-04 15:23:18.947</t>
  </si>
  <si>
    <t>2025-09-04 15:23:18.948</t>
  </si>
  <si>
    <t>2025-09-04 15:23:18.950</t>
  </si>
  <si>
    <t>2025-09-04 15:23:18.951</t>
  </si>
  <si>
    <t>2025-09-04 15:23:18.952</t>
  </si>
  <si>
    <t>2025-09-04 15:23:18.953</t>
  </si>
  <si>
    <t>2025-09-04 15:23:18.954</t>
  </si>
  <si>
    <t>2025-09-04 15:23:18.955</t>
  </si>
  <si>
    <t>2025-09-04 15:23:18.956</t>
  </si>
  <si>
    <t>2025-09-04 15:23:18.957</t>
  </si>
  <si>
    <t>2025-09-04 15:23:18.958</t>
  </si>
  <si>
    <t>2025-09-04 15:23:18.959</t>
  </si>
  <si>
    <t>2025-09-04 15:23:18.960</t>
  </si>
  <si>
    <t>2025-09-04 15:23:18.961</t>
  </si>
  <si>
    <t>2025-09-04 15:23:18.962</t>
  </si>
  <si>
    <t>2025-09-04 15:23:18.963</t>
  </si>
  <si>
    <t>2025-09-04 15:23:18.964</t>
  </si>
  <si>
    <t>2025-09-04 15:23:18.965</t>
  </si>
  <si>
    <t>2025-09-04 15:23:18.966</t>
  </si>
  <si>
    <t>2025-09-04 15:23:18.967</t>
  </si>
  <si>
    <t>2025-09-04 15:23:18.968</t>
  </si>
  <si>
    <t>2025-09-04 15:23:18.969</t>
  </si>
  <si>
    <t>2025-09-04 15:23:18.970</t>
  </si>
  <si>
    <t>2025-09-04 15:23:18.971</t>
  </si>
  <si>
    <t>2025-09-04 15:23:18.972</t>
  </si>
  <si>
    <t>2025-09-04 15:23:18.973</t>
  </si>
  <si>
    <t>2025-09-04 15:23:18.974</t>
  </si>
  <si>
    <t>2025-09-04 15:23:18.975</t>
  </si>
  <si>
    <t>2025-09-04 15:23:18.976</t>
  </si>
  <si>
    <t>2025-09-04 15:23:18.977</t>
  </si>
  <si>
    <t>2025-09-04 15:23:18.978</t>
  </si>
  <si>
    <t>2025-09-04 15:23:18.979</t>
  </si>
  <si>
    <t>2025-09-04 15:23:18.980</t>
  </si>
  <si>
    <t>2025-09-04 15:23:18.981</t>
  </si>
  <si>
    <t>2025-09-04 15:23:18.982</t>
  </si>
  <si>
    <t>2025-09-04 15:23:18.983</t>
  </si>
  <si>
    <t>2025-09-04 15:23:18.984</t>
  </si>
  <si>
    <t>2025-09-04 15:23:18.985</t>
  </si>
  <si>
    <t>2025-09-04 15:23:18.986</t>
  </si>
  <si>
    <t>2025-09-04 15:23:18.987</t>
  </si>
  <si>
    <t>2025-09-04 15:23:18.988</t>
  </si>
  <si>
    <t>2025-09-04 15:23:18.989</t>
  </si>
  <si>
    <t>2025-09-04 15:23:18.990</t>
  </si>
  <si>
    <t>2025-09-04 15:23:18.991</t>
  </si>
  <si>
    <t>2025-09-04 15:23:18.992</t>
  </si>
  <si>
    <t>2025-09-04 15:23:18.993</t>
  </si>
  <si>
    <t>2025-09-04 15:23:18.994</t>
  </si>
  <si>
    <t>2025-09-04 15:23:18.995</t>
  </si>
  <si>
    <t>2025-09-04 15:23:18.996</t>
  </si>
  <si>
    <t>2025-09-04 15:23:18.997</t>
  </si>
  <si>
    <t>2025-09-04 15:23:18.998</t>
  </si>
  <si>
    <t>2025-09-04 15:23:18.999</t>
  </si>
  <si>
    <t>2025-09-04 15:23:18.1000</t>
  </si>
  <si>
    <t>2025-09-04 15:23:18.1001</t>
  </si>
  <si>
    <t>2025-09-04 15:23:18.1002</t>
  </si>
  <si>
    <t>2025-09-04 15:23:18.1003</t>
  </si>
  <si>
    <t>2025-09-04 15:23:18.1004</t>
  </si>
  <si>
    <t>2025-09-04 15:23:18.1005</t>
  </si>
  <si>
    <t>2025-09-04 15:23:18.1006</t>
  </si>
  <si>
    <t>2025-09-04 15:23:18.1007</t>
  </si>
  <si>
    <t>2025-09-04 15:23:18.1008</t>
  </si>
  <si>
    <t>2025-09-04 15:23:18.1009</t>
  </si>
  <si>
    <t>2025-09-04 15:23:18.1010</t>
  </si>
  <si>
    <t>2025-09-04 15:23:18.1011</t>
  </si>
  <si>
    <t>2025-09-04 15:23:18.1012</t>
  </si>
  <si>
    <t>2025-09-04 15:23:18.1013</t>
  </si>
  <si>
    <t>2025-09-04 15:23:18.1014</t>
  </si>
  <si>
    <t>2025-09-04 15:23:18.1015</t>
  </si>
  <si>
    <t>2025-09-04 15:23:18.1016</t>
  </si>
  <si>
    <t>2025-09-04 15:23:18.1017</t>
  </si>
  <si>
    <t>2025-09-04 15:23:18.1018</t>
  </si>
  <si>
    <t>2025-09-04 15:23:18.1019</t>
  </si>
  <si>
    <t>2025-09-04 15:23:18.1020</t>
  </si>
  <si>
    <t>2025-09-04 15:23:18.1021</t>
  </si>
  <si>
    <t>2025-09-04 15:23:18.1022</t>
  </si>
  <si>
    <t>2025-09-04 15:23:18.1023</t>
  </si>
  <si>
    <t>2025-09-04 15:23:18.1024</t>
  </si>
  <si>
    <t>2025-09-04 15:23:18.1025</t>
  </si>
  <si>
    <t>2025-09-04 15:23:18.1026</t>
  </si>
  <si>
    <t>2025-09-04 15:23:18.1027</t>
  </si>
  <si>
    <t>2025-09-04 15:23:18.1028</t>
  </si>
  <si>
    <t>2025-09-04 15:23:18.1029</t>
  </si>
  <si>
    <t>2025-09-04 15:23:18.1030</t>
  </si>
  <si>
    <t>2025-09-04 15:23:18.1031</t>
  </si>
  <si>
    <t>2025-09-04 15:23:18.1032</t>
  </si>
  <si>
    <t>2025-09-04 15:23:18.1033</t>
  </si>
  <si>
    <t>2025-09-04 15:23:18.1034</t>
  </si>
  <si>
    <t>2025-09-04 15:23:18.1035</t>
  </si>
  <si>
    <t>2025-09-04 15:23:18.1036</t>
  </si>
  <si>
    <t>2025-09-04 15:23:18.1037</t>
  </si>
  <si>
    <t>2025-09-04 15:23:18.1038</t>
  </si>
  <si>
    <t>2025-09-04 15:23:18.1039</t>
  </si>
  <si>
    <t>2025-09-04 15:23:18.1040</t>
  </si>
  <si>
    <t>2025-09-04 15:23:18.1041</t>
  </si>
  <si>
    <t>2025-09-04 15:23:18.1042</t>
  </si>
  <si>
    <t>2025-09-04 15:23:18.1043</t>
  </si>
  <si>
    <t>2025-09-04 15:23:18.1044</t>
  </si>
  <si>
    <t>2025-09-04 15:23:18.1045</t>
  </si>
  <si>
    <t>2025-09-04 15:23:18.1046</t>
  </si>
  <si>
    <t>2025-09-04 15:23:18.1047</t>
  </si>
  <si>
    <t>2025-09-04 15:23:18.1048</t>
  </si>
  <si>
    <t>2025-09-04 15:23:18.1049</t>
  </si>
  <si>
    <t>2025-09-04 15:23:18.1050</t>
  </si>
  <si>
    <t>2025-09-04 15:23:18.1051</t>
  </si>
  <si>
    <t>2025-09-04 15:23:18.1052</t>
  </si>
  <si>
    <t>2025-09-04 15:23:18.1053</t>
  </si>
  <si>
    <t>2025-09-04 15:23:18.1054</t>
  </si>
  <si>
    <t>2025-09-04 15:23:18.1055</t>
  </si>
  <si>
    <t>2025-09-04 15:23:18.1056</t>
  </si>
  <si>
    <t>2025-09-04 15:23:18.1057</t>
  </si>
  <si>
    <t>2025-09-04 15:23:18.1058</t>
  </si>
  <si>
    <t>2025-09-04 15:23:18.1059</t>
  </si>
  <si>
    <t>2025-09-04 15:23:18.1060</t>
  </si>
  <si>
    <t>2025-09-04 15:23:18.1061</t>
  </si>
  <si>
    <t>2025-09-04 15:23:18.1062</t>
  </si>
  <si>
    <t>2025-09-04 15:23:18.1063</t>
  </si>
  <si>
    <t>2025-09-04 15:23:18.1064</t>
  </si>
  <si>
    <t>2025-09-04 15:23:18.1065</t>
  </si>
  <si>
    <t>2025-09-04 15:23:18.1066</t>
  </si>
  <si>
    <t>2025-09-04 15:23:18.1067</t>
  </si>
  <si>
    <t>2025-09-04 15:23:18.1068</t>
  </si>
  <si>
    <t>2025-09-04 15:23:18.1069</t>
  </si>
  <si>
    <t>2025-09-04 15:23:18.1070</t>
  </si>
  <si>
    <t>2025-09-04 15:23:18.1071</t>
  </si>
  <si>
    <t>2025-09-04 15:23:18.1072</t>
  </si>
  <si>
    <t>2025-09-04 15:23:18.1073</t>
  </si>
  <si>
    <t>2025-09-04 15:23:18.1074</t>
  </si>
  <si>
    <t>2025-09-04 15:23:18.1075</t>
  </si>
  <si>
    <t>2025-09-04 15:23:18.1076</t>
  </si>
  <si>
    <t>2025-09-04 15:23:18.1077</t>
  </si>
  <si>
    <t>2025-09-04 15:23:18.1078</t>
  </si>
  <si>
    <t>2025-09-04 15:23:18.1079</t>
  </si>
  <si>
    <t>2025-09-04 15:23:18.1080</t>
  </si>
  <si>
    <t>2025-09-04 15:23:18.1081</t>
  </si>
  <si>
    <t>2025-09-04 15:23:18.1082</t>
  </si>
  <si>
    <t>2025-09-04 15:23:18.1083</t>
  </si>
  <si>
    <t>2025-09-04 15:23:18.1084</t>
  </si>
  <si>
    <t>2025-09-04 15:23:18.1085</t>
  </si>
  <si>
    <t>2025-09-04 15:23:18.1086</t>
  </si>
  <si>
    <t>2025-09-04 15:23:18.1087</t>
  </si>
  <si>
    <t>2025-09-04 15:23:18.1088</t>
  </si>
  <si>
    <t>2025-09-04 15:23:18.1089</t>
  </si>
  <si>
    <t>2025-09-04 15:23:18.1090</t>
  </si>
  <si>
    <t>2025-09-04 15:23:18.1091</t>
  </si>
  <si>
    <t>2025-09-04 15:23:18.1092</t>
  </si>
  <si>
    <t>2025-09-04 15:23:18.1093</t>
  </si>
  <si>
    <t>2025-09-04 15:23:18.1094</t>
  </si>
  <si>
    <t>2025-09-04 15:23:18.1095</t>
  </si>
  <si>
    <t>2025-09-04 15:23:18.1096</t>
  </si>
  <si>
    <t>2025-09-04 15:23:18.1097</t>
  </si>
  <si>
    <t>2025-09-04 15:23:18.1098</t>
  </si>
  <si>
    <t>2025-09-04 15:23:18.1099</t>
  </si>
  <si>
    <t>2025-09-04 15:23:18.1100</t>
  </si>
  <si>
    <t>2025-09-04 15:23:18.1101</t>
  </si>
  <si>
    <t>2025-09-04 15:23:18.1102</t>
  </si>
  <si>
    <t>2025-09-04 15:23:18.1103</t>
  </si>
  <si>
    <t>2025-09-04 15:23:18.1104</t>
  </si>
  <si>
    <t>2025-09-04 15:23:18.1105</t>
  </si>
  <si>
    <t>2025-09-04 15:23:18.1106</t>
  </si>
  <si>
    <t>2025-09-04 15:23:18.1107</t>
  </si>
  <si>
    <t>2025-09-04 15:23:18.1108</t>
  </si>
  <si>
    <t>2025-09-04 15:23:18.1109</t>
  </si>
  <si>
    <t>2025-09-04 15:23:18.1110</t>
  </si>
  <si>
    <t>2025-09-04 15:23:18.1111</t>
  </si>
  <si>
    <t>2025-09-04 15:23:18.1112</t>
  </si>
  <si>
    <t>2025-09-04 15:23:18.1113</t>
  </si>
  <si>
    <t>2025-09-04 15:23:18.1114</t>
  </si>
  <si>
    <t>2025-09-04 15:23:18.1115</t>
  </si>
  <si>
    <t>2025-09-04 15:23:18.1116</t>
  </si>
  <si>
    <t>2025-09-04 15:23:18.1117</t>
  </si>
  <si>
    <t>2025-09-04 15:23:18.1118</t>
  </si>
  <si>
    <t>2025-09-04 15:23:18.1119</t>
  </si>
  <si>
    <t>2025-09-04 15:23:18.1120</t>
  </si>
  <si>
    <t>2025-09-04 15:23:18.1121</t>
  </si>
  <si>
    <t>2025-09-04 15:23:18.1122</t>
  </si>
  <si>
    <t>2025-09-04 15:23:18.1123</t>
  </si>
  <si>
    <t>2025-09-04 15:23:18.1124</t>
  </si>
  <si>
    <t>2025-09-04 15:23:18.1125</t>
  </si>
  <si>
    <t>2025-09-04 15:23:18.1126</t>
  </si>
  <si>
    <t>2025-09-04 15:23:18.1127</t>
  </si>
  <si>
    <t>2025-09-04 15:23:18.1128</t>
  </si>
  <si>
    <t>2025-09-04 15:23:18.1129</t>
  </si>
  <si>
    <t>2025-09-04 15:23:18.1130</t>
  </si>
  <si>
    <t>2025-09-04 15:23:18.1131</t>
  </si>
  <si>
    <t>2025-09-04 15:23:18.1132</t>
  </si>
  <si>
    <t>2025-09-04 15:23:18.1133</t>
  </si>
  <si>
    <t>2025-09-04 15:23:18.1134</t>
  </si>
  <si>
    <t>2025-09-04 15:23:18.1135</t>
  </si>
  <si>
    <t>2025-09-04 15:23:18.1136</t>
  </si>
  <si>
    <t>2025-09-04 15:23:18.1137</t>
  </si>
  <si>
    <t>2025-09-04 15:23:18.1138</t>
  </si>
  <si>
    <t>2025-09-04 15:23:18.1139</t>
  </si>
  <si>
    <t>2025-09-04 15:23:18.1140</t>
  </si>
  <si>
    <t>2025-09-04 15:23:18.1141</t>
  </si>
  <si>
    <t>2025-09-04 15:23:18.1142</t>
  </si>
  <si>
    <t>2025-09-04 15:23:18.1143</t>
  </si>
  <si>
    <t>2025-09-04 15:23:18.1144</t>
  </si>
  <si>
    <t>2025-09-04 15:23:18.1145</t>
  </si>
  <si>
    <t>2025-09-04 15:23:18.1146</t>
  </si>
  <si>
    <t>2025-09-04 15:23:18.1147</t>
  </si>
  <si>
    <t>2025-09-04 15:23:18.1148</t>
  </si>
  <si>
    <t>2025-09-04 15:23:18.1149</t>
  </si>
  <si>
    <t>2025-09-04 15:23:18.1150</t>
  </si>
  <si>
    <t>2025-09-04 15:23:18.1151</t>
  </si>
  <si>
    <t>2025-09-04 15:23:18.1152</t>
  </si>
  <si>
    <t>2025-09-04 15:23:18.1153</t>
  </si>
  <si>
    <t>2025-09-04 15:23:18.1154</t>
  </si>
  <si>
    <t>2025-09-04 15:23:18.1155</t>
  </si>
  <si>
    <t>2025-09-04 15:23:18.1156</t>
  </si>
  <si>
    <t>2025-09-04 15:23:18.1157</t>
  </si>
  <si>
    <t>2025-09-04 15:23:18.1158</t>
  </si>
  <si>
    <t>2025-09-04 15:23:18.1159</t>
  </si>
  <si>
    <t>2025-09-04 15:23:18.1160</t>
  </si>
  <si>
    <t>2025-09-04 15:23:18.1161</t>
  </si>
  <si>
    <t>2025-09-04 15:23:18.1162</t>
  </si>
  <si>
    <t>2025-09-04 15:23:18.1163</t>
  </si>
  <si>
    <t>2025-09-04 15:23:18.1164</t>
  </si>
  <si>
    <t>2025-09-04 15:23:18.1165</t>
  </si>
  <si>
    <t>2025-09-04 15:23:18.1166</t>
  </si>
  <si>
    <t>2025-09-04 15:23:18.1167</t>
  </si>
  <si>
    <t>2025-09-04 15:23:18.1168</t>
  </si>
  <si>
    <t>2025-09-04 15:23:18.1169</t>
  </si>
  <si>
    <t>2025-09-04 15:23:18.1170</t>
  </si>
  <si>
    <t>2025-09-04 15:23:18.1171</t>
  </si>
  <si>
    <t>2025-09-04 15:23:18.1172</t>
  </si>
  <si>
    <t>2025-09-04 15:23:18.1173</t>
  </si>
  <si>
    <t>2025-09-04 15:23:18.1174</t>
  </si>
  <si>
    <t>2025-09-04 15:23:18.1175</t>
  </si>
  <si>
    <t>2025-09-04 15:23:18.1176</t>
  </si>
  <si>
    <t>2025-09-04 15:23:18.1177</t>
  </si>
  <si>
    <t>2025-09-04 15:23:18.1178</t>
  </si>
  <si>
    <t>2025-09-04 15:23:18.1179</t>
  </si>
  <si>
    <t>2025-09-04 15:23:18.1180</t>
  </si>
  <si>
    <t>2025-09-04 15:23:18.1181</t>
  </si>
  <si>
    <t>2025-09-04 15:23:18.1182</t>
  </si>
  <si>
    <t>2025-09-04 15:23:18.1183</t>
  </si>
  <si>
    <t>2025-09-04 15:23:18.1184</t>
  </si>
  <si>
    <t>2025-09-04 15:23:18.1185</t>
  </si>
  <si>
    <t>2025-09-04 15:23:18.1186</t>
  </si>
  <si>
    <t>2025-09-04 15:23:18.1187</t>
  </si>
  <si>
    <t>2025-09-04 15:23:18.1188</t>
  </si>
  <si>
    <t>2025-09-04 15:23:18.1189</t>
  </si>
  <si>
    <t>2025-09-04 15:23:18.1190</t>
  </si>
  <si>
    <t>2025-09-04 15:23:18.1191</t>
  </si>
  <si>
    <t>2025-09-04 15:23:18.1192</t>
  </si>
  <si>
    <t>2025-09-04 15:23:18.1193</t>
  </si>
  <si>
    <t>2025-09-04 15:23:18.1194</t>
  </si>
  <si>
    <t>2025-09-04 15:23:18.1195</t>
  </si>
  <si>
    <t>2025-09-04 15:23:18.1196</t>
  </si>
  <si>
    <t>2025-09-04 15:23:18.1197</t>
  </si>
  <si>
    <t>2025-09-04 15:23:18.1198</t>
  </si>
  <si>
    <t>2025-09-04 15:23:18.1199</t>
  </si>
  <si>
    <t>2025-09-04 15:23:18.1200</t>
  </si>
  <si>
    <t>2025-09-04 15:23:18.1201</t>
  </si>
  <si>
    <t>2025-09-04 15:23:18.1202</t>
  </si>
  <si>
    <t>2025-09-04 15:23:18.1203</t>
  </si>
  <si>
    <t>2025-09-04 15:23:18.1204</t>
  </si>
  <si>
    <t>2025-09-04 15:23:18.1205</t>
  </si>
  <si>
    <t>2025-09-04 15:23:18.1206</t>
  </si>
  <si>
    <t>2025-09-04 15:23:18.1207</t>
  </si>
  <si>
    <t>2025-09-04 15:23:18.1208</t>
  </si>
  <si>
    <t>2025-09-04 15:23:18.1209</t>
  </si>
  <si>
    <t>2025-09-04 15:23:18.1210</t>
  </si>
  <si>
    <t>2025-09-04 15:23:18.1211</t>
  </si>
  <si>
    <t>2025-09-04 15:23:18.1212</t>
  </si>
  <si>
    <t>2025-09-04 15:23:18.1213</t>
  </si>
  <si>
    <t>2025-09-04 15:23:18.1214</t>
  </si>
  <si>
    <t>2025-09-04 15:23:18.1215</t>
  </si>
  <si>
    <t>2025-09-04 15:23:18.1216</t>
  </si>
  <si>
    <t>2025-09-04 15:23:18.1217</t>
  </si>
  <si>
    <t>2025-09-04 15:23:18.1218</t>
  </si>
  <si>
    <t>2025-09-04 15:23:18.1219</t>
  </si>
  <si>
    <t>2025-09-04 15:23:18.1220</t>
  </si>
  <si>
    <t>2025-09-04 15:23:18.1221</t>
  </si>
  <si>
    <t>2025-09-04 15:23:18.1222</t>
  </si>
  <si>
    <t>2025-09-04 15:23:18.1223</t>
  </si>
  <si>
    <t>2025-09-04 15:23:18.1224</t>
  </si>
  <si>
    <t>2025-09-04 15:23:18.1225</t>
  </si>
  <si>
    <t>2025-09-04 15:23:18.1228</t>
  </si>
  <si>
    <t>2025-09-04 15:23:18.1229</t>
  </si>
  <si>
    <t>2025-09-04 15:23:18.1230</t>
  </si>
  <si>
    <t>2025-09-04 15:23:18.1231</t>
  </si>
  <si>
    <t>2025-09-04 15:23:18.1232</t>
  </si>
  <si>
    <t>2025-09-04 15:23:18.1233</t>
  </si>
  <si>
    <t>2025-09-04 15:23:18.1234</t>
  </si>
  <si>
    <t>2025-09-04 15:23:18.1235</t>
  </si>
  <si>
    <t>2025-09-04 15:23:18.1236</t>
  </si>
  <si>
    <t>2025-09-04 15:23:18.1237</t>
  </si>
  <si>
    <t>2025-09-04 15:23:18.1238</t>
  </si>
  <si>
    <t>2025-09-04 15:23:18.1239</t>
  </si>
  <si>
    <t>2025-09-04 15:23:18.1240</t>
  </si>
  <si>
    <t>2025-09-04 15:23:18.1241</t>
  </si>
  <si>
    <t>2025-09-04 15:23:18.1242</t>
  </si>
  <si>
    <t>2025-09-04 15:23:18.1243</t>
  </si>
  <si>
    <t>2025-09-04 15:23:18.1244</t>
  </si>
  <si>
    <t>2025-09-04 15:23:18.1245</t>
  </si>
  <si>
    <t>2025-09-04 15:23:18.1246</t>
  </si>
  <si>
    <t>2025-09-04 15:23:18.1247</t>
  </si>
  <si>
    <t>2025-09-04 15:23:18.1248</t>
  </si>
  <si>
    <t>2025-09-04 15:23:18.1249</t>
  </si>
  <si>
    <t>2025-09-04 15:23:18.1250</t>
  </si>
  <si>
    <t>2025-09-04 15:23:18.1251</t>
  </si>
  <si>
    <t>2025-09-04 15:23:18.1252</t>
  </si>
  <si>
    <t>2025-09-04 15:23:18.1253</t>
  </si>
  <si>
    <t>2025-09-04 15:23:18.1254</t>
  </si>
  <si>
    <t>2025-09-04 15:23:18.1255</t>
  </si>
  <si>
    <t>2025-09-04 15:23:18.1256</t>
  </si>
  <si>
    <t>2025-09-04 15:23:18.1257</t>
  </si>
  <si>
    <t>2025-09-04 15:23:18.1258</t>
  </si>
  <si>
    <t>2025-09-04 15:23:18.1259</t>
  </si>
  <si>
    <t>2025-09-04 15:23:18.1260</t>
  </si>
  <si>
    <t>2025-09-04 15:23:18.1261</t>
  </si>
  <si>
    <t>2025-09-04 15:23:18.1262</t>
  </si>
  <si>
    <t>2025-09-04 15:23:18.1263</t>
  </si>
  <si>
    <t>2025-09-04 15:23:18.1264</t>
  </si>
  <si>
    <t>2025-09-04 15:23:18.1265</t>
  </si>
  <si>
    <t>2025-09-04 15:23:18.1266</t>
  </si>
  <si>
    <t>2025-09-04 15:23:18.1267</t>
  </si>
  <si>
    <t>2025-09-04 15:23:18.1268</t>
  </si>
  <si>
    <t>2025-09-04 15:23:18.1269</t>
  </si>
  <si>
    <t>2025-09-04 15:23:18.1270</t>
  </si>
  <si>
    <t>2025-09-04 15:23:18.1271</t>
  </si>
  <si>
    <t>2025-09-04 15:23:18.1272</t>
  </si>
  <si>
    <t>2025-09-04 15:23:18.1273</t>
  </si>
  <si>
    <t>2025-09-04 15:23:18.1274</t>
  </si>
  <si>
    <t>2025-09-04 15:23:18.1275</t>
  </si>
  <si>
    <t>2025-09-04 15:23:18.1276</t>
  </si>
  <si>
    <t>2025-09-04 15:23:18.1277</t>
  </si>
  <si>
    <t>2025-09-04 15:23:18.1278</t>
  </si>
  <si>
    <t>2025-09-04 15:23:18.1279</t>
  </si>
  <si>
    <t>2025-09-04 15:23:18.1280</t>
  </si>
  <si>
    <t>2025-09-04 15:23:18.1281</t>
  </si>
  <si>
    <t>2025-09-04 15:23:18.1282</t>
  </si>
  <si>
    <t>2025-09-04 15:23:18.1283</t>
  </si>
  <si>
    <t>2025-09-04 15:23:18.1284</t>
  </si>
  <si>
    <t>2025-09-04 15:23:18.1285</t>
  </si>
  <si>
    <t>2025-09-04 15:23:18.1286</t>
  </si>
  <si>
    <t>2025-09-04 15:23:18.1287</t>
  </si>
  <si>
    <t>2025-09-04 15:23:18.1288</t>
  </si>
  <si>
    <t>2025-09-04 15:23:18.1289</t>
  </si>
  <si>
    <t>2025-09-04 15:23:18.1290</t>
  </si>
  <si>
    <t>2025-09-04 15:23:18.1291</t>
  </si>
  <si>
    <t>2025-09-04 15:23:18.1292</t>
  </si>
  <si>
    <t>2025-09-04 15:23:18.1293</t>
  </si>
  <si>
    <t>2025-09-04 15:23:18.1294</t>
  </si>
  <si>
    <t>2025-09-04 15:23:18.1295</t>
  </si>
  <si>
    <t>2025-09-04 15:23:18.1296</t>
  </si>
  <si>
    <t>2025-09-04 15:23:18.1297</t>
  </si>
  <si>
    <t>2025-09-04 15:23:18.1298</t>
  </si>
  <si>
    <t>2025-09-04 15:23:18.1299</t>
  </si>
  <si>
    <t>2025-09-04 15:23:18.1300</t>
  </si>
  <si>
    <t>2025-09-04 15:23:18.1301</t>
  </si>
  <si>
    <t>2025-09-04 15:23:18.1302</t>
  </si>
  <si>
    <t>2025-09-04 15:23:18.1303</t>
  </si>
  <si>
    <t>2025-09-04 15:23:18.1304</t>
  </si>
  <si>
    <t>2025-09-04 15:23:18.1305</t>
  </si>
  <si>
    <t>2025-09-04 15:23:18.1306</t>
  </si>
  <si>
    <t>2025-09-04 15:23:18.1307</t>
  </si>
  <si>
    <t>2025-09-04 15:23:18.1308</t>
  </si>
  <si>
    <t>2025-09-04 15:23:18.1309</t>
  </si>
  <si>
    <t>2025-09-04 15:23:18.1310</t>
  </si>
  <si>
    <t>2025-09-04 15:23:18.1311</t>
  </si>
  <si>
    <t>2025-09-04 15:23:18.1312</t>
  </si>
  <si>
    <t>2025-09-04 15:23:18.1313</t>
  </si>
  <si>
    <t>2025-09-04 15:23:18.1314</t>
  </si>
  <si>
    <t>2025-09-04 15:23:18.1315</t>
  </si>
  <si>
    <t>2025-09-04 15:23:18.1316</t>
  </si>
  <si>
    <t>2025-09-04 15:23:18.1317</t>
  </si>
  <si>
    <t>2025-09-04 15:23:18.1318</t>
  </si>
  <si>
    <t>2025-09-04 15:23:18.1319</t>
  </si>
  <si>
    <t>2025-09-04 15:23:18.1320</t>
  </si>
  <si>
    <t>2025-09-04 15:23:18.1321</t>
  </si>
  <si>
    <t>2025-09-04 15:23:18.1322</t>
  </si>
  <si>
    <t>2025-09-04 15:23:18.1323</t>
  </si>
  <si>
    <t>2025-09-04 15:23:18.1324</t>
  </si>
  <si>
    <t>2025-09-04 15:23:18.1325</t>
  </si>
  <si>
    <t>2025-09-04 15:23:18.1326</t>
  </si>
  <si>
    <t>2025-09-04 15:23:18.1327</t>
  </si>
  <si>
    <t>2025-09-04 15:23:18.1328</t>
  </si>
  <si>
    <t>2025-09-04 15:23:18.1329</t>
  </si>
  <si>
    <t>2025-09-04 15:23:18.1330</t>
  </si>
  <si>
    <t>2025-09-04 15:23:18.1331</t>
  </si>
  <si>
    <t>2025-09-04 15:23:18.1332</t>
  </si>
  <si>
    <t>2025-09-04 15:23:18.1333</t>
  </si>
  <si>
    <t>2025-09-04 15:23:18.1334</t>
  </si>
  <si>
    <t>2025-09-04 15:23:18.1335</t>
  </si>
  <si>
    <t>2025-09-04 15:23:18.1336</t>
  </si>
  <si>
    <t>2025-09-04 15:23:18.1337</t>
  </si>
  <si>
    <t>2025-09-04 15:23:18.1338</t>
  </si>
  <si>
    <t>2025-09-04 15:23:18.1339</t>
  </si>
  <si>
    <t>2025-09-04 15:23:18.1340</t>
  </si>
  <si>
    <t>2025-09-04 15:23:18.1341</t>
  </si>
  <si>
    <t>2025-09-04 15:23:18.1342</t>
  </si>
  <si>
    <t>2025-09-04 15:23:18.1343</t>
  </si>
  <si>
    <t>2025-09-04 15:23:18.1344</t>
  </si>
  <si>
    <t>2025-09-04 15:23:18.1345</t>
  </si>
  <si>
    <t>2025-09-04 15:23:18.1346</t>
  </si>
  <si>
    <t>2025-09-04 15:23:18.1347</t>
  </si>
  <si>
    <t>2025-09-04 15:23:18.1348</t>
  </si>
  <si>
    <t>2025-09-04 15:23:18.1349</t>
  </si>
  <si>
    <t>2025-09-04 15:23:18.1350</t>
  </si>
  <si>
    <t>2025-09-04 15:23:18.1351</t>
  </si>
  <si>
    <t>2025-09-04 15:23:18.1352</t>
  </si>
  <si>
    <t>2025-09-04 15:23:18.1353</t>
  </si>
  <si>
    <t>2025-09-04 15:23:18.1354</t>
  </si>
  <si>
    <t>2025-09-04 15:23:18.1355</t>
  </si>
  <si>
    <t>2025-09-04 15:23:18.1356</t>
  </si>
  <si>
    <t>2025-09-04 15:23:18.1357</t>
  </si>
  <si>
    <t>2025-09-04 15:23:18.1358</t>
  </si>
  <si>
    <t>2025-09-04 15:23:18.1359</t>
  </si>
  <si>
    <t>2025-09-04 15:23:18.1360</t>
  </si>
  <si>
    <t>2025-09-04 15:23:18.1361</t>
  </si>
  <si>
    <t>2025-09-04 15:23:18.1362</t>
  </si>
  <si>
    <t>2025-09-04 15:23:18.1363</t>
  </si>
  <si>
    <t>2025-09-04 15:23:18.1364</t>
  </si>
  <si>
    <t>2025-09-04 15:23:18.1365</t>
  </si>
  <si>
    <t>2025-09-04 15:23:18.1366</t>
  </si>
  <si>
    <t>2025-09-04 15:23:18.1367</t>
  </si>
  <si>
    <t>2025-09-04 15:23:18.1368</t>
  </si>
  <si>
    <t>2025-09-04 15:23:18.1369</t>
  </si>
  <si>
    <t>2025-09-04 15:23:18.1370</t>
  </si>
  <si>
    <t>2025-09-04 15:23:18.1371</t>
  </si>
  <si>
    <t>2025-09-04 15:23:18.1372</t>
  </si>
  <si>
    <t>2025-09-04 15:23:18.1373</t>
  </si>
  <si>
    <t>2025-09-04 15:23:18.1374</t>
  </si>
  <si>
    <t>2025-09-04 15:23:18.1375</t>
  </si>
  <si>
    <t>2025-09-04 15:23:18.1376</t>
  </si>
  <si>
    <t>2025-09-04 15:23:18.1377</t>
  </si>
  <si>
    <t>2025-09-04 15:23:18.1378</t>
  </si>
  <si>
    <t>2025-09-04 15:23:18.1379</t>
  </si>
  <si>
    <t>2025-09-04 15:23:18.1380</t>
  </si>
  <si>
    <t>2025-09-04 15:23:18.1381</t>
  </si>
  <si>
    <t>2025-09-04 15:23:18.1382</t>
  </si>
  <si>
    <t>2025-09-04 15:23:18.1383</t>
  </si>
  <si>
    <t>2025-09-04 15:23:18.1384</t>
  </si>
  <si>
    <t>2025-09-04 15:23:18.1385</t>
  </si>
  <si>
    <t>2025-09-04 15:23:18.1386</t>
  </si>
  <si>
    <t>2025-09-04 15:23:18.1387</t>
  </si>
  <si>
    <t>2025-09-04 15:23:18.1388</t>
  </si>
  <si>
    <t>2025-09-04 15:23:18.1389</t>
  </si>
  <si>
    <t>2025-09-04 15:23:18.1390</t>
  </si>
  <si>
    <t>2025-09-04 15:23:18.1391</t>
  </si>
  <si>
    <t>2025-09-04 15:23:18.1392</t>
  </si>
  <si>
    <t>2025-09-04 15:23:18.1393</t>
  </si>
  <si>
    <t>2025-09-04 15:23:18.1394</t>
  </si>
  <si>
    <t>2025-09-04 15:23:18.1395</t>
  </si>
  <si>
    <t>2025-09-04 15:23:18.1396</t>
  </si>
  <si>
    <t>2025-09-04 15:23:18.1397</t>
  </si>
  <si>
    <t>2025-09-04 15:23:18.1398</t>
  </si>
  <si>
    <t>2025-09-04 15:23:18.1399</t>
  </si>
  <si>
    <t>2025-09-04 15:23:18.1400</t>
  </si>
  <si>
    <t>2025-09-04 15:23:18.1401</t>
  </si>
  <si>
    <t>2025-09-04 15:23:18.1402</t>
  </si>
  <si>
    <t>2025-09-04 15:23:18.1403</t>
  </si>
  <si>
    <t>2025-09-04 15:23:18.1404</t>
  </si>
  <si>
    <t>2025-09-04 15:23:18.1405</t>
  </si>
  <si>
    <t>2025-09-04 15:23:18.1406</t>
  </si>
  <si>
    <t>2025-09-04 15:23:18.1407</t>
  </si>
  <si>
    <t>2025-09-04 15:23:18.1408</t>
  </si>
  <si>
    <t>2025-09-04 15:23:18.1409</t>
  </si>
  <si>
    <t>2025-09-04 15:23:18.1410</t>
  </si>
  <si>
    <t>2025-09-04 15:23:18.1411</t>
  </si>
  <si>
    <t>2025-09-04 15:23:18.1412</t>
  </si>
  <si>
    <t>2025-09-04 15:23:18.1413</t>
  </si>
  <si>
    <t>2025-09-04 15:23:18.1414</t>
  </si>
  <si>
    <t>2025-09-04 15:23:18.1415</t>
  </si>
  <si>
    <t>2025-09-04 15:23:18.1416</t>
  </si>
  <si>
    <t>2025-09-04 15:23:18.1417</t>
  </si>
  <si>
    <t>2025-09-04 15:23:18.1418</t>
  </si>
  <si>
    <t>2025-09-04 15:23:18.1419</t>
  </si>
  <si>
    <t>2025-09-04 15:23:18.1420</t>
  </si>
  <si>
    <t>2025-09-04 15:23:18.1421</t>
  </si>
  <si>
    <t>2025-09-04 15:23:18.1422</t>
  </si>
  <si>
    <t>2025-09-04 15:23:18.1423</t>
  </si>
  <si>
    <t>2025-09-04 15:23:18.1424</t>
  </si>
  <si>
    <t>2025-09-04 15:23:18.1425</t>
  </si>
  <si>
    <t>2025-09-04 15:23:18.1426</t>
  </si>
  <si>
    <t>2025-09-04 15:23:18.1427</t>
  </si>
  <si>
    <t>2025-09-04 15:23:18.1428</t>
  </si>
  <si>
    <t>2025-09-04 15:23:18.1429</t>
  </si>
  <si>
    <t>2025-09-04 15:23:18.1430</t>
  </si>
  <si>
    <t>2025-09-04 15:23:18.1431</t>
  </si>
  <si>
    <t>2025-09-04 15:23:18.1432</t>
  </si>
  <si>
    <t>2025-09-04 15:23:18.1433</t>
  </si>
  <si>
    <t>2025-09-04 15:23:18.1434</t>
  </si>
  <si>
    <t>2025-09-04 15:23:18.1435</t>
  </si>
  <si>
    <t>2025-09-04 15:23:18.1436</t>
  </si>
  <si>
    <t>2025-09-04 15:23:18.1437</t>
  </si>
  <si>
    <t>2025-09-04 15:23:18.1438</t>
  </si>
  <si>
    <t>2025-09-04 15:23:18.1439</t>
  </si>
  <si>
    <t>2025-09-04 15:23:18.1440</t>
  </si>
  <si>
    <t>2025-09-04 15:23:18.1441</t>
  </si>
  <si>
    <t>2025-09-04 15:23:18.1442</t>
  </si>
  <si>
    <t>2025-09-04 15:23:18.1443</t>
  </si>
  <si>
    <t>2025-09-04 15:23:18.1444</t>
  </si>
  <si>
    <t>2025-09-04 15:23:18.1445</t>
  </si>
  <si>
    <t>2025-09-04 15:23:18.1446</t>
  </si>
  <si>
    <t>2025-09-04 15:23:18.1447</t>
  </si>
  <si>
    <t>2025-09-04 15:23:18.1448</t>
  </si>
  <si>
    <t>2025-09-04 15:23:18.1449</t>
  </si>
  <si>
    <t>2025-09-04 15:23:18.1450</t>
  </si>
  <si>
    <t>2025-09-04 15:23:18.1451</t>
  </si>
  <si>
    <t>2025-09-04 15:23:18.1452</t>
  </si>
  <si>
    <t>2025-09-04 15:23:18.1453</t>
  </si>
  <si>
    <t>2025-09-04 15:23:18.1454</t>
  </si>
  <si>
    <t>2025-09-04 15:23:18.1455</t>
  </si>
  <si>
    <t>2025-09-04 15:23:18.1456</t>
  </si>
  <si>
    <t>2025-09-04 15:23:18.1457</t>
  </si>
  <si>
    <t>2025-09-04 15:23:18.1458</t>
  </si>
  <si>
    <t>2025-09-04 15:23:18.1459</t>
  </si>
  <si>
    <t>2025-09-04 15:23:18.1460</t>
  </si>
  <si>
    <t>2025-09-04 15:23:18.1461</t>
  </si>
  <si>
    <t>2025-09-04 15:23:18.1462</t>
  </si>
  <si>
    <t>2025-09-04 15:23:18.1463</t>
  </si>
  <si>
    <t>2025-09-04 15:23:18.1464</t>
  </si>
  <si>
    <t>2025-09-04 15:23:18.1465</t>
  </si>
  <si>
    <t>2025-09-04 15:23:18.1466</t>
  </si>
  <si>
    <t>2025-09-04 15:23:18.1467</t>
  </si>
  <si>
    <t>2025-09-04 15:23:18.1468</t>
  </si>
  <si>
    <t>2025-09-04 15:23:18.1469</t>
  </si>
  <si>
    <t>2025-09-04 15:23:18.1470</t>
  </si>
  <si>
    <t>2025-09-04 15:23:18.1471</t>
  </si>
  <si>
    <t>2025-09-04 15:23:18.1472</t>
  </si>
  <si>
    <t>2025-09-04 15:23:18.1473</t>
  </si>
  <si>
    <t>2025-09-04 15:23:18.1474</t>
  </si>
  <si>
    <t>2025-09-04 15:23:18.1475</t>
  </si>
  <si>
    <t>2025-09-04 15:23:18.1476</t>
  </si>
  <si>
    <t>2025-09-04 15:23:18.1477</t>
  </si>
  <si>
    <t>2025-09-04 15:23:18.1478</t>
  </si>
  <si>
    <t>2025-09-04 15:23:18.1479</t>
  </si>
  <si>
    <t>2025-09-04 15:23:18.1480</t>
  </si>
  <si>
    <t>2025-09-04 15:23:18.1481</t>
  </si>
  <si>
    <t>2025-09-04 15:23:18.1482</t>
  </si>
  <si>
    <t>2025-09-04 15:23:18.1483</t>
  </si>
  <si>
    <t>2025-09-04 15:23:18.1484</t>
  </si>
  <si>
    <t>2025-09-04 15:23:18.1485</t>
  </si>
  <si>
    <t>2025-09-04 15:23:18.1486</t>
  </si>
  <si>
    <t>2025-09-04 15:23:18.1487</t>
  </si>
  <si>
    <t>2025-09-04 15:23:18.1488</t>
  </si>
  <si>
    <t>2025-09-04 15:23:18.1489</t>
  </si>
  <si>
    <t>2025-09-04 15:23:18.1490</t>
  </si>
  <si>
    <t>2025-09-04 15:23:18.1491</t>
  </si>
  <si>
    <t>2025-09-04 15:23:18.1492</t>
  </si>
  <si>
    <t>2025-09-04 15:23:18.1493</t>
  </si>
  <si>
    <t>2025-09-04 15:23:18.1494</t>
  </si>
  <si>
    <t>2025-09-04 15:23:18.1495</t>
  </si>
  <si>
    <t>2025-09-04 15:23:18.1496</t>
  </si>
  <si>
    <t>2025-09-04 15:23:18.1497</t>
  </si>
  <si>
    <t>2025-09-04 15:23:18.1498</t>
  </si>
  <si>
    <t>2025-09-04 15:23:18.1499</t>
  </si>
  <si>
    <t>2025-09-04 15:23:18.1500</t>
  </si>
  <si>
    <t>2025-09-04 15:23:18.1501</t>
  </si>
  <si>
    <t>2025-09-04 15:23:18.1502</t>
  </si>
  <si>
    <t>2025-09-04 15:23:18.1503</t>
  </si>
  <si>
    <t>2025-09-04 15:23:18.1504</t>
  </si>
  <si>
    <t>2025-09-04 15:23:18.1505</t>
  </si>
  <si>
    <t>2025-09-04 15:23:18.1506</t>
  </si>
  <si>
    <t>2025-09-04 15:23:18.1507</t>
  </si>
  <si>
    <t>2025-09-04 15:23:18.1508</t>
  </si>
  <si>
    <t>2025-09-04 15:23:18.1509</t>
  </si>
  <si>
    <t>2025-09-04 15:23:18.1510</t>
  </si>
  <si>
    <t>2025-09-04 15:23:18.1511</t>
  </si>
  <si>
    <t>2025-09-04 15:23:18.1512</t>
  </si>
  <si>
    <t>2025-09-04 15:23:18.1513</t>
  </si>
  <si>
    <t>2025-09-04 15:23:18.1514</t>
  </si>
  <si>
    <t>2025-09-04 15:23:18.1515</t>
  </si>
  <si>
    <t>2025-09-04 15:23:18.1516</t>
  </si>
  <si>
    <t>2025-09-04 15:23:18.1517</t>
  </si>
  <si>
    <t>2025-09-04 15:23:18.1518</t>
  </si>
  <si>
    <t>2025-09-04 15:23:18.1519</t>
  </si>
  <si>
    <t>2025-09-04 15:23:18.1520</t>
  </si>
  <si>
    <t>2025-09-04 15:23:18.1521</t>
  </si>
  <si>
    <t>2025-09-04 15:23:18.1522</t>
  </si>
  <si>
    <t>2025-09-04 15:23:18.1523</t>
  </si>
  <si>
    <t>2025-09-04 15:23:18.1524</t>
  </si>
  <si>
    <t>2025-09-04 15:23:18.1525</t>
  </si>
  <si>
    <t>2025-09-04 15:23:18.1526</t>
  </si>
  <si>
    <t>2025-09-04 15:23:18.1527</t>
  </si>
  <si>
    <t>2025-09-04 15:23:18.1528</t>
  </si>
  <si>
    <t>2025-09-04 15:23:18.1529</t>
  </si>
  <si>
    <t>2025-09-04 15:23:18.1530</t>
  </si>
  <si>
    <t>2025-09-04 15:23:18.1531</t>
  </si>
  <si>
    <t>2025-09-04 15:23:18.1532</t>
  </si>
  <si>
    <t>2025-09-04 15:23:18.1533</t>
  </si>
  <si>
    <t>2025-09-04 15:23:18.1534</t>
  </si>
  <si>
    <t>2025-09-04 15:23:18.1535</t>
  </si>
  <si>
    <t>2025-09-04 15:23:18.1536</t>
  </si>
  <si>
    <t>2025-09-04 15:23:18.1537</t>
  </si>
  <si>
    <t>2025-09-04 15:23:18.1538</t>
  </si>
  <si>
    <t>2025-09-04 15:23:18.1539</t>
  </si>
  <si>
    <t>2025-09-04 15:23:18.1540</t>
  </si>
  <si>
    <t>2025-09-04 15:23:18.1541</t>
  </si>
  <si>
    <t>2025-09-04 15:23:18.1542</t>
  </si>
  <si>
    <t>2025-09-04 15:23:18.1543</t>
  </si>
  <si>
    <t>2025-09-04 15:23:18.1544</t>
  </si>
  <si>
    <t>2025-09-04 15:23:18.1545</t>
  </si>
  <si>
    <t>2025-09-04 15:23:18.1546</t>
  </si>
  <si>
    <t>2025-09-04 15:23:18.1547</t>
  </si>
  <si>
    <t>2025-09-04 15:23:18.1548</t>
  </si>
  <si>
    <t>2025-09-04 15:23:18.1549</t>
  </si>
  <si>
    <t>2025-09-04 15:23:18.1550</t>
  </si>
  <si>
    <t>2025-09-04 15:23:18.1551</t>
  </si>
  <si>
    <t>2025-09-04 15:23:18.1552</t>
  </si>
  <si>
    <t>2025-09-04 15:23:18.1553</t>
  </si>
  <si>
    <t>2025-09-04 15:23:18.1554</t>
  </si>
  <si>
    <t>2025-09-04 15:23:18.1555</t>
  </si>
  <si>
    <t>2025-09-04 15:23:18.1556</t>
  </si>
  <si>
    <t>2025-09-04 15:23:18.1557</t>
  </si>
  <si>
    <t>2025-09-04 15:23:18.1558</t>
  </si>
  <si>
    <t>2025-09-04 15:23:18.1559</t>
  </si>
  <si>
    <t>2025-09-04 15:23:18.1560</t>
  </si>
  <si>
    <t>2025-09-04 15:23:18.1561</t>
  </si>
  <si>
    <t>2025-09-04 15:23:18.1562</t>
  </si>
  <si>
    <t>2025-09-04 15:23:18.1563</t>
  </si>
  <si>
    <t>2025-09-04 15:23:18.1564</t>
  </si>
  <si>
    <t>2025-09-04 15:23:18.1565</t>
  </si>
  <si>
    <t>2025-09-04 15:23:18.1566</t>
  </si>
  <si>
    <t>2025-09-04 15:23:18.1567</t>
  </si>
  <si>
    <t>2025-09-04 15:23:18.1568</t>
  </si>
  <si>
    <t>2025-09-04 15:23:18.1569</t>
  </si>
  <si>
    <t>2025-09-04 15:23:18.1570</t>
  </si>
  <si>
    <t>2025-09-04 15:23:18.1571</t>
  </si>
  <si>
    <t>2025-09-04 15:23:18.1572</t>
  </si>
  <si>
    <t>2025-09-04 15:23:18.1573</t>
  </si>
  <si>
    <t>2025-09-04 15:23:18.1574</t>
  </si>
  <si>
    <t>2025-09-04 15:23:18.1575</t>
  </si>
  <si>
    <t>2025-09-04 15:23:18.1576</t>
  </si>
  <si>
    <t>2025-09-04 15:23:18.1577</t>
  </si>
  <si>
    <t>2025-09-04 15:23:18.1578</t>
  </si>
  <si>
    <t>2025-09-04 15:23:18.1579</t>
  </si>
  <si>
    <t>2025-09-04 15:23:18.1580</t>
  </si>
  <si>
    <t>2025-09-04 15:23:18.1581</t>
  </si>
  <si>
    <t>2025-09-04 15:23:18.1582</t>
  </si>
  <si>
    <t>2025-09-04 15:23:18.1583</t>
  </si>
  <si>
    <t>2025-09-04 15:23:18.1584</t>
  </si>
  <si>
    <t>2025-09-04 15:23:18.1585</t>
  </si>
  <si>
    <t>2025-09-04 15:23:18.1586</t>
  </si>
  <si>
    <t>2025-09-04 15:23:18.1587</t>
  </si>
  <si>
    <t>2025-09-04 15:23:18.1588</t>
  </si>
  <si>
    <t>2025-09-04 15:23:18.1589</t>
  </si>
  <si>
    <t>2025-09-04 15:23:18.1590</t>
  </si>
  <si>
    <t>2025-09-04 15:23:18.1591</t>
  </si>
  <si>
    <t>2025-09-04 15:23:18.1592</t>
  </si>
  <si>
    <t>2025-09-04 15:23:18.1593</t>
  </si>
  <si>
    <t>2025-09-04 15:23:18.1594</t>
  </si>
  <si>
    <t>2025-09-04 15:23:18.1595</t>
  </si>
  <si>
    <t>2025-09-04 15:23:18.1596</t>
  </si>
  <si>
    <t>2025-09-04 15:23:18.1597</t>
  </si>
  <si>
    <t>2025-09-04 15:23:18.1598</t>
  </si>
  <si>
    <t>2025-09-04 15:23:18.1599</t>
  </si>
  <si>
    <t>2025-09-04 15:23:18.1600</t>
  </si>
  <si>
    <t>2025-09-04 15:23:18.1601</t>
  </si>
  <si>
    <t>2025-09-04 15:23:18.1602</t>
  </si>
  <si>
    <t>2025-09-04 15:23:18.1603</t>
  </si>
  <si>
    <t>2025-09-04 15:23:18.1604</t>
  </si>
  <si>
    <t>2025-09-04 15:23:18.1605</t>
  </si>
  <si>
    <t>2025-09-04 15:23:18.1606</t>
  </si>
  <si>
    <t>2025-09-04 15:23:18.1607</t>
  </si>
  <si>
    <t>2025-09-04 15:23:18.1608</t>
  </si>
  <si>
    <t>2025-09-04 15:23:18.1609</t>
  </si>
  <si>
    <t>2025-09-04 15:23:18.1610</t>
  </si>
  <si>
    <t>2025-09-04 15:23:18.1611</t>
  </si>
  <si>
    <t>2025-09-04 15:23:18.1612</t>
  </si>
  <si>
    <t>2025-09-04 15:23:18.1613</t>
  </si>
  <si>
    <t>2025-09-04 15:23:18.1614</t>
  </si>
  <si>
    <t>2025-09-04 15:23:18.1615</t>
  </si>
  <si>
    <t>2025-09-04 15:23:18.1616</t>
  </si>
  <si>
    <t>2025-09-04 15:23:18.1617</t>
  </si>
  <si>
    <t>2025-09-04 15:23:18.1618</t>
  </si>
  <si>
    <t>2025-09-04 15:23:18.1619</t>
  </si>
  <si>
    <t>2025-09-04 15:23:18.1620</t>
  </si>
  <si>
    <t>2025-09-04 15:23:18.1621</t>
  </si>
  <si>
    <t>2025-09-04 15:23:18.1622</t>
  </si>
  <si>
    <t>2025-09-04 15:23:18.1623</t>
  </si>
  <si>
    <t>2025-09-04 15:23:18.1624</t>
  </si>
  <si>
    <t>2025-09-04 15:23:18.1625</t>
  </si>
  <si>
    <t>2025-09-04 15:23:18.1626</t>
  </si>
  <si>
    <t>2025-09-04 15:23:18.1627</t>
  </si>
  <si>
    <t>2025-09-04 15:23:18.1628</t>
  </si>
  <si>
    <t>2025-09-04 15:23:18.1629</t>
  </si>
  <si>
    <t>2025-09-04 15:23:18.1630</t>
  </si>
  <si>
    <t>2025-09-04 15:23:18.1631</t>
  </si>
  <si>
    <t>2025-09-04 15:23:18.1632</t>
  </si>
  <si>
    <t>2025-09-04 15:23:18.1633</t>
  </si>
  <si>
    <t>2025-09-04 15:23:18.1634</t>
  </si>
  <si>
    <t>2025-09-04 15:23:18.1635</t>
  </si>
  <si>
    <t>2025-09-04 15:23:18.1636</t>
  </si>
  <si>
    <t>2025-09-04 15:23:18.1637</t>
  </si>
  <si>
    <t>2025-09-04 15:23:18.1638</t>
  </si>
  <si>
    <t>2025-09-04 15:23:18.1639</t>
  </si>
  <si>
    <t>2025-09-04 15:23:18.1640</t>
  </si>
  <si>
    <t>2025-09-04 15:23:18.1641</t>
  </si>
  <si>
    <t>2025-09-04 15:23:18.1642</t>
  </si>
  <si>
    <t>2025-09-04 15:23:18.1643</t>
  </si>
  <si>
    <t>2025-09-04 15:23:18.1644</t>
  </si>
  <si>
    <t>2025-09-04 15:23:18.1645</t>
  </si>
  <si>
    <t>2025-09-04 15:23:18.1646</t>
  </si>
  <si>
    <t>2025-09-04 15:23:18.1647</t>
  </si>
  <si>
    <t>2025-09-04 15:23:18.1648</t>
  </si>
  <si>
    <t>2025-09-04 15:23:18.1649</t>
  </si>
  <si>
    <t>2025-09-04 15:23:18.1650</t>
  </si>
  <si>
    <t>2025-09-04 15:23:18.1651</t>
  </si>
  <si>
    <t>2025-09-04 15:23:18.1652</t>
  </si>
  <si>
    <t>2025-09-04 15:23:18.1653</t>
  </si>
  <si>
    <t>2025-09-04 15:23:18.1654</t>
  </si>
  <si>
    <t>2025-09-04 15:23:18.1655</t>
  </si>
  <si>
    <t>2025-09-04 15:23:18.1656</t>
  </si>
  <si>
    <t>2025-09-04 15:23:18.1657</t>
  </si>
  <si>
    <t>2025-09-04 15:23:18.1658</t>
  </si>
  <si>
    <t>2025-09-04 15:23:18.1659</t>
  </si>
  <si>
    <t>2025-09-04 15:23:18.1660</t>
  </si>
  <si>
    <t>2025-09-04 15:23:18.1661</t>
  </si>
  <si>
    <t>2025-09-04 15:23:18.1662</t>
  </si>
  <si>
    <t>2025-09-04 15:23:18.1663</t>
  </si>
  <si>
    <t>2025-09-04 15:23:18.1664</t>
  </si>
  <si>
    <t>2025-09-04 15:23:18.1665</t>
  </si>
  <si>
    <t>2025-09-04 15:23:18.1666</t>
  </si>
  <si>
    <t>2025-09-04 15:23:18.1667</t>
  </si>
  <si>
    <t>2025-09-04 15:23:18.1668</t>
  </si>
  <si>
    <t>2025-09-04 15:23:18.1669</t>
  </si>
  <si>
    <t>2025-09-04 15:23:18.1670</t>
  </si>
  <si>
    <t>2025-09-04 15:23:18.1671</t>
  </si>
  <si>
    <t>2025-09-04 15:23:18.1672</t>
  </si>
  <si>
    <t>2025-09-04 15:23:18.1673</t>
  </si>
  <si>
    <t>2025-09-04 15:23:18.1674</t>
  </si>
  <si>
    <t>2025-09-04 15:23:18.1675</t>
  </si>
  <si>
    <t>2025-09-04 15:23:18.1676</t>
  </si>
  <si>
    <t>2025-09-04 15:23:18.1677</t>
  </si>
  <si>
    <t>2025-09-04 15:23:18.1678</t>
  </si>
  <si>
    <t>2025-09-04 15:23:18.1679</t>
  </si>
  <si>
    <t>2025-09-04 15:23:18.1680</t>
  </si>
  <si>
    <t>2025-09-04 15:23:18.1681</t>
  </si>
  <si>
    <t>2025-09-04 15:23:18.1682</t>
  </si>
  <si>
    <t>2025-09-04 15:23:18.1683</t>
  </si>
  <si>
    <t>2025-09-04 15:23:18.1684</t>
  </si>
  <si>
    <t>2025-09-04 15:23:18.1685</t>
  </si>
  <si>
    <t>2025-09-04 15:23:18.1686</t>
  </si>
  <si>
    <t>2025-09-04 15:23:18.1687</t>
  </si>
  <si>
    <t>2025-09-04 15:23:18.1688</t>
  </si>
  <si>
    <t>2025-09-04 15:23:18.1689</t>
  </si>
  <si>
    <t>2025-09-04 15:23:18.1690</t>
  </si>
  <si>
    <t>2025-09-04 15:23:18.1691</t>
  </si>
  <si>
    <t>2025-09-04 15:23:18.1692</t>
  </si>
  <si>
    <t>2025-09-04 15:23:18.1693</t>
  </si>
  <si>
    <t>2025-09-04 15:23:18.1694</t>
  </si>
  <si>
    <t>2025-09-04 15:23:18.1695</t>
  </si>
  <si>
    <t>2025-09-04 15:23:18.1696</t>
  </si>
  <si>
    <t>2025-09-04 15:23:18.1697</t>
  </si>
  <si>
    <t>2025-09-04 15:23:18.1698</t>
  </si>
  <si>
    <t>2025-09-04 15:23:18.1699</t>
  </si>
  <si>
    <t>2025-09-04 15:23:18.1700</t>
  </si>
  <si>
    <t>2025-09-04 15:23:18.1701</t>
  </si>
  <si>
    <t>2025-09-04 15:23:18.1702</t>
  </si>
  <si>
    <t>2025-09-04 15:23:18.1703</t>
  </si>
  <si>
    <t>2025-09-04 15:23:18.1704</t>
  </si>
  <si>
    <t>2025-09-04 15:23:18.1705</t>
  </si>
  <si>
    <t>2025-09-04 15:23:18.1706</t>
  </si>
  <si>
    <t>2025-09-04 15:23:18.1707</t>
  </si>
  <si>
    <t>2025-09-04 15:23:18.1708</t>
  </si>
  <si>
    <t>2025-09-04 15:23:18.1709</t>
  </si>
  <si>
    <t>2025-09-04 15:23:18.1710</t>
  </si>
  <si>
    <t>2025-09-04 15:23:18.1711</t>
  </si>
  <si>
    <t>2025-09-04 15:23:18.1712</t>
  </si>
  <si>
    <t>2025-09-04 15:23:18.1713</t>
  </si>
  <si>
    <t>2025-09-04 15:23:18.1714</t>
  </si>
  <si>
    <t>2025-09-04 15:23:18.1715</t>
  </si>
  <si>
    <t>2025-09-04 15:23:18.1716</t>
  </si>
  <si>
    <t>2025-09-04 15:23:18.1717</t>
  </si>
  <si>
    <t>2025-09-04 15:23:18.1718</t>
  </si>
  <si>
    <t>2025-09-04 15:23:18.1719</t>
  </si>
  <si>
    <t>2025-09-04 15:23:18.1720</t>
  </si>
  <si>
    <t>2025-09-04 15:23:18.1721</t>
  </si>
  <si>
    <t>2025-09-04 15:23:18.1722</t>
  </si>
  <si>
    <t>2025-09-04 15:23:18.1723</t>
  </si>
  <si>
    <t>2025-09-04 15:23:18.1724</t>
  </si>
  <si>
    <t>2025-09-04 15:23:18.1725</t>
  </si>
  <si>
    <t>2025-09-04 15:23:18.1726</t>
  </si>
  <si>
    <t>2025-09-04 15:23:18.1727</t>
  </si>
  <si>
    <t>2025-09-04 15:23:18.1728</t>
  </si>
  <si>
    <t>2025-09-04 15:23:18.1729</t>
  </si>
  <si>
    <t>2025-09-04 15:23:18.1730</t>
  </si>
  <si>
    <t>2025-09-04 15:23:18.1731</t>
  </si>
  <si>
    <t>2025-09-04 15:23:18.1732</t>
  </si>
  <si>
    <t>2025-09-04 15:23:18.1733</t>
  </si>
  <si>
    <t>2025-09-04 15:23:18.1734</t>
  </si>
  <si>
    <t>2025-09-04 15:23:18.1735</t>
  </si>
  <si>
    <t>2025-09-04 15:23:18.1736</t>
  </si>
  <si>
    <t>2025-09-04 15:23:18.1737</t>
  </si>
  <si>
    <t>2025-09-04 15:23:18.1738</t>
  </si>
  <si>
    <t>2025-09-04 15:23:18.1739</t>
  </si>
  <si>
    <t>2025-09-04 15:23:18.1740</t>
  </si>
  <si>
    <t>2025-09-04 15:23:18.1741</t>
  </si>
  <si>
    <t>2025-09-04 15:23:18.1742</t>
  </si>
  <si>
    <t>2025-09-04 15:23:18.1743</t>
  </si>
  <si>
    <t>2025-09-04 15:23:18.1744</t>
  </si>
  <si>
    <t>2025-09-04 15:23:18.1745</t>
  </si>
  <si>
    <t>2025-09-04 15:23:18.1746</t>
  </si>
  <si>
    <t>2025-09-04 15:23:18.1747</t>
  </si>
  <si>
    <t>2025-09-04 15:23:18.1748</t>
  </si>
  <si>
    <t>2025-09-04 15:23:18.1749</t>
  </si>
  <si>
    <t>2025-09-04 15:23:18.1750</t>
  </si>
  <si>
    <t>2025-09-04 15:23:18.1751</t>
  </si>
  <si>
    <t>2025-09-04 15:23:18.1752</t>
  </si>
  <si>
    <t>2025-09-04 15:23:18.1753</t>
  </si>
  <si>
    <t>2025-09-04 15:23:18.1754</t>
  </si>
  <si>
    <t>2025-09-04 15:23:18.1755</t>
  </si>
  <si>
    <t>2025-09-04 15:23:18.1756</t>
  </si>
  <si>
    <t>2025-09-04 15:23:18.1757</t>
  </si>
  <si>
    <t>2025-09-04 15:23:18.1758</t>
  </si>
  <si>
    <t>2025-09-04 15:23:18.1759</t>
  </si>
  <si>
    <t>2025-09-04 15:23:18.1760</t>
  </si>
  <si>
    <t>2025-09-04 15:23:18.1761</t>
  </si>
  <si>
    <t>2025-09-04 15:23:18.1762</t>
  </si>
  <si>
    <t>2025-09-04 15:23:18.1763</t>
  </si>
  <si>
    <t>2025-09-04 15:23:18.1764</t>
  </si>
  <si>
    <t>2025-09-04 15:23:18.1765</t>
  </si>
  <si>
    <t>2025-09-04 15:23:18.1766</t>
  </si>
  <si>
    <t>2025-09-04 15:23:18.1767</t>
  </si>
  <si>
    <t>2025-09-04 15:23:18.1768</t>
  </si>
  <si>
    <t>2025-09-04 15:23:18.1769</t>
  </si>
  <si>
    <t>2025-09-04 15:23:18.1770</t>
  </si>
  <si>
    <t>2025-09-04 15:23:18.1771</t>
  </si>
  <si>
    <t>2025-09-04 15:23:18.1772</t>
  </si>
  <si>
    <t>2025-09-04 15:23:18.1773</t>
  </si>
  <si>
    <t>2025-09-04 15:23:18.1774</t>
  </si>
  <si>
    <t>2025-09-04 15:23:18.1775</t>
  </si>
  <si>
    <t>2025-09-04 15:23:18.1776</t>
  </si>
  <si>
    <t>2025-09-04 15:23:18.1777</t>
  </si>
  <si>
    <t>2025-09-04 15:23:18.1778</t>
  </si>
  <si>
    <t>2025-09-04 15:23:18.1779</t>
  </si>
  <si>
    <t>2025-09-04 15:23:18.1780</t>
  </si>
  <si>
    <t>2025-09-04 15:23:18.1781</t>
  </si>
  <si>
    <t>2025-09-04 15:23:18.1782</t>
  </si>
  <si>
    <t>2025-09-04 15:23:18.1783</t>
  </si>
  <si>
    <t>2025-09-04 15:23:18.1784</t>
  </si>
  <si>
    <t>2025-09-04 15:23:18.1785</t>
  </si>
  <si>
    <t>2025-09-04 15:23:18.1786</t>
  </si>
  <si>
    <t>2025-09-04 15:23:18.1787</t>
  </si>
  <si>
    <t>2025-09-04 15:23:18.1788</t>
  </si>
  <si>
    <t>2025-09-04 15:23:18.1789</t>
  </si>
  <si>
    <t>2025-09-04 15:23:18.1790</t>
  </si>
  <si>
    <t>2025-09-04 15:23:18.1791</t>
  </si>
  <si>
    <t>2025-09-04 15:23:18.1792</t>
  </si>
  <si>
    <t>2025-09-04 15:23:18.1793</t>
  </si>
  <si>
    <t>2025-09-04 15:23:18.1794</t>
  </si>
  <si>
    <t>2025-09-04 15:23:18.1795</t>
  </si>
  <si>
    <t>2025-09-04 15:23:18.1796</t>
  </si>
  <si>
    <t>2025-09-04 15:23:18.1797</t>
  </si>
  <si>
    <t>2025-09-04 15:23:18.1798</t>
  </si>
  <si>
    <t>2025-09-04 15:23:18.1799</t>
  </si>
  <si>
    <t>2025-09-04 15:23:18.1800</t>
  </si>
  <si>
    <t>2025-09-04 15:23:18.1801</t>
  </si>
  <si>
    <t>2025-09-04 15:23:18.1802</t>
  </si>
  <si>
    <t>2025-09-04 15:23:18.1803</t>
  </si>
  <si>
    <t>2025-09-04 15:23:18.1804</t>
  </si>
  <si>
    <t>2025-09-04 15:23:18.1805</t>
  </si>
  <si>
    <t>2025-09-04 15:23:18.1806</t>
  </si>
  <si>
    <t>2025-09-04 15:23:18.1807</t>
  </si>
  <si>
    <t>2025-09-04 15:23:18.1808</t>
  </si>
  <si>
    <t>2025-09-04 15:23:18.1809</t>
  </si>
  <si>
    <t>2025-09-04 15:23:18.1810</t>
  </si>
  <si>
    <t>2025-09-04 15:23:18.1811</t>
  </si>
  <si>
    <t>2025-09-04 15:23:18.1812</t>
  </si>
  <si>
    <t>2025-09-04 15:23:18.1813</t>
  </si>
  <si>
    <t>2025-09-04 15:23:18.1814</t>
  </si>
  <si>
    <t>2025-09-04 15:23:18.1815</t>
  </si>
  <si>
    <t>2025-09-04 15:23:18.1816</t>
  </si>
  <si>
    <t>2025-09-04 15:23:18.1817</t>
  </si>
  <si>
    <t>2025-09-04 15:23:18.1818</t>
  </si>
  <si>
    <t>2025-09-04 15:23:18.1819</t>
  </si>
  <si>
    <t>2025-09-04 15:23:18.1820</t>
  </si>
  <si>
    <t>2025-09-04 15:23:18.1821</t>
  </si>
  <si>
    <t>2025-09-04 15:23:18.1822</t>
  </si>
  <si>
    <t>2025-09-04 15:23:18.1823</t>
  </si>
  <si>
    <t>2025-09-04 15:23:18.1824</t>
  </si>
  <si>
    <t>2025-09-04 15:23:18.1825</t>
  </si>
  <si>
    <t>2025-09-04 15:23:18.1826</t>
  </si>
  <si>
    <t>2025-09-04 15:23:18.1827</t>
  </si>
  <si>
    <t>2025-09-04 15:23:18.1828</t>
  </si>
  <si>
    <t>2025-09-04 15:23:18.1829</t>
  </si>
  <si>
    <t>2025-09-04 15:23:18.1830</t>
  </si>
  <si>
    <t>2025-09-04 15:23:18.1831</t>
  </si>
  <si>
    <t>2025-09-04 15:23:18.1832</t>
  </si>
  <si>
    <t>2025-09-04 15:23:18.1833</t>
  </si>
  <si>
    <t>2025-09-04 15:23:18.1834</t>
  </si>
  <si>
    <t>2025-09-04 15:23:18.1835</t>
  </si>
  <si>
    <t>2025-09-04 15:23:18.1836</t>
  </si>
  <si>
    <t>2025-09-04 15:23:18.1837</t>
  </si>
  <si>
    <t>2025-09-04 15:23:18.1838</t>
  </si>
  <si>
    <t>2025-09-04 15:23:18.1839</t>
  </si>
  <si>
    <t>2025-09-04 15:23:18.1840</t>
  </si>
  <si>
    <t>2025-09-04 15:23:18.1841</t>
  </si>
  <si>
    <t>2025-09-04 15:23:18.1842</t>
  </si>
  <si>
    <t>2025-09-04 15:23:18.1843</t>
  </si>
  <si>
    <t>2025-09-04 15:23:18.1844</t>
  </si>
  <si>
    <t>2025-09-04 15:23:18.1845</t>
  </si>
  <si>
    <t>2025-09-04 15:23:18.1846</t>
  </si>
  <si>
    <t>2025-09-04 15:23:18.1847</t>
  </si>
  <si>
    <t>2025-09-04 15:23:18.1848</t>
  </si>
  <si>
    <t>2025-09-04 15:23:18.1849</t>
  </si>
  <si>
    <t>2025-09-04 15:23:18.1850</t>
  </si>
  <si>
    <t>2025-09-04 15:23:18.1851</t>
  </si>
  <si>
    <t>2025-09-04 15:23:18.1852</t>
  </si>
  <si>
    <t>2025-09-04 15:23:18.1853</t>
  </si>
  <si>
    <t>2025-09-04 15:23:18.1854</t>
  </si>
  <si>
    <t>2025-09-04 15:23:18.1855</t>
  </si>
  <si>
    <t>2025-09-04 15:23:18.1856</t>
  </si>
  <si>
    <t>2025-09-04 15:23:18.1857</t>
  </si>
  <si>
    <t>2025-09-04 15:23:18.1858</t>
  </si>
  <si>
    <t>2025-09-04 15:23:18.1859</t>
  </si>
  <si>
    <t>2025-09-04 15:23:18.1860</t>
  </si>
  <si>
    <t>2025-09-04 15:23:18.1861</t>
  </si>
  <si>
    <t>2025-09-04 15:23:18.1862</t>
  </si>
  <si>
    <t>2025-09-04 15:23:18.1863</t>
  </si>
  <si>
    <t>2025-09-04 15:23:18.1864</t>
  </si>
  <si>
    <t>2025-09-04 15:23:18.1865</t>
  </si>
  <si>
    <t>2025-09-04 15:23:18.1866</t>
  </si>
  <si>
    <t>2025-09-04 15:23:18.1867</t>
  </si>
  <si>
    <t>2025-09-04 15:23:18.1868</t>
  </si>
  <si>
    <t>2025-09-04 15:23:18.1869</t>
  </si>
  <si>
    <t>2025-09-04 15:23:18.1870</t>
  </si>
  <si>
    <t>2025-09-04 15:23:18.1871</t>
  </si>
  <si>
    <t>2025-09-04 15:23:18.1872</t>
  </si>
  <si>
    <t>2025-09-04 15:23:18.1873</t>
  </si>
  <si>
    <t>2025-09-04 15:23:18.1874</t>
  </si>
  <si>
    <t>2025-09-04 15:23:18.1875</t>
  </si>
  <si>
    <t>2025-09-04 15:23:18.1876</t>
  </si>
  <si>
    <t>2025-09-04 15:23:18.1877</t>
  </si>
  <si>
    <t>2025-09-04 15:23:18.1878</t>
  </si>
  <si>
    <t>2025-09-04 15:23:18.1879</t>
  </si>
  <si>
    <t>2025-09-04 15:23:18.1880</t>
  </si>
  <si>
    <t>2025-09-04 15:23:18.1881</t>
  </si>
  <si>
    <t>2025-09-04 15:23:18.1882</t>
  </si>
  <si>
    <t>2025-09-04 15:23:18.1883</t>
  </si>
  <si>
    <t>2025-09-04 15:23:18.1884</t>
  </si>
  <si>
    <t>2025-09-04 15:23:18.1885</t>
  </si>
  <si>
    <t>2025-09-04 15:23:18.1886</t>
  </si>
  <si>
    <t>2025-09-04 15:23:18.1887</t>
  </si>
  <si>
    <t>2025-09-04 15:23:18.1888</t>
  </si>
  <si>
    <t>2025-09-04 15:23:18.1889</t>
  </si>
  <si>
    <t>2025-09-04 15:23:18.1890</t>
  </si>
  <si>
    <t>2025-09-04 15:23:18.1891</t>
  </si>
  <si>
    <t>2025-09-04 15:23:18.1892</t>
  </si>
  <si>
    <t>2025-09-04 15:23:18.1893</t>
  </si>
  <si>
    <t>2025-09-04 15:23:18.1894</t>
  </si>
  <si>
    <t>2025-09-04 15:23:18.1895</t>
  </si>
  <si>
    <t>2025-09-04 15:23:18.1896</t>
  </si>
  <si>
    <t>2025-09-04 15:23:18.1897</t>
  </si>
  <si>
    <t>2025-09-04 15:23:18.1898</t>
  </si>
  <si>
    <t>2025-09-04 15:23:18.1899</t>
  </si>
  <si>
    <t>2025-09-04 15:23:18.1900</t>
  </si>
  <si>
    <t>2025-09-04 15:23:18.1901</t>
  </si>
  <si>
    <t>2025-09-04 15:23:18.1902</t>
  </si>
  <si>
    <t>2025-09-04 15:23:18.1903</t>
  </si>
  <si>
    <t>2025-09-04 15:23:18.1904</t>
  </si>
  <si>
    <t>2025-09-04 15:23:18.1905</t>
  </si>
  <si>
    <t>2025-09-04 15:23:18.1906</t>
  </si>
  <si>
    <t>2025-09-04 15:23:18.1907</t>
  </si>
  <si>
    <t>2025-09-04 15:23:18.1908</t>
  </si>
  <si>
    <t>2025-09-04 15:23:18.1909</t>
  </si>
  <si>
    <t>2025-09-04 15:23:18.1910</t>
  </si>
  <si>
    <t>2025-09-04 15:23:18.1911</t>
  </si>
  <si>
    <t>2025-09-04 15:23:18.1912</t>
  </si>
  <si>
    <t>2025-09-04 15:23:18.1913</t>
  </si>
  <si>
    <t>2025-09-04 15:23:18.1914</t>
  </si>
  <si>
    <t>2025-09-04 15:23:18.1915</t>
  </si>
  <si>
    <t>2025-09-04 15:23:18.1916</t>
  </si>
  <si>
    <t>2025-09-04 15:23:18.1917</t>
  </si>
  <si>
    <t>2025-09-04 15:23:18.1918</t>
  </si>
  <si>
    <t>2025-09-04 15:23:18.1919</t>
  </si>
  <si>
    <t>2025-09-04 15:23:18.1920</t>
  </si>
  <si>
    <t>2025-09-04 15:23:18.1921</t>
  </si>
  <si>
    <t>2025-09-04 15:23:18.1922</t>
  </si>
  <si>
    <t>2025-09-04 15:23:18.1923</t>
  </si>
  <si>
    <t>2025-09-04 15:23:18.1924</t>
  </si>
  <si>
    <t>2025-09-04 15:23:18.1925</t>
  </si>
  <si>
    <t>2025-09-04 15:23:18.1926</t>
  </si>
  <si>
    <t>2025-09-04 15:23:18.1927</t>
  </si>
  <si>
    <t>2025-09-04 15:23:18.1928</t>
  </si>
  <si>
    <t>2025-09-04 15:23:18.1929</t>
  </si>
  <si>
    <t>2025-09-04 15:23:18.1930</t>
  </si>
  <si>
    <t>2025-09-04 15:23:18.1931</t>
  </si>
  <si>
    <t>2025-09-04 15:23:18.1932</t>
  </si>
  <si>
    <t>2025-09-04 15:23:18.1933</t>
  </si>
  <si>
    <t>2025-09-04 15:23:18.1934</t>
  </si>
  <si>
    <t>2025-09-04 15:23:18.1935</t>
  </si>
  <si>
    <t>2025-09-04 15:23:18.1936</t>
  </si>
  <si>
    <t>2025-09-04 15:23:18.1937</t>
  </si>
  <si>
    <t>2025-09-04 15:23:18.1938</t>
  </si>
  <si>
    <t>2025-09-04 15:23:18.1939</t>
  </si>
  <si>
    <t>2025-09-04 15:23:18.1940</t>
  </si>
  <si>
    <t>2025-09-04 15:23:18.1941</t>
  </si>
  <si>
    <t>2025-09-04 15:23:18.1942</t>
  </si>
  <si>
    <t>2025-09-04 15:23:18.1943</t>
  </si>
  <si>
    <t>2025-09-04 15:23:18.1944</t>
  </si>
  <si>
    <t>2025-09-04 15:23:18.1945</t>
  </si>
  <si>
    <t>2025-09-04 15:23:18.1946</t>
  </si>
  <si>
    <t>2025-09-04 15:23:18.1947</t>
  </si>
  <si>
    <t>2025-09-04 15:23:18.1948</t>
  </si>
  <si>
    <t>2025-09-04 15:23:18.1949</t>
  </si>
  <si>
    <t>2025-09-04 15:23:18.1950</t>
  </si>
  <si>
    <t>2025-09-04 15:23:18.1951</t>
  </si>
  <si>
    <t>2025-09-04 15:23:18.1952</t>
  </si>
  <si>
    <t>2025-09-04 15:23:18.1953</t>
  </si>
  <si>
    <t>2025-09-04 15:23:18.1954</t>
  </si>
  <si>
    <t>2025-09-04 15:23:18.1955</t>
  </si>
  <si>
    <t>2025-09-04 15:23:18.1956</t>
  </si>
  <si>
    <t>2025-09-04 15:23:18.1957</t>
  </si>
  <si>
    <t>2025-09-04 15:23:18.1958</t>
  </si>
  <si>
    <t>2025-09-04 15:23:18.1959</t>
  </si>
  <si>
    <t>2025-09-04 15:23:18.1960</t>
  </si>
  <si>
    <t>2025-09-04 15:23:18.1961</t>
  </si>
  <si>
    <t>2025-09-04 15:23:18.1962</t>
  </si>
  <si>
    <t>2025-09-04 15:23:18.1963</t>
  </si>
  <si>
    <t>2025-09-04 15:23:18.1964</t>
  </si>
  <si>
    <t>2025-09-04 15:23:18.1965</t>
  </si>
  <si>
    <t>2025-09-04 15:23:18.1966</t>
  </si>
  <si>
    <t>2025-09-04 15:23:18.1967</t>
  </si>
  <si>
    <t>2025-09-04 15:23:18.1968</t>
  </si>
  <si>
    <t>2025-09-04 15:23:18.1969</t>
  </si>
  <si>
    <t>2025-09-04 15:23:18.1970</t>
  </si>
  <si>
    <t>2025-09-04 15:23:18.1971</t>
  </si>
  <si>
    <t>2025-09-04 15:23:18.1972</t>
  </si>
  <si>
    <t>2025-09-04 15:23:18.1973</t>
  </si>
  <si>
    <t>2025-09-04 15:23:18.1974</t>
  </si>
  <si>
    <t>2025-09-04 15:23:18.1975</t>
  </si>
  <si>
    <t>2025-09-04 15:23:18.1976</t>
  </si>
  <si>
    <t>2025-09-04 15:23:18.1977</t>
  </si>
  <si>
    <t>2025-09-04 15:23:18.1978</t>
  </si>
  <si>
    <t>2025-09-04 15:23:18.1979</t>
  </si>
  <si>
    <t>2025-09-04 15:23:18.1980</t>
  </si>
  <si>
    <t>2025-09-04 15:23:18.1981</t>
  </si>
  <si>
    <t>2025-09-04 15:23:18.1982</t>
  </si>
  <si>
    <t>2025-09-04 15:23:18.1983</t>
  </si>
  <si>
    <t>2025-09-04 15:23:18.1984</t>
  </si>
  <si>
    <t>2025-09-04 15:23:18.1985</t>
  </si>
  <si>
    <t>2025-09-04 15:23:18.1986</t>
  </si>
  <si>
    <t>2025-09-04 15:23:18.1987</t>
  </si>
  <si>
    <t>2025-09-04 15:23:18.1988</t>
  </si>
  <si>
    <t>2025-09-04 15:23:18.1989</t>
  </si>
  <si>
    <t>2025-09-04 15:23:18.1990</t>
  </si>
  <si>
    <t>2025-09-04 15:23:18.1991</t>
  </si>
  <si>
    <t>2025-09-04 15:23:18.1992</t>
  </si>
  <si>
    <t>2025-09-04 15:23:18.1993</t>
  </si>
  <si>
    <t>2025-09-04 15:23:18.1994</t>
  </si>
  <si>
    <t>2025-09-04 15:23:18.1995</t>
  </si>
  <si>
    <t>2025-09-04 15:23:18.1996</t>
  </si>
  <si>
    <t>2025-09-04 15:23:18.1997</t>
  </si>
  <si>
    <t>2025-09-04 15:23:18.1998</t>
  </si>
  <si>
    <t>2025-09-04 15:23:18.1999</t>
  </si>
  <si>
    <t>2025-09-04 15:23:18.2000</t>
  </si>
  <si>
    <t>2025-09-04 15:23:18.2001</t>
  </si>
  <si>
    <t>2025-09-04 15:23:18.2002</t>
  </si>
  <si>
    <t>2025-09-04 15:23:18.2003</t>
  </si>
  <si>
    <t>2025-09-04 15:23:18.2004</t>
  </si>
  <si>
    <t>2025-09-04 15:23:18.2005</t>
  </si>
  <si>
    <t>2025-09-04 15:23:18.2006</t>
  </si>
  <si>
    <t>2025-09-04 15:23:18.2007</t>
  </si>
  <si>
    <t>2025-09-04 15:23:18.2008</t>
  </si>
  <si>
    <t>2025-09-04 15:23:18.2009</t>
  </si>
  <si>
    <t>2025-09-04 15:23:18.2010</t>
  </si>
  <si>
    <t>2025-09-04 15:23:18.2011</t>
  </si>
  <si>
    <t>2025-09-04 15:23:18.2012</t>
  </si>
  <si>
    <t>2025-09-04 15:23:18.2013</t>
  </si>
  <si>
    <t>2025-09-04 15:23:18.2014</t>
  </si>
  <si>
    <t>2025-09-04 15:23:18.2015</t>
  </si>
  <si>
    <t>2025-09-04 15:23:18.2016</t>
  </si>
  <si>
    <t>2025-09-04 15:23:18.2017</t>
  </si>
  <si>
    <t>2025-09-04 15:23:18.2018</t>
  </si>
  <si>
    <t>2025-09-04 15:23:18.2019</t>
  </si>
  <si>
    <t>2025-09-04 15:23:18.2020</t>
  </si>
  <si>
    <t>2025-09-04 15:23:18.2021</t>
  </si>
  <si>
    <t>2025-09-04 15:23:18.2022</t>
  </si>
  <si>
    <t>2025-09-04 15:23:18.2023</t>
  </si>
  <si>
    <t>2025-09-04 15:23:18.2024</t>
  </si>
  <si>
    <t>2025-09-04 15:23:18.2025</t>
  </si>
  <si>
    <t>2025-09-04 15:23:18.2026</t>
  </si>
  <si>
    <t>2025-09-04 15:23:18.2027</t>
  </si>
  <si>
    <t>2025-09-04 15:23:18.2028</t>
  </si>
  <si>
    <t>2025-09-04 15:23:18.2029</t>
  </si>
  <si>
    <t>2025-09-04 15:23:18.2030</t>
  </si>
  <si>
    <t>2025-09-04 15:23:18.2031</t>
  </si>
  <si>
    <t>2025-09-04 15:23:18.2032</t>
  </si>
  <si>
    <t>2025-09-04 15:23:18.2033</t>
  </si>
  <si>
    <t>2025-09-04 15:23:18.2034</t>
  </si>
  <si>
    <t>2025-09-04 15:23:18.2035</t>
  </si>
  <si>
    <t>2025-09-04 15:23:18.2036</t>
  </si>
  <si>
    <t>2025-09-04 15:23:18.2037</t>
  </si>
  <si>
    <t>2025-09-04 15:23:18.2038</t>
  </si>
  <si>
    <t>2025-09-04 15:23:18.2039</t>
  </si>
  <si>
    <t>2025-09-04 15:23:18.2040</t>
  </si>
  <si>
    <t>2025-09-04 15:23:18.2041</t>
  </si>
  <si>
    <t>2025-09-04 15:23:18.2042</t>
  </si>
  <si>
    <t>2025-09-04 15:23:18.2043</t>
  </si>
  <si>
    <t>2025-09-04 15:23:18.2044</t>
  </si>
  <si>
    <t>2025-09-04 15:23:18.2045</t>
  </si>
  <si>
    <t>2025-09-04 15:23:18.2046</t>
  </si>
  <si>
    <t>2025-09-04 15:23:18.2047</t>
  </si>
  <si>
    <t>2025-09-04 15:23:18.2048</t>
  </si>
  <si>
    <t>2025-09-04 15:23:18.2049</t>
  </si>
  <si>
    <t>2025-09-04 15:23:18.2050</t>
  </si>
  <si>
    <t>2025-09-04 15:23:18.2051</t>
  </si>
  <si>
    <t>2025-09-04 15:23:18.2052</t>
  </si>
  <si>
    <t>2025-09-04 15:23:18.2053</t>
  </si>
  <si>
    <t>2025-09-04 15:23:18.2054</t>
  </si>
  <si>
    <t>2025-09-04 15:23:18.2055</t>
  </si>
  <si>
    <t>2025-09-04 15:23:18.2056</t>
  </si>
  <si>
    <t>2025-09-04 15:23:18.2057</t>
  </si>
  <si>
    <t>2025-09-04 15:23:18.2058</t>
  </si>
  <si>
    <t>2025-09-04 15:23:18.2059</t>
  </si>
  <si>
    <t>2025-09-04 15:23:18.2060</t>
  </si>
  <si>
    <t>2025-09-04 15:23:18.2061</t>
  </si>
  <si>
    <t>2025-09-04 15:23:18.2062</t>
  </si>
  <si>
    <t>2025-09-04 15:23:18.2063</t>
  </si>
  <si>
    <t>2025-09-04 15:23:18.2064</t>
  </si>
  <si>
    <t>2025-09-04 15:23:18.2065</t>
  </si>
  <si>
    <t>2025-09-04 15:23:18.2066</t>
  </si>
  <si>
    <t>2025-09-04 15:23:18.2067</t>
  </si>
  <si>
    <t>2025-09-04 15:23:18.2068</t>
  </si>
  <si>
    <t>2025-09-04 15:23:18.2069</t>
  </si>
  <si>
    <t>2025-09-04 15:23:18.2070</t>
  </si>
  <si>
    <t>2025-09-04 15:23:18.2071</t>
  </si>
  <si>
    <t>2025-09-04 15:23:18.2072</t>
  </si>
  <si>
    <t>2025-09-04 15:23:18.2073</t>
  </si>
  <si>
    <t>2025-09-04 15:23:18.2074</t>
  </si>
  <si>
    <t>2025-09-04 15:23:18.2075</t>
  </si>
  <si>
    <t>2025-09-04 15:23:18.2076</t>
  </si>
  <si>
    <t>2025-09-04 15:23:18.2077</t>
  </si>
  <si>
    <t>2025-09-04 15:23:18.2078</t>
  </si>
  <si>
    <t>2025-09-04 15:23:18.2079</t>
  </si>
  <si>
    <t>2025-09-04 15:23:18.2080</t>
  </si>
  <si>
    <t>2025-09-04 15:23:18.2081</t>
  </si>
  <si>
    <t>2025-09-04 15:23:18.2082</t>
  </si>
  <si>
    <t>2025-09-04 15:23:18.2083</t>
  </si>
  <si>
    <t>2025-09-04 15:23:18.2084</t>
  </si>
  <si>
    <t>2025-09-04 15:23:18.2085</t>
  </si>
  <si>
    <t>2025-09-04 15:23:18.2086</t>
  </si>
  <si>
    <t>2025-09-04 15:23:18.2087</t>
  </si>
  <si>
    <t>2025-09-04 15:23:18.2088</t>
  </si>
  <si>
    <t>2025-09-04 15:23:18.2089</t>
  </si>
  <si>
    <t>2025-09-04 15:23:18.2090</t>
  </si>
  <si>
    <t>2025-09-04 15:23:18.2091</t>
  </si>
  <si>
    <t>2025-09-04 15:23:18.2092</t>
  </si>
  <si>
    <t>2025-09-04 15:23:18.2093</t>
  </si>
  <si>
    <t>2025-09-04 15:23:18.2094</t>
  </si>
  <si>
    <t>2025-09-04 15:23:18.2095</t>
  </si>
  <si>
    <t>2025-09-04 15:23:18.2096</t>
  </si>
  <si>
    <t>2025-09-04 15:23:18.2097</t>
  </si>
  <si>
    <t>2025-09-04 15:23:18.2098</t>
  </si>
  <si>
    <t>2025-09-04 15:23:18.2099</t>
  </si>
  <si>
    <t>2025-09-04 15:23:18.2100</t>
  </si>
  <si>
    <t>2025-09-04 15:23:18.2101</t>
  </si>
  <si>
    <t>2025-09-04 15:23:18.2102</t>
  </si>
  <si>
    <t>2025-09-04 15:23:18.2103</t>
  </si>
  <si>
    <t>2025-09-04 15:23:18.2104</t>
  </si>
  <si>
    <t>2025-09-04 15:23:18.2105</t>
  </si>
  <si>
    <t>2025-09-04 15:23:18.2106</t>
  </si>
  <si>
    <t>2025-09-04 15:23:18.2107</t>
  </si>
  <si>
    <t>2025-09-04 15:23:18.2108</t>
  </si>
  <si>
    <t>2025-09-04 15:23:18.2109</t>
  </si>
  <si>
    <t>2025-09-04 15:23:18.2110</t>
  </si>
  <si>
    <t>2025-09-04 15:23:18.2111</t>
  </si>
  <si>
    <t>2025-09-04 15:23:18.2112</t>
  </si>
  <si>
    <t>2025-09-04 15:23:18.2113</t>
  </si>
  <si>
    <t>2025-09-04 15:23:18.2114</t>
  </si>
  <si>
    <t>2025-09-04 15:23:18.2115</t>
  </si>
  <si>
    <t>2025-09-04 15:23:18.2116</t>
  </si>
  <si>
    <t>2025-09-04 15:23:18.2117</t>
  </si>
  <si>
    <t>2025-09-04 15:23:18.2118</t>
  </si>
  <si>
    <t>2025-09-04 15:23:18.2119</t>
  </si>
  <si>
    <t>2025-09-04 15:23:18.2120</t>
  </si>
  <si>
    <t>2025-09-04 15:23:18.2121</t>
  </si>
  <si>
    <t>2025-09-04 15:23:18.2122</t>
  </si>
  <si>
    <t>2025-09-04 15:23:18.2123</t>
  </si>
  <si>
    <t>2025-09-04 15:23:18.2124</t>
  </si>
  <si>
    <t>2025-09-04 15:23:18.2125</t>
  </si>
  <si>
    <t>2025-09-04 15:23:18.2126</t>
  </si>
  <si>
    <t>2025-09-04 15:23:18.2127</t>
  </si>
  <si>
    <t>2025-09-04 15:23:18.2128</t>
  </si>
  <si>
    <t>2025-09-04 15:23:18.2129</t>
  </si>
  <si>
    <t>2025-09-04 15:23:18.2130</t>
  </si>
  <si>
    <t>2025-09-04 15:23:18.2131</t>
  </si>
  <si>
    <t>2025-09-04 15:23:18.2132</t>
  </si>
  <si>
    <t>2025-09-04 15:23:18.2133</t>
  </si>
  <si>
    <t>2025-09-04 15:23:18.2134</t>
  </si>
  <si>
    <t>2025-09-04 15:23:18.2135</t>
  </si>
  <si>
    <t>2025-09-04 15:23:18.2136</t>
  </si>
  <si>
    <t>2025-09-04 15:23:18.2137</t>
  </si>
  <si>
    <t>2025-09-04 15:23:18.2138</t>
  </si>
  <si>
    <t>2025-09-04 15:23:18.2139</t>
  </si>
  <si>
    <t>2025-09-04 15:23:18.2140</t>
  </si>
  <si>
    <t>2025-09-04 15:23:18.2141</t>
  </si>
  <si>
    <t>2025-09-04 15:23:18.2142</t>
  </si>
  <si>
    <t>2025-09-04 15:23:18.2143</t>
  </si>
  <si>
    <t>2025-09-04 15:23:18.2144</t>
  </si>
  <si>
    <t>2025-09-04 15:23:18.2145</t>
  </si>
  <si>
    <t>2025-09-04 15:23:18.2146</t>
  </si>
  <si>
    <t>2025-09-04 15:23:18.2147</t>
  </si>
  <si>
    <t>2025-09-04 15:23:18.2148</t>
  </si>
  <si>
    <t>2025-09-04 15:23:18.2149</t>
  </si>
  <si>
    <t>2025-09-04 15:23:18.2150</t>
  </si>
  <si>
    <t>2025-09-04 15:23:18.2151</t>
  </si>
  <si>
    <t>2025-09-04 15:23:18.2152</t>
  </si>
  <si>
    <t>2025-09-04 15:23:18.2153</t>
  </si>
  <si>
    <t>2025-09-04 15:23:18.2154</t>
  </si>
  <si>
    <t>2025-09-04 15:23:18.2155</t>
  </si>
  <si>
    <t>2025-09-04 15:23:18.2156</t>
  </si>
  <si>
    <t>2025-09-04 15:23:18.2157</t>
  </si>
  <si>
    <t>2025-09-04 15:23:18.2158</t>
  </si>
  <si>
    <t>2025-09-04 15:23:18.2159</t>
  </si>
  <si>
    <t>2025-09-04 15:23:18.2160</t>
  </si>
  <si>
    <t>2025-09-04 15:23:18.2161</t>
  </si>
  <si>
    <t>2025-09-04 15:23:18.2162</t>
  </si>
  <si>
    <t>2025-09-04 15:23:18.2163</t>
  </si>
  <si>
    <t>2025-09-04 15:23:18.2164</t>
  </si>
  <si>
    <t>2025-09-04 15:23:18.2165</t>
  </si>
  <si>
    <t>2025-09-04 15:23:18.2166</t>
  </si>
  <si>
    <t>2025-09-04 15:23:18.2167</t>
  </si>
  <si>
    <t>2025-09-04 15:23:18.2168</t>
  </si>
  <si>
    <t>2025-09-04 15:23:18.2169</t>
  </si>
  <si>
    <t>2025-09-04 15:23:18.2170</t>
  </si>
  <si>
    <t>2025-09-04 15:23:18.2171</t>
  </si>
  <si>
    <t>2025-09-04 15:23:18.2172</t>
  </si>
  <si>
    <t>2025-09-04 15:23:18.2173</t>
  </si>
  <si>
    <t>2025-09-04 15:23:18.2174</t>
  </si>
  <si>
    <t>2025-09-04 15:23:18.2175</t>
  </si>
  <si>
    <t>2025-09-04 15:23:18.2176</t>
  </si>
  <si>
    <t>2025-09-04 15:23:18.2177</t>
  </si>
  <si>
    <t>2025-09-04 15:23:18.2178</t>
  </si>
  <si>
    <t>2025-09-04 15:23:18.2179</t>
  </si>
  <si>
    <t>2025-09-04 15:23:18.2180</t>
  </si>
  <si>
    <t>2025-09-04 15:23:18.2181</t>
  </si>
  <si>
    <t>2025-09-04 15:23:18.2182</t>
  </si>
  <si>
    <t>2025-09-04 15:23:18.2183</t>
  </si>
  <si>
    <t>2025-09-04 15:23:18.2184</t>
  </si>
  <si>
    <t>2025-09-04 15:23:18.2185</t>
  </si>
  <si>
    <t>2025-09-04 15:23:18.2186</t>
  </si>
  <si>
    <t>2025-09-04 15:23:18.2187</t>
  </si>
  <si>
    <t>2025-09-04 15:23:18.2188</t>
  </si>
  <si>
    <t>2025-09-04 15:23:18.2189</t>
  </si>
  <si>
    <t>2025-09-04 15:23:18.2190</t>
  </si>
  <si>
    <t>2025-09-04 15:23:18.2191</t>
  </si>
  <si>
    <t>2025-09-04 15:23:18.2192</t>
  </si>
  <si>
    <t>2025-09-04 15:23:18.2193</t>
  </si>
  <si>
    <t>2025-09-04 15:23:18.2194</t>
  </si>
  <si>
    <t>2025-09-04 15:23:18.2195</t>
  </si>
  <si>
    <t>2025-09-04 15:23:18.2196</t>
  </si>
  <si>
    <t>2025-09-04 15:23:18.2197</t>
  </si>
  <si>
    <t>2025-09-04 15:23:18.2198</t>
  </si>
  <si>
    <t>2025-09-04 15:23:18.2199</t>
  </si>
  <si>
    <t>2025-09-04 15:23:18.2200</t>
  </si>
  <si>
    <t>2025-09-04 15:23:18.2201</t>
  </si>
  <si>
    <t>2025-09-04 15:23:18.2202</t>
  </si>
  <si>
    <t>2025-09-04 15:23:18.2203</t>
  </si>
  <si>
    <t>2025-09-04 15:23:18.2204</t>
  </si>
  <si>
    <t>2025-09-04 15:23:18.2205</t>
  </si>
  <si>
    <t>2025-09-04 15:23:18.2206</t>
  </si>
  <si>
    <t>2025-09-04 15:23:18.2207</t>
  </si>
  <si>
    <t>2025-09-04 15:23:18.2208</t>
  </si>
  <si>
    <t>2025-09-04 15:23:18.2209</t>
  </si>
  <si>
    <t>2025-09-04 15:23:18.2210</t>
  </si>
  <si>
    <t>2025-09-04 15:23:18.2211</t>
  </si>
  <si>
    <t>2025-09-04 15:23:18.2212</t>
  </si>
  <si>
    <t>2025-09-04 15:23:18.2213</t>
  </si>
  <si>
    <t>2025-09-04 15:23:18.2214</t>
  </si>
  <si>
    <t>2025-09-04 15:23:18.2215</t>
  </si>
  <si>
    <t>2025-09-04 15:23:18.2216</t>
  </si>
  <si>
    <t>2025-09-04 15:23:18.2217</t>
  </si>
  <si>
    <t>2025-09-04 15:23:18.2218</t>
  </si>
  <si>
    <t>2025-09-04 15:23:18.2219</t>
  </si>
  <si>
    <t>2025-09-04 15:23:18.2220</t>
  </si>
  <si>
    <t>2025-09-04 15:23:18.2221</t>
  </si>
  <si>
    <t>2025-09-04 15:23:18.2222</t>
  </si>
  <si>
    <t>2025-09-04 15:23:18.2223</t>
  </si>
  <si>
    <t>2025-09-04 15:23:18.2224</t>
  </si>
  <si>
    <t>2025-09-04 15:23:18.2225</t>
  </si>
  <si>
    <t>2025-09-04 15:23:18.2226</t>
  </si>
  <si>
    <t>2025-09-04 15:23:18.2227</t>
  </si>
  <si>
    <t>2025-09-04 15:23:18.2228</t>
  </si>
  <si>
    <t>2025-09-04 15:23:18.2229</t>
  </si>
  <si>
    <t>2025-09-04 15:23:18.2230</t>
  </si>
  <si>
    <t>2025-09-04 15:23:18.2231</t>
  </si>
  <si>
    <t>2025-09-04 15:23:18.2232</t>
  </si>
  <si>
    <t>2025-09-04 15:23:18.2233</t>
  </si>
  <si>
    <t>2025-09-04 15:23:18.2234</t>
  </si>
  <si>
    <t>2025-09-04 15:23:18.2235</t>
  </si>
  <si>
    <t>2025-09-04 15:23:18.2236</t>
  </si>
  <si>
    <t>2025-09-04 15:23:18.2237</t>
  </si>
  <si>
    <t>2025-09-04 15:23:18.2238</t>
  </si>
  <si>
    <t>2025-09-04 15:23:18.2239</t>
  </si>
  <si>
    <t>2025-09-04 15:23:18.2240</t>
  </si>
  <si>
    <t>2025-09-04 15:23:18.2241</t>
  </si>
  <si>
    <t>2025-09-04 15:23:18.2242</t>
  </si>
  <si>
    <t>2025-09-04 15:23:18.2243</t>
  </si>
  <si>
    <t>2025-09-04 15:23:18.2244</t>
  </si>
  <si>
    <t>2025-09-04 15:23:18.2245</t>
  </si>
  <si>
    <t>2025-09-04 15:23:18.2246</t>
  </si>
  <si>
    <t>2025-09-04 15:23:18.2247</t>
  </si>
  <si>
    <t>2025-09-04 15:23:18.2248</t>
  </si>
  <si>
    <t>2025-09-04 15:23:18.2249</t>
  </si>
  <si>
    <t>2025-09-04 15:23:18.2250</t>
  </si>
  <si>
    <t>2025-09-04 15:23:18.2251</t>
  </si>
  <si>
    <t>2025-09-04 15:23:18.2252</t>
  </si>
  <si>
    <t>2025-09-04 15:23:18.2253</t>
  </si>
  <si>
    <t>2025-09-04 15:23:18.2254</t>
  </si>
  <si>
    <t>2025-09-04 15:23:18.2255</t>
  </si>
  <si>
    <t>2025-09-04 15:23:18.2256</t>
  </si>
  <si>
    <t>2025-09-04 15:23:18.2257</t>
  </si>
  <si>
    <t>2025-09-04 15:23:18.2258</t>
  </si>
  <si>
    <t>2025-09-04 15:23:18.2259</t>
  </si>
  <si>
    <t>2025-09-04 15:23:18.2260</t>
  </si>
  <si>
    <t>2025-09-04 15:23:18.2261</t>
  </si>
  <si>
    <t>2025-09-04 15:23:18.2262</t>
  </si>
  <si>
    <t>2025-09-04 15:23:18.2263</t>
  </si>
  <si>
    <t>2025-09-04 15:23:18.2264</t>
  </si>
  <si>
    <t>2025-09-04 15:23:18.2265</t>
  </si>
  <si>
    <t>2025-09-04 15:23:18.2266</t>
  </si>
  <si>
    <t>2025-09-04 15:23:18.2267</t>
  </si>
  <si>
    <t>2025-09-04 15:23:18.2268</t>
  </si>
  <si>
    <t>2025-09-04 15:23:18.2269</t>
  </si>
  <si>
    <t>2025-09-04 15:23:18.2270</t>
  </si>
  <si>
    <t>2025-09-04 15:23:18.2271</t>
  </si>
  <si>
    <t>2025-09-04 15:23:18.2272</t>
  </si>
  <si>
    <t>2025-09-04 15:23:18.2273</t>
  </si>
  <si>
    <t>2025-09-04 15:23:18.2274</t>
  </si>
  <si>
    <t>2025-09-04 15:23:18.2275</t>
  </si>
  <si>
    <t>2025-09-04 15:23:18.2276</t>
  </si>
  <si>
    <t>2025-09-04 15:23:18.2277</t>
  </si>
  <si>
    <t>2025-09-04 15:23:18.2278</t>
  </si>
  <si>
    <t>2025-09-04 15:23:18.2279</t>
  </si>
  <si>
    <t>2025-09-04 15:23:18.2280</t>
  </si>
  <si>
    <t>2025-09-04 15:23:18.2281</t>
  </si>
  <si>
    <t>2025-09-04 15:23:18.2282</t>
  </si>
  <si>
    <t>2025-09-04 15:23:18.2283</t>
  </si>
  <si>
    <t>2025-09-04 15:23:18.2284</t>
  </si>
  <si>
    <t>2025-09-04 15:23:18.2285</t>
  </si>
  <si>
    <t>2025-09-04 15:23:18.2286</t>
  </si>
  <si>
    <t>2025-09-04 15:23:18.2287</t>
  </si>
  <si>
    <t>2025-09-04 15:23:18.2288</t>
  </si>
  <si>
    <t>2025-09-04 15:23:18.2289</t>
  </si>
  <si>
    <t>2025-09-04 15:23:18.2290</t>
  </si>
  <si>
    <t>2025-09-04 15:23:18.2291</t>
  </si>
  <si>
    <t>2025-09-04 15:23:18.2292</t>
  </si>
  <si>
    <t>2025-09-04 15:23:18.2293</t>
  </si>
  <si>
    <t>2025-09-04 15:23:18.2294</t>
  </si>
  <si>
    <t>2025-09-04 15:23:18.2297</t>
  </si>
  <si>
    <t>2025-09-04 15:23:18.2298</t>
  </si>
  <si>
    <t>2025-09-04 15:23:18.2299</t>
  </si>
  <si>
    <t>2025-09-04 15:23:18.2300</t>
  </si>
  <si>
    <t>2025-09-04 15:23:18.2301</t>
  </si>
  <si>
    <t>2025-09-04 15:23:18.2302</t>
  </si>
  <si>
    <t>2025-09-04 15:23:18.2303</t>
  </si>
  <si>
    <t>2025-09-04 15:23:18.2304</t>
  </si>
  <si>
    <t>2025-09-04 15:23:18.2305</t>
  </si>
  <si>
    <t>2025-09-04 15:23:18.2306</t>
  </si>
  <si>
    <t>2025-09-04 15:23:18.2307</t>
  </si>
  <si>
    <t>2025-09-04 15:23:18.2308</t>
  </si>
  <si>
    <t>2025-09-04 15:23:18.2309</t>
  </si>
  <si>
    <t>2025-09-04 15:23:18.2310</t>
  </si>
  <si>
    <t>2025-09-04 15:23:18.2311</t>
  </si>
  <si>
    <t>2025-09-04 15:23:18.2312</t>
  </si>
  <si>
    <t>2025-09-04 15:23:18.2313</t>
  </si>
  <si>
    <t>2025-09-04 15:23:18.2314</t>
  </si>
  <si>
    <t>2025-09-04 15:23:18.2315</t>
  </si>
  <si>
    <t>2025-09-04 15:23:18.2316</t>
  </si>
  <si>
    <t>2025-09-04 15:23:18.2317</t>
  </si>
  <si>
    <t>2025-09-04 15:23:18.2318</t>
  </si>
  <si>
    <t>2025-09-04 15:23:18.2319</t>
  </si>
  <si>
    <t>2025-09-04 15:23:18.2320</t>
  </si>
  <si>
    <t>2025-09-04 15:23:18.2321</t>
  </si>
  <si>
    <t>2025-09-04 15:23:18.2322</t>
  </si>
  <si>
    <t>2025-09-04 15:23:18.2323</t>
  </si>
  <si>
    <t>2025-09-04 15:23:18.2324</t>
  </si>
  <si>
    <t>2025-09-04 15:23:18.2325</t>
  </si>
  <si>
    <t>2025-09-04 15:23:18.2326</t>
  </si>
  <si>
    <t>2025-09-04 15:23:18.2327</t>
  </si>
  <si>
    <t>2025-09-04 15:23:18.2328</t>
  </si>
  <si>
    <t>2025-09-04 15:23:18.2329</t>
  </si>
  <si>
    <t>2025-09-04 15:23:18.2330</t>
  </si>
  <si>
    <t>2025-09-04 15:23:18.2331</t>
  </si>
  <si>
    <t>2025-09-04 15:23:18.2332</t>
  </si>
  <si>
    <t>2025-09-04 15:23:18.2333</t>
  </si>
  <si>
    <t>2025-09-04 15:23:18.2334</t>
  </si>
  <si>
    <t>2025-09-04 15:23:18.2335</t>
  </si>
  <si>
    <t>2025-09-04 15:23:18.2336</t>
  </si>
  <si>
    <t>2025-09-04 15:23:18.2337</t>
  </si>
  <si>
    <t>2025-09-04 15:23:18.2338</t>
  </si>
  <si>
    <t>UrunAciklamasiEn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</si>
</sst>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0" x14ac:knownFonts="1">
    <font>
      <sz val="11"/>
      <color theme="1"/>
      <name val="Calibri"/>
      <family val="2"/>
      <scheme val="minor"/>
    </font>
    <font>
      <sz val="10"/>
      <name val="Calibri Light"/>
      <family val="1"/>
      <charset val="162"/>
      <scheme val="major"/>
    </font>
    <font>
      <b/>
      <sz val="10"/>
      <name val="Calibri Light"/>
      <family val="1"/>
      <charset val="162"/>
      <scheme val="major"/>
    </font>
    <font>
      <sz val="10"/>
      <color rgb="FFFF0000"/>
      <name val="Calibri Light"/>
      <family val="1"/>
      <charset val="162"/>
      <scheme val="major"/>
    </font>
    <font>
      <sz val="10"/>
      <color theme="1"/>
      <name val="Calibri Light"/>
      <family val="1"/>
      <charset val="162"/>
      <scheme val="major"/>
    </font>
    <font>
      <sz val="10"/>
      <name val="Cambria"/>
      <family val="1"/>
      <charset val="162"/>
    </font>
    <font>
      <sz val="8.5"/>
      <name val="Cambria"/>
      <family val="1"/>
      <charset val="162"/>
    </font>
    <font>
      <sz val="10"/>
      <name val="Arial"/>
      <family val="2"/>
      <charset val="162"/>
    </font>
    <font>
      <sz val="11"/>
      <name val="Cambria"/>
      <family val="1"/>
      <charset val="162"/>
    </font>
    <font>
      <b/>
      <sz val="10"/>
      <name val="Cambria"/>
      <family val="1"/>
      <charset val="162"/>
    </font>
    <font>
      <sz val="12"/>
      <name val="Calibri"/>
      <family val="2"/>
      <charset val="162"/>
    </font>
    <font>
      <sz val="10"/>
      <color indexed="8"/>
      <name val="Cambria"/>
      <family val="1"/>
      <charset val="162"/>
    </font>
    <font>
      <i/>
      <sz val="10"/>
      <name val="Cambria"/>
      <family val="1"/>
      <charset val="162"/>
    </font>
    <font>
      <b/>
      <i/>
      <sz val="10"/>
      <name val="Cambria"/>
      <family val="1"/>
      <charset val="162"/>
    </font>
    <font>
      <sz val="10"/>
      <name val="Century Schoolbook"/>
      <family val="1"/>
      <charset val="162"/>
    </font>
    <font>
      <b/>
      <sz val="10"/>
      <color theme="1"/>
      <name val="Calibri Light"/>
      <family val="1"/>
      <charset val="162"/>
      <scheme val="major"/>
    </font>
    <font>
      <b/>
      <sz val="10"/>
      <name val="Arial Tur"/>
      <charset val="162"/>
    </font>
    <font>
      <b/>
      <i/>
      <sz val="10"/>
      <color theme="1"/>
      <name val="Calibri Light"/>
      <family val="1"/>
      <charset val="162"/>
      <scheme val="major"/>
    </font>
    <font>
      <sz val="8"/>
      <name val="Calibri"/>
      <family val="2"/>
      <scheme val="minor"/>
    </font>
    <font>
      <sz val="10"/>
      <name val="Calibri Light"/>
      <family val="2"/>
      <charset val="162"/>
      <scheme val="maj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5">
    <border>
      <left/>
      <right/>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theme="3" tint="0.79998168889431442"/>
      </left>
      <right/>
      <top style="thin">
        <color theme="3" tint="0.79998168889431442"/>
      </top>
      <bottom style="thin">
        <color theme="3" tint="0.79998168889431442"/>
      </bottom>
      <diagonal/>
    </border>
    <border>
      <left style="thin">
        <color theme="3" tint="0.79998168889431442"/>
      </left>
      <right style="thin">
        <color theme="3" tint="0.79998168889431442"/>
      </right>
      <top style="thin">
        <color theme="3" tint="0.79998168889431442"/>
      </top>
      <bottom/>
      <diagonal/>
    </border>
    <border>
      <left style="thin">
        <color theme="3" tint="0.79998168889431442"/>
      </left>
      <right style="thin">
        <color theme="3" tint="0.79998168889431442"/>
      </right>
      <top/>
      <bottom style="thin">
        <color theme="3" tint="0.79998168889431442"/>
      </bottom>
      <diagonal/>
    </border>
  </borders>
  <cellStyleXfs count="4">
    <xf numFmtId="0" fontId="0" fillId="0" borderId="0"/>
    <xf numFmtId="0" fontId="7" fillId="0" borderId="0"/>
    <xf numFmtId="0" fontId="7" fillId="0" borderId="0"/>
    <xf numFmtId="0" fontId="7" fillId="0" borderId="0"/>
  </cellStyleXfs>
  <cellXfs count="25">
    <xf numFmtId="0" fontId="0" fillId="0" borderId="0" xfId="0"/>
    <xf numFmtId="49" fontId="0" fillId="0" borderId="0" xfId="0" applyNumberFormat="1" applyAlignment="1">
      <alignment horizontal="center" vertical="center"/>
    </xf>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xf numFmtId="49" fontId="1" fillId="2" borderId="4" xfId="0" applyNumberFormat="1" applyFont="1" applyFill="1" applyBorder="1" applyAlignment="1">
      <alignment horizontal="center" vertical="center" wrapText="1"/>
    </xf>
    <xf numFmtId="49" fontId="1" fillId="2" borderId="1" xfId="1" applyNumberFormat="1" applyFont="1" applyFill="1" applyBorder="1" applyAlignment="1">
      <alignment horizontal="center" vertical="center" wrapText="1"/>
    </xf>
    <xf numFmtId="49" fontId="10" fillId="0" borderId="0" xfId="0" applyNumberFormat="1" applyFont="1" applyAlignment="1">
      <alignment horizontal="center" vertical="center" wrapText="1"/>
    </xf>
    <xf numFmtId="49" fontId="4" fillId="2"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1" fillId="2" borderId="1" xfId="2" applyNumberFormat="1" applyFont="1" applyFill="1" applyBorder="1" applyAlignment="1">
      <alignment horizontal="center" vertical="center" wrapText="1"/>
    </xf>
    <xf numFmtId="49" fontId="4" fillId="2" borderId="1" xfId="3"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2" fontId="0" fillId="0" borderId="0" xfId="0" applyNumberFormat="1" applyAlignment="1">
      <alignment horizontal="center" vertical="center"/>
    </xf>
    <xf numFmtId="2" fontId="15" fillId="2" borderId="1" xfId="0"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2" fontId="16" fillId="2" borderId="0" xfId="0" applyNumberFormat="1" applyFont="1" applyFill="1" applyAlignment="1">
      <alignment horizontal="center" vertical="center"/>
    </xf>
    <xf numFmtId="2" fontId="17" fillId="2" borderId="1" xfId="0" applyNumberFormat="1" applyFont="1" applyFill="1" applyBorder="1" applyAlignment="1">
      <alignment horizontal="center" vertical="center"/>
    </xf>
    <xf numFmtId="164" fontId="0" fillId="0" borderId="0" xfId="0" applyNumberFormat="1" applyAlignment="1">
      <alignment horizontal="center" vertical="center"/>
    </xf>
  </cellXfs>
  <cellStyles count="4">
    <cellStyle name="Normal" xfId="0" builtinId="0"/>
    <cellStyle name="Normal 3 2" xfId="3" xr:uid="{7D103D51-CDF8-40AB-94B8-28C7C06FC35E}"/>
    <cellStyle name="Normal 5" xfId="1" xr:uid="{7182DB2A-9B5C-4652-B8E9-EF2AD1747B18}"/>
    <cellStyle name="Normal 6" xfId="2" xr:uid="{CADEEDB8-D314-4DDA-8CC1-50AF51CECF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theme" Target="theme/theme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styles" Target="styles.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calcChain" Target="calcChain.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Et&#252;v%20Maliyeet.xlsm" TargetMode="External"/><Relationship Id="rId1" Type="http://schemas.openxmlformats.org/officeDocument/2006/relationships/externalLinkPath" Target="file:///\\liya\paylas&#305;mlar\SATI&#350;\L&#304;YA%20MAL&#304;YET\MAL&#304;YET%202016\Tamamlananlar\Et&#252;v%20Maliyee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199;UBUK%20ELEK.xlsx" TargetMode="External"/><Relationship Id="rId1" Type="http://schemas.openxmlformats.org/officeDocument/2006/relationships/externalLinkPath" Target="file:///\\liya\paylas&#305;mlar\SATI&#350;\L&#304;YA%20MAL&#304;YET\MAL&#304;YET%202016\Tamamlananlar\&#199;UBUK%20ELEK.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Elek%20Sallama%20Maliyet.xlsm" TargetMode="External"/><Relationship Id="rId1" Type="http://schemas.openxmlformats.org/officeDocument/2006/relationships/externalLinkPath" Target="file:///\\liya\paylas&#305;mlar\SATI&#350;\L&#304;YA%20MAL&#304;YET\MAL&#304;YET%202016\Tamamlananlar\Elek%20Sallama%20Maliye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Elek%20Sallama%20Maliyet.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B&#214;LGE&#199;LER2.xlsx" TargetMode="External"/><Relationship Id="rId1" Type="http://schemas.openxmlformats.org/officeDocument/2006/relationships/externalLinkPath" Target="file:///\\liya\paylas&#305;mlar\SATI&#350;\L&#304;YA%20MAL&#304;YET\MAL&#304;YET%202016\Tamamlananlar\B&#214;LGE&#199;LER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irim%20A&#287;&#305;rl&#305;k%20Kovas&#305;%20Maliyet.xlsm" TargetMode="External"/><Relationship Id="rId1" Type="http://schemas.openxmlformats.org/officeDocument/2006/relationships/externalLinkPath" Target="file:///\\192.168.1.11\paylas&#305;mlar\SATI&#350;\L&#304;YA%20MAL&#304;YET\MAL&#304;YET%202016\Tamamlananlar\Birim%20A&#287;&#305;rl&#305;k%20Kovas&#305;%20Maliyet.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Los%20Angeles%20MaliyEet.xlsm" TargetMode="External"/><Relationship Id="rId1" Type="http://schemas.openxmlformats.org/officeDocument/2006/relationships/externalLinkPath" Target="file:///\\liya\paylas&#305;mlar\SATI&#350;\L&#304;YA%20MAL&#304;YET\MAL&#304;YET%202016\Tamamlananlar\Los%20Angeles%20MaliyEet.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304;KRODEVAL.xlsm" TargetMode="External"/><Relationship Id="rId1" Type="http://schemas.openxmlformats.org/officeDocument/2006/relationships/externalLinkPath" Target="file:///\\liya\paylas&#305;mlar\SATI&#350;\L&#304;YA%20MAL&#304;YET\MAL&#304;YET%202016\Tamamlananlar\M&#304;KRODEVAL.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M&#304;KRODEVAL.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Agrega%20Darbe%20Maliyet.xlsm" TargetMode="External"/><Relationship Id="rId1" Type="http://schemas.openxmlformats.org/officeDocument/2006/relationships/externalLinkPath" Target="file:///\\192.168.1.11\paylas&#305;mlar\SATI&#350;\L&#304;YA%20MAL&#304;YET\MAL&#304;YET%202016\Tamamlananlar\Agrega%20Darbe%20Maliyet.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Agrega%20K&#305;r&#305;lma%20Maliyet.xlsm" TargetMode="External"/><Relationship Id="rId1" Type="http://schemas.openxmlformats.org/officeDocument/2006/relationships/externalLinkPath" Target="file:///\\liya\paylas&#305;mlar\SATI&#350;\L&#304;YA%20MAL&#304;YET\MAL&#304;YET%202016\Tamamlananlar\Agrega%20K&#305;r&#305;lma%20Maliyet.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Agrega%20K&#305;r&#305;lma%20Maliyet.xlsm" TargetMode="External"/><Relationship Id="rId1" Type="http://schemas.openxmlformats.org/officeDocument/2006/relationships/externalLinkPath" Target="file:///\\192.168.1.11\paylas&#305;mlar\SATI&#350;\L&#304;YA%20MAL&#304;YET\MAL&#304;YET%202016\Tamamlananlar\Agrega%20K&#305;r&#305;lma%20Maliyet.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um%20E&#351;de&#287;er%20Sallama%20Maliyet.xlsm" TargetMode="External"/><Relationship Id="rId1" Type="http://schemas.openxmlformats.org/officeDocument/2006/relationships/externalLinkPath" Target="file:///\\liya\paylas&#305;mlar\SATI&#350;\L&#304;YA%20MAL&#304;YET\MAL&#304;YET%202016\Tamamlananlar\Kum%20E&#351;de&#287;er%20Sallama%20Maliyet.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Metilen%20Maliyet.xlsm" TargetMode="External"/><Relationship Id="rId1" Type="http://schemas.openxmlformats.org/officeDocument/2006/relationships/externalLinkPath" Target="file:///\\192.168.1.11\paylas&#305;mlar\SATI&#350;\L&#304;YA%20MAL&#304;YET\MAL&#304;YET%202016\Tamamlananlar\Metilen%20Maliyet.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214;zg&#252;l%20A&#287;&#305;rl&#305;k%20Maliyet.xlsm" TargetMode="External"/><Relationship Id="rId1" Type="http://schemas.openxmlformats.org/officeDocument/2006/relationships/externalLinkPath" Target="file:///\\192.168.1.11\paylas&#305;mlar\SATI&#350;\L&#304;YA%20MAL&#304;YET\MAL&#304;YET%202016\Tamamlananlar\&#214;zg&#252;l%20A&#287;&#305;rl&#305;k%20Maliyet.xlsm"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50x50x200%203%20g&#246;zl&#252;%20insertli%20kal&#305;p.xlsm" TargetMode="External"/><Relationship Id="rId1" Type="http://schemas.openxmlformats.org/officeDocument/2006/relationships/externalLinkPath" Target="file:///\\liya\paylas&#305;mlar\SATI&#350;\L&#304;YA%20MAL&#304;YET\MAL&#304;YET%202016\Tamamlananlar\50x50x200%203%20g&#246;zl&#252;%20insertli%20kal&#305;p.xlsm"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res%20Maliyet.xlsm" TargetMode="External"/><Relationship Id="rId1" Type="http://schemas.openxmlformats.org/officeDocument/2006/relationships/externalLinkPath" Target="file:///\\liya\paylas&#305;mlar\SATI&#350;\L&#304;YA%20MAL&#304;YET\MAL&#304;YET%202016\Tamamlananlar\Pres%20Maliyet.xlsm"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Nokta%20Y&#252;kleme%20Maliyet.xlsm" TargetMode="External"/><Relationship Id="rId1" Type="http://schemas.openxmlformats.org/officeDocument/2006/relationships/externalLinkPath" Target="file:///\\liya\paylas&#305;mlar\SATI&#350;\L&#304;YA%20MAL&#304;YET\MAL&#304;YET%202016\Tamamlananlar\Nokta%20Y&#252;kleme%20Maliyet.xlsm"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AUTOMATIC%20S.P.T.xlsx" TargetMode="External"/><Relationship Id="rId1" Type="http://schemas.openxmlformats.org/officeDocument/2006/relationships/externalLinkPath" Target="file:///\\liya\paylas&#305;mlar\SATI&#350;\L&#304;YA%20MAL&#304;YET\MAL&#304;YET%202016\Tamamlananlar\AUTOMATIC%20S.P.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Santif&#252;j%20Extraktor%20Maliyet.xlsm"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Santif&#252;j%20Extraktor%20Maliyet.xlsm" TargetMode="External"/><Relationship Id="rId1" Type="http://schemas.openxmlformats.org/officeDocument/2006/relationships/externalLinkPath" Target="file:///\\liya\paylas&#305;mlar\SATI&#350;\L&#304;YA%20MAL&#304;YET\MAL&#304;YET%202016\Tamamlananlar\Santif&#252;j%20Extraktor%20Maliyet.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Refl&#252;ks%20(Soksilet)%20Ekstrakt&#246;r%20Test%20Seti,.xlsm"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Refl&#252;ks%20(Soksilet)%20Ekstrakt&#246;r%20Test%20Seti,.xlsm" TargetMode="External"/><Relationship Id="rId1" Type="http://schemas.openxmlformats.org/officeDocument/2006/relationships/externalLinkPath" Target="file:///\\liya\paylas&#305;mlar\SATI&#350;\L&#304;YA%20MAL&#304;YET\MAL&#304;YET%202016\Tamamlananlar\Refl&#252;ks%20(Soksilet)%20Ekstrakt&#246;r%20Test%20Seti,.xlsm"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Vakum%20Piknometresi%20Maliyet.xlsm" TargetMode="External"/><Relationship Id="rId1" Type="http://schemas.openxmlformats.org/officeDocument/2006/relationships/externalLinkPath" Target="file:///\\liya\paylas&#305;mlar\SATI&#350;\L&#304;YA%20MAL&#304;YET\MAL&#304;YET%202016\Tamamlananlar\Vakum%20Piknometresi%20Maliyet.xlsm"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enzin%20Motorlu%20Karot%20Makinas&#305;%20Maliyet.xlsm" TargetMode="External"/><Relationship Id="rId1" Type="http://schemas.openxmlformats.org/officeDocument/2006/relationships/externalLinkPath" Target="file:///\\192.168.1.11\paylas&#305;mlar\SATI&#350;\L&#304;YA%20MAL&#304;YET\MAL&#304;YET%202016\Tamamlananlar\Benzin%20Motorlu%20Karot%20Makinas&#305;%20Maliyet.xlsm"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nuel%20Marshall%20Tokmak%20Maliyet.xlsm" TargetMode="External"/><Relationship Id="rId1" Type="http://schemas.openxmlformats.org/officeDocument/2006/relationships/externalLinkPath" Target="file:///\\liya\paylas&#305;mlar\SATI&#350;\L&#304;YA%20MAL&#304;YET\MAL&#304;YET%202016\Tamamlananlar\Manuel%20Marshall%20Tokmak%20Maliyet.xlsm"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rshall%20Kal&#305;p%20Maliyet.xlsm" TargetMode="External"/><Relationship Id="rId1" Type="http://schemas.openxmlformats.org/officeDocument/2006/relationships/externalLinkPath" Target="file:///\\liya\paylas&#305;mlar\SATI&#350;\L&#304;YA%20MAL&#304;YET\MAL&#304;YET%202016\Tamamlananlar\Marshall%20Kal&#305;p%20Maliyet.xlsm"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rshall%20Numune%20&#199;&#305;kar&#305;c&#305;%20Maliyet.xlsm" TargetMode="External"/><Relationship Id="rId1" Type="http://schemas.openxmlformats.org/officeDocument/2006/relationships/externalLinkPath" Target="file:///\\liya\paylas&#305;mlar\SATI&#350;\L&#304;YA%20MAL&#304;YET\MAL&#304;YET%202016\Tamamlananlar\Marshall%20Numune%20&#199;&#305;kar&#305;c&#305;%20Maliyet.xlsm"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rshall%20Stabilite%20Test%20Cihaz&#305;%20Maliyet.xlsm" TargetMode="External"/><Relationship Id="rId1" Type="http://schemas.openxmlformats.org/officeDocument/2006/relationships/externalLinkPath" Target="file:///\\liya\paylas&#305;mlar\SATI&#350;\L&#304;YA%20MAL&#304;YET\MAL&#304;YET%202016\Tamamlananlar\Marshall%20Stabilite%20Test%20Cihaz&#305;%20Maliyet.xlsm"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OTOMAT&#304;K%20PENOTROMETER.xlsm" TargetMode="External"/><Relationship Id="rId1" Type="http://schemas.openxmlformats.org/officeDocument/2006/relationships/externalLinkPath" Target="file:///\\liya\paylas&#305;mlar\SATI&#350;\L&#304;YA%20MAL&#304;YET\MAL&#304;YET%202016\Tamamlananlar\OTOMAT&#304;K%20PENOTROMETER.xlsm"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Su%20Banyosu%20Maliyet.xlsm" TargetMode="External"/><Relationship Id="rId1" Type="http://schemas.openxmlformats.org/officeDocument/2006/relationships/externalLinkPath" Target="file:///\\192.168.1.11\paylas&#305;mlar\SATI&#350;\L&#304;YA%20MAL&#304;YET\MAL&#304;YET%202016\Tamamlananlar\Su%20Banyosu%20Maliyet.xlsm"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220;KT&#304;L&#304;TE.xlsm" TargetMode="External"/><Relationship Id="rId1" Type="http://schemas.openxmlformats.org/officeDocument/2006/relationships/externalLinkPath" Target="file:///\\liya\paylas&#305;mlar\SATI&#350;\L&#304;YA%20MAL&#304;YET\MAL&#304;YET%202016\Tamamlananlar\D&#220;KT&#304;L&#304;TE.xlsm"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252;ktilite%20kal&#305;b&#305;(%20astm%20d113).xlsm" TargetMode="External"/><Relationship Id="rId1" Type="http://schemas.openxmlformats.org/officeDocument/2006/relationships/externalLinkPath" Target="file:///\\liya\paylas&#305;mlar\SATI&#350;\L&#304;YA%20MAL&#304;YET\MAL&#304;YET%202016\Tamamlananlar\D&#252;ktilite%20kal&#305;b&#305;(%20astm%20d113).xlsm"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Yumu&#351;ama%20Noktas&#305;%20Maliyet.xlsm" TargetMode="External"/><Relationship Id="rId1" Type="http://schemas.openxmlformats.org/officeDocument/2006/relationships/externalLinkPath" Target="file:///\\liya\paylas&#305;mlar\SATI&#350;\L&#304;YA%20MAL&#304;YET\MAL&#304;YET%202016\Tamamlananlar\Yumu&#351;ama%20Noktas&#305;%20Maliyet.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Yumu&#351;ama%20Noktas&#305;%20Maliyet.xlsm"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OTOMAT&#304;K%20YUMU&#350;AMA%20NOKTASI.xlsm" TargetMode="External"/><Relationship Id="rId1" Type="http://schemas.openxmlformats.org/officeDocument/2006/relationships/externalLinkPath" Target="file:///\\liya\paylas&#305;mlar\SATI&#350;\L&#304;YA%20MAL&#304;YET\MAL&#304;YET%202016\Tamamlananlar\OTOMAT&#304;K%20YUMU&#350;AMA%20NOKTASI.xlsm"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Saybolt%20Viskozimetre%20Maliyet.xlsm" TargetMode="External"/><Relationship Id="rId1" Type="http://schemas.openxmlformats.org/officeDocument/2006/relationships/externalLinkPath" Target="file:///\\liya\paylas&#305;mlar\SATI&#350;\L&#304;YA%20MAL&#304;YET\MAL&#304;YET%202016\Tamamlananlar\Saybolt%20Viskozimetre%20Maliyet.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ANGO%20&#199;EK&#304;C&#304;.xlsm" TargetMode="External"/><Relationship Id="rId1" Type="http://schemas.openxmlformats.org/officeDocument/2006/relationships/externalLinkPath" Target="file:///\\liya\paylas&#305;mlar\SATI&#350;\L&#304;YA%20MAL&#304;YET\MAL&#304;YET%202016\Tamamlananlar\KANGO%20&#199;EK&#304;C&#304;.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Pres%20Maliyet.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RES%20ARA%20MESAFE.xlsx" TargetMode="External"/><Relationship Id="rId1" Type="http://schemas.openxmlformats.org/officeDocument/2006/relationships/externalLinkPath" Target="file:///\\liya\paylas&#305;mlar\SATI&#350;\L&#304;YA%20MAL&#304;YET\MAL&#304;YET%202016\Tamamlananlar\PRES%20ARA%20MESAFE.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E&#287;ilme%20Maliyet.xlsm"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c%20Presi(20-30t)%20maliyet.xlsm" TargetMode="External"/><Relationship Id="rId1" Type="http://schemas.openxmlformats.org/officeDocument/2006/relationships/externalLinkPath" Target="file:///\\192.168.1.11\paylas&#305;mlar\SATI&#350;\L&#304;YA%20MAL&#304;YET\MAL&#304;YET%202016\Tamamlananlar\c%20Presi(20-30t)%20maliyet.xlsm"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owel%20hole%20machine.xlsm" TargetMode="External"/><Relationship Id="rId1" Type="http://schemas.openxmlformats.org/officeDocument/2006/relationships/externalLinkPath" Target="file:///\\liya\paylas&#305;mlar\SATI&#350;\L&#304;YA%20MAL&#304;YET\MAL&#304;YET%202016\Tamamlananlar\dowel%20hole%20machine.xlsm"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ord&#252;r%20E&#287;ilme%20Maliyet.xlsm" TargetMode="External"/><Relationship Id="rId1" Type="http://schemas.openxmlformats.org/officeDocument/2006/relationships/externalLinkPath" Target="file:///\\192.168.1.11\paylas&#305;mlar\SATI&#350;\L&#304;YA%20MAL&#304;YET\MAL&#304;YET%202016\Tamamlananlar\Bord&#252;r%20E&#287;ilme%20Maliyet.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Karo%20E&#287;ilme%20Maliyet.xlsm"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220;P.%20S&#304;L&#304;ND&#304;R,%20PARKE%20YARMA.xlsm" TargetMode="External"/><Relationship Id="rId1" Type="http://schemas.openxmlformats.org/officeDocument/2006/relationships/externalLinkPath" Target="file:///\\liya\paylas&#305;mlar\SATI&#350;\L&#304;YA%20MAL&#304;YET\MAL&#304;YET%202016\Tamamlananlar\K&#220;P.%20S&#304;L&#304;ND&#304;R,%20PARKE%20YARMA.xlsm"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Ya&#287;mur%20Olu&#287;u%20Maliyet.xlsm" TargetMode="External"/><Relationship Id="rId1" Type="http://schemas.openxmlformats.org/officeDocument/2006/relationships/externalLinkPath" Target="file:///\\liya\paylas&#305;mlar\SATI&#350;\L&#304;YA%20MAL&#304;YET\MAL&#304;YET%202016\Tamamlananlar\Ya&#287;mur%20Olu&#287;u%20Maliyet.xlsm"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an%20Mikser%20Maliyet.xlsm" TargetMode="External"/><Relationship Id="rId1" Type="http://schemas.openxmlformats.org/officeDocument/2006/relationships/externalLinkPath" Target="file:///\\liya\paylas&#305;mlar\SATI&#350;\L&#304;YA%20MAL&#304;YET\MAL&#304;YET%202016\Tamamlananlar\Pan%20Mikser%20Maliyet.xlsm"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n&#246;matik%20slump.xlsm" TargetMode="External"/><Relationship Id="rId1" Type="http://schemas.openxmlformats.org/officeDocument/2006/relationships/externalLinkPath" Target="file:///\\liya\paylas&#305;mlar\SATI&#350;\L&#304;YA%20MAL&#304;YET\MAL&#304;YET%202016\Tamamlananlar\pn&#246;matik%20slump.xlsm"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Vebe%20Maliyet.xlsm" TargetMode="External"/><Relationship Id="rId1" Type="http://schemas.openxmlformats.org/officeDocument/2006/relationships/externalLinkPath" Target="file:///\\liya\paylas&#305;mlar\SATI&#350;\L&#304;YA%20MAL&#304;YET\MAL&#304;YET%202016\Tamamlananlar\Vebe%20Maliyet.xlsm"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ETON%20YAYILMA%20TABLASI.xlsm" TargetMode="External"/><Relationship Id="rId1" Type="http://schemas.openxmlformats.org/officeDocument/2006/relationships/externalLinkPath" Target="file:///\\192.168.1.11\paylas&#305;mlar\SATI&#350;\L&#304;YA%20MAL&#304;YET\MAL&#304;YET%202016\Tamamlananlar\BETON%20YAYILMA%20TABLASI.xlsm"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Hava%20&#214;l&#231;er%20Maliyet.xlsm" TargetMode="External"/><Relationship Id="rId1" Type="http://schemas.openxmlformats.org/officeDocument/2006/relationships/externalLinkPath" Target="file:///\\liya\paylas&#305;mlar\SATI&#350;\L&#304;YA%20MAL&#304;YET\MAL&#304;YET%202016\Tamamlananlar\Hava%20&#214;l&#231;er%20Maliyet.xlsm"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214;zg&#252;l%20A&#287;&#305;rl&#305;k%20Maliyet.xlsm" TargetMode="External"/><Relationship Id="rId1" Type="http://schemas.openxmlformats.org/officeDocument/2006/relationships/externalLinkPath" Target="file:///\\liya\paylas&#305;mlar\SATI&#350;\L&#304;YA%20MAL&#304;YET\MAL&#304;YET%202016\Tamamlananlar\&#214;zg&#252;l%20A&#287;&#305;rl&#305;k%20Maliyet.xlsm"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252;p%20Kal&#305;p%20Maliyet.xlsm" TargetMode="External"/><Relationship Id="rId1" Type="http://schemas.openxmlformats.org/officeDocument/2006/relationships/externalLinkPath" Target="file:///\\liya\paylas&#305;mlar\SATI&#350;\L&#304;YA%20MAL&#304;YET\MAL&#304;YET%202016\Tamamlananlar\K&#252;p%20Kal&#305;p%20Maliyet.xlsm"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Silindir%20Kal&#305;p%20Maliyet.xlsm" TargetMode="External"/><Relationship Id="rId1" Type="http://schemas.openxmlformats.org/officeDocument/2006/relationships/externalLinkPath" Target="file:///\\liya\paylas&#305;mlar\SATI&#350;\L&#304;YA%20MAL&#304;YET\MAL&#304;YET%202016\Tamamlananlar\Silindir%20Kal&#305;p%20Maliyet.xlsm"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ortatif%20Vibrasyon%20Masas&#305;%20Maliyet.xlsm" TargetMode="External"/><Relationship Id="rId1" Type="http://schemas.openxmlformats.org/officeDocument/2006/relationships/externalLinkPath" Target="file:///\\liya\paylas&#305;mlar\SATI&#350;\L&#304;YA%20MAL&#304;YET\MAL&#304;YET%202016\Tamamlananlar\portatif%20Vibrasyon%20Masas&#305;%20Maliyet.xlsm"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Vibrasyon%20Masas&#305;%20Maliyet.xlsm" TargetMode="External"/><Relationship Id="rId1" Type="http://schemas.openxmlformats.org/officeDocument/2006/relationships/externalLinkPath" Target="file:///\\liya\paylas&#305;mlar\SATI&#350;\L&#304;YA%20MAL&#304;YET\MAL&#304;YET%202016\Tamamlananlar\Vibrasyon%20Masas&#305;%20Maliyet.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252;r%20Tank&#305;%20Maliyet.xlsm" TargetMode="External"/><Relationship Id="rId1" Type="http://schemas.openxmlformats.org/officeDocument/2006/relationships/externalLinkPath" Target="file:///\\liya\paylas&#305;mlar\SATI&#350;\L&#304;YA%20MAL&#304;YET\MAL&#304;YET%202016\Tamamlananlar\K&#252;r%20Tank&#305;%20Maliyet.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K&#252;r%20Tank&#305;%20Maliyet.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Tra&#351;lama.xlsx"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Tra&#351;lama.xlsm" TargetMode="External"/><Relationship Id="rId1" Type="http://schemas.openxmlformats.org/officeDocument/2006/relationships/externalLinkPath" Target="file:///\\liya\paylas&#305;mlar\SATI&#350;\L&#304;YA%20MAL&#304;YET\MAL&#304;YET%202016\Tamamlananlar\Tra&#351;lama.xlsm"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emir%20&#199;ekme%20Maliyet.xlsm" TargetMode="External"/><Relationship Id="rId1" Type="http://schemas.openxmlformats.org/officeDocument/2006/relationships/externalLinkPath" Target="file:///\\liya\paylas&#305;mlar\SATI&#350;\L&#304;YA%20MAL&#304;YET\MAL&#304;YET%202016\Tamamlananlar\Demir%20&#199;ekme%20Maliyet.xlsm"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oru%20Presi%20Maliyet.xlsm" TargetMode="External"/><Relationship Id="rId1" Type="http://schemas.openxmlformats.org/officeDocument/2006/relationships/externalLinkPath" Target="file:///\\192.168.1.11\paylas&#305;mlar\SATI&#350;\L&#304;YA%20MAL&#304;YET\MAL&#304;YET%202016\Tamamlananlar\Boru%20Presi%20Maliyet.xlsm"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SA%20T&#304;P&#304;%20KESME%20MAL&#304;YET.xlsm" TargetMode="External"/><Relationship Id="rId1" Type="http://schemas.openxmlformats.org/officeDocument/2006/relationships/externalLinkPath" Target="file:///\\liya\paylas&#305;mlar\SATI&#350;\L&#304;YA%20MAL&#304;YET\MAL&#304;YET%202016\Tamamlananlar\MASA%20T&#304;P&#304;%20KESME%20MAL&#304;YET.xlsm"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ULON%20&#199;EKME%20(PULL%20OUT).xlsm" TargetMode="External"/><Relationship Id="rId1" Type="http://schemas.openxmlformats.org/officeDocument/2006/relationships/externalLinkPath" Target="file:///\\192.168.1.11\paylas&#305;mlar\SATI&#350;\L&#304;YA%20MAL&#304;YET\MAL&#304;YET%202016\Tamamlananlar\BULON%20&#199;EKME%20(PULL%20OUT).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ERMAB&#304;L&#304;TE%20MAL&#304;YET.xlsm" TargetMode="External"/><Relationship Id="rId1" Type="http://schemas.openxmlformats.org/officeDocument/2006/relationships/externalLinkPath" Target="file:///\\liya\paylas&#305;mlar\SATI&#350;\L&#304;YA%20MAL&#304;YET\MAL&#304;YET%202016\Tamamlananlar\PERMAB&#304;L&#304;TE%20MAL&#304;YET.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eton%20Test%20&#199;ekici.xlsm" TargetMode="External"/><Relationship Id="rId1" Type="http://schemas.openxmlformats.org/officeDocument/2006/relationships/externalLinkPath" Target="file:///\\192.168.1.11\paylas&#305;mlar\SATI&#350;\L&#304;YA%20MAL&#304;YET\MAL&#304;YET%202016\Tamamlananlar\Beton%20Test%20&#199;ekici.xlsm"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alibrasyon%20&#214;rs&#252;%20Maliyet.xlsm" TargetMode="External"/><Relationship Id="rId1" Type="http://schemas.openxmlformats.org/officeDocument/2006/relationships/externalLinkPath" Target="file:///\\liya\paylas&#305;mlar\SATI&#350;\L&#304;YA%20MAL&#304;YET\MAL&#304;YET%202016\Tamamlananlar\Kalibrasyon%20&#214;rs&#252;%20Maliyet.xlsm"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laine%20Maliyet.xlsm" TargetMode="External"/><Relationship Id="rId1" Type="http://schemas.openxmlformats.org/officeDocument/2006/relationships/externalLinkPath" Target="file:///\\192.168.1.11\paylas&#305;mlar\SATI&#350;\L&#304;YA%20MAL&#304;YET\MAL&#304;YET%202016\Tamamlananlar\Blaine%20Maliyet.xlsm"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40X40X160%20KALIP.xlsm" TargetMode="External"/><Relationship Id="rId1" Type="http://schemas.openxmlformats.org/officeDocument/2006/relationships/externalLinkPath" Target="file:///\\192.168.1.11\paylas&#305;mlar\SATI&#350;\L&#304;YA%20MAL&#304;YET\MAL&#304;YET%202016\Tamamlananlar\40X40X160%20KALIP.xlsm"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FLOW%20TABLE%20yay&#305;lma%20tablas&#305;.xlsx" TargetMode="External"/><Relationship Id="rId1" Type="http://schemas.openxmlformats.org/officeDocument/2006/relationships/externalLinkPath" Target="file:///\\liya\paylas&#305;mlar\SATI&#350;\L&#304;YA%20MAL&#304;YET\MAL&#304;YET%202016\Tamamlananlar\FLOW%20TABLE%20yay&#305;lma%20tablas&#305;.xlsx"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FLOW%20TABLE%20&#199;&#304;MENTO%20yay&#305;lma%20tablas&#305;.xlsx" TargetMode="External"/><Relationship Id="rId1" Type="http://schemas.openxmlformats.org/officeDocument/2006/relationships/externalLinkPath" Target="file:///\\liya\paylas&#305;mlar\SATI&#350;\L&#304;YA%20MAL&#304;YET\MAL&#304;YET%202016\Tamamlananlar\FLOW%20TABLE%20&#199;&#304;MENTO%20yay&#305;lma%20tablas&#305;.xlsx"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40X40X160%20KALIP.xlsm" TargetMode="External"/><Relationship Id="rId1" Type="http://schemas.openxmlformats.org/officeDocument/2006/relationships/externalLinkPath" Target="file:///\\liya\paylas&#305;mlar\SATI&#350;\L&#304;YA%20MAL&#304;YET\MAL&#304;YET%202016\Tamamlananlar\40X40X160%20KALIP.xlsm"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70,7%20KALIP.xlsm" TargetMode="External"/><Relationship Id="rId1" Type="http://schemas.openxmlformats.org/officeDocument/2006/relationships/externalLinkPath" Target="file:///\\liya\paylas&#305;mlar\SATI&#350;\L&#304;YA%20MAL&#304;YET\MAL&#304;YET%202016\Tamamlananlar\70,7%20KALIP.xlsm"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199;imento%20Presi%20Maliyet.xlsm" TargetMode="External"/><Relationship Id="rId1" Type="http://schemas.openxmlformats.org/officeDocument/2006/relationships/externalLinkPath" Target="file:///\\192.168.1.11\paylas&#305;mlar\SATI&#350;\L&#304;YA%20MAL&#304;YET\MAL&#304;YET%202016\Tamamlananlar\&#199;imento%20Presi%20Maliyet.xlsm"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ilyal&#305;%20De&#287;irmen%20Maliyet.xlsm" TargetMode="External"/><Relationship Id="rId1" Type="http://schemas.openxmlformats.org/officeDocument/2006/relationships/externalLinkPath" Target="file:///\\192.168.1.11\paylas&#305;mlar\SATI&#350;\L&#304;YA%20MAL&#304;YET\MAL&#304;YET%202016\Tamamlananlar\Bilyal&#305;%20De&#287;irmen%20Maliyet.xlsm"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Bilyal&#305;%20De&#287;irmen%20Maliyet.xlsm"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304;NAM&#304;K%20KON&#304;K%20PENETROMETRE.xlsm" TargetMode="External"/><Relationship Id="rId1" Type="http://schemas.openxmlformats.org/officeDocument/2006/relationships/externalLinkPath" Target="file:///\\liya\paylas&#305;mlar\SATI&#350;\L&#304;YA%20MAL&#304;YET\MAL&#304;YET%202016\Tamamlananlar\D&#304;NAM&#304;K%20KON&#304;K%20PENETROMETRE.xlsm"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otorlu%20Hidrolik%20Universal%20Numune%20&#199;&#305;kar&#305;c&#305;%20Maliyet.xlsm" TargetMode="External"/><Relationship Id="rId1" Type="http://schemas.openxmlformats.org/officeDocument/2006/relationships/externalLinkPath" Target="file:///\\liya\paylas&#305;mlar\SATI&#350;\L&#304;YA%20MAL&#304;YET\MAL&#304;YET%202016\Tamamlananlar\Motorlu%20Hidrolik%20Universal%20Numune%20&#199;&#305;kar&#305;c&#305;%20Maliyet.xlsm"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ON&#304;K%20PENETROMETRE.xlsm" TargetMode="External"/><Relationship Id="rId1" Type="http://schemas.openxmlformats.org/officeDocument/2006/relationships/externalLinkPath" Target="file:///\\liya\paylas&#305;mlar\SATI&#350;\L&#304;YA%20MAL&#304;YET\MAL&#304;YET%202016\Tamamlananlar\KON&#304;K%20PENETROMETRE.xlsm"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252;z&#252;lme%20limit%20kal&#305;b&#305;.xlsm" TargetMode="External"/><Relationship Id="rId1" Type="http://schemas.openxmlformats.org/officeDocument/2006/relationships/externalLinkPath" Target="file:///\\192.168.1.11\paylas&#305;mlar\SATI&#350;\L&#304;YA%20MAL&#304;YET\MAL&#304;YET%202016\Tamamlananlar\b&#252;z&#252;lme%20limit%20kal&#305;b&#305;.xlsm"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2,5%20ve%204,5%20kg%20tokmak.xlsm" TargetMode="External"/><Relationship Id="rId1" Type="http://schemas.openxmlformats.org/officeDocument/2006/relationships/externalLinkPath" Target="file:///\\192.168.1.11\paylas&#305;mlar\SATI&#350;\L&#304;YA%20MAL&#304;YET\MAL&#304;YET%202016\Tamamlananlar\2,5%20ve%204,5%20kg%20tokmak.xlsm"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OTOMAT&#304;K%20TOPRAK%20KOMPAKT&#214;R&#220;.xlsm" TargetMode="External"/><Relationship Id="rId1" Type="http://schemas.openxmlformats.org/officeDocument/2006/relationships/externalLinkPath" Target="file:///\\liya\paylas&#305;mlar\SATI&#350;\L&#304;YA%20MAL&#304;YET\MAL&#304;YET%202016\Tamamlananlar\OTOMAT&#304;K%20TOPRAK%20KOMPAKT&#214;R&#220;.xlsm"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CBR%20Test%20Cihaz&#305;%20Maliyet.xlsm" TargetMode="External"/><Relationship Id="rId1" Type="http://schemas.openxmlformats.org/officeDocument/2006/relationships/externalLinkPath" Target="file:///\\192.168.1.11\paylas&#305;mlar\SATI&#350;\L&#304;YA%20MAL&#304;YET\MAL&#304;YET%202016\Tamamlananlar\CBR%20Test%20Cihaz&#305;%20Maliyet.xlsm"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laka%20Y&#252;kleme%20Maliyet.xlsm" TargetMode="External"/><Relationship Id="rId1" Type="http://schemas.openxmlformats.org/officeDocument/2006/relationships/externalLinkPath" Target="file:///\\liya\paylas&#305;mlar\SATI&#350;\L&#304;YA%20MAL&#304;YET\MAL&#304;YET%202016\Tamamlananlar\Plaka%20Y&#252;kleme%20Maliyet.xlsm"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Plaka%20Y&#252;kleme%20Maliyet.xlsm"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um%20Konisi%20Seti.xlsm" TargetMode="External"/><Relationship Id="rId1" Type="http://schemas.openxmlformats.org/officeDocument/2006/relationships/externalLinkPath" Target="file:///\\liya\paylas&#305;mlar\SATI&#350;\L&#304;YA%20MAL&#304;YET\MAL&#304;YET%202016\Tamamlananlar\Kum%20Konisi%20Seti.xlsm"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Kum%20Konisi%20Seti.xlsm"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um%20Kesafet%20Set&#304;%20Maliyet.xlsm" TargetMode="External"/><Relationship Id="rId1" Type="http://schemas.openxmlformats.org/officeDocument/2006/relationships/externalLinkPath" Target="file:///\\liya\paylas&#305;mlar\SATI&#350;\L&#304;YA%20MAL&#304;YET\MAL&#304;YET%202016\Tamamlananlar\Kum%20Kesafet%20Set&#304;%20Maliyet.xlsm"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220;&#350;EN%20SEV&#304;YEL&#304;%20PERMAB&#304;L&#304;TE.xlsm" TargetMode="External"/><Relationship Id="rId1" Type="http://schemas.openxmlformats.org/officeDocument/2006/relationships/externalLinkPath" Target="file:///\\liya\paylas&#305;mlar\SATI&#350;\L&#304;YA%20MAL&#304;YET\MAL&#304;YET%202016\Tamamlananlar\D&#220;&#350;EN%20SEV&#304;YEL&#304;%20PERMAB&#304;L&#304;TE.xlsm"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ONSAL&#304;DASYON.xlsm" TargetMode="External"/><Relationship Id="rId1" Type="http://schemas.openxmlformats.org/officeDocument/2006/relationships/externalLinkPath" Target="file:///\\liya\paylas&#305;mlar\SATI&#350;\L&#304;YA%20MAL&#304;YET\MAL&#304;YET%202016\Tamamlananlar\KONSAL&#304;DASYON.xls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KONSAL&#304;DASYON.xlsm"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AUTOMATIC%20CONSALIDATION.xlsx" TargetMode="External"/><Relationship Id="rId1" Type="http://schemas.openxmlformats.org/officeDocument/2006/relationships/externalLinkPath" Target="file:///\\liya\paylas&#305;mlar\SATI&#350;\L&#304;YA%20MAL&#304;YET\MAL&#304;YET%202016\Tamamlananlar\AUTOMATIC%20CONSALIDATION.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3%20eksenli%20g&#246;vde.xlsm" TargetMode="External"/><Relationship Id="rId1" Type="http://schemas.openxmlformats.org/officeDocument/2006/relationships/externalLinkPath" Target="file:///\\192.168.1.11\paylas&#305;mlar\SATI&#350;\L&#304;YA%20MAL&#304;YET\MAL&#304;YET%202016\Tamamlananlar\3%20eksenli%20g&#246;vde.xlsm"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D&#304;REK%20KESME.xlsm" TargetMode="External"/><Relationship Id="rId1" Type="http://schemas.openxmlformats.org/officeDocument/2006/relationships/externalLinkPath" Target="file:///\\liya\paylas&#305;mlar\SATI&#350;\L&#304;YA%20MAL&#304;YET\MAL&#304;YET%202016\Tamamlananlar\D&#304;REK%20KESME.xlsm"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OTOMAT&#304;K%20D&#304;REK%20KESME.xlsm" TargetMode="External"/><Relationship Id="rId1" Type="http://schemas.openxmlformats.org/officeDocument/2006/relationships/externalLinkPath" Target="file:///\\liya\paylas&#305;mlar\SATI&#350;\L&#304;YA%20MAL&#304;YET\MAL&#304;YET%202016\Tamamlananlar\OTOMAT&#304;K%20D&#304;REK%20KESME.xlsm"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RELAT&#304;VE%20DENS&#304;TY.xlsm" TargetMode="External"/><Relationship Id="rId1" Type="http://schemas.openxmlformats.org/officeDocument/2006/relationships/externalLinkPath" Target="file:///\\liya\paylas&#305;mlar\SATI&#350;\L&#304;YA%20MAL&#304;YET\MAL&#304;YET%202016\Tamamlananlar\RELAT&#304;VE%20DENS&#304;TY.xlsm"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Karot%20Ta&#351;%20Kesme%20MTA%20Maliyet.xlsm" TargetMode="External"/><Relationship Id="rId1" Type="http://schemas.openxmlformats.org/officeDocument/2006/relationships/externalLinkPath" Target="file:///\\liya\paylas&#305;mlar\SATI&#350;\L&#304;YA%20MAL&#304;YET\MAL&#304;YET%202016\Tamamlananlar\Karot%20Ta&#351;%20Kesme%20MTA%20Maliyet.xlsm"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199;ENEL&#304;%20KIRICI.xlsm" TargetMode="External"/><Relationship Id="rId1" Type="http://schemas.openxmlformats.org/officeDocument/2006/relationships/externalLinkPath" Target="file:///\\192.168.1.11\paylas&#305;mlar\SATI&#350;\L&#304;YA%20MAL&#304;YET\MAL&#304;YET%202016\Tamamlananlar\&#199;ENEL&#304;%20KIRICI.xlsm"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214;ZEL%20&#199;ENEL&#304;%20KRICI.xlsm" TargetMode="External"/><Relationship Id="rId1" Type="http://schemas.openxmlformats.org/officeDocument/2006/relationships/externalLinkPath" Target="file:///\\liya\paylas&#305;mlar\SATI&#350;\L&#304;YA%20MAL&#304;YET\MAL&#304;YET%202016\Tamamlananlar\&#214;ZEL%20&#199;ENEL&#304;%20KRICI.xlsm"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PN&#214;MAT&#304;K%20D&#304;SKL&#304;%20&#214;&#286;&#220;T&#220;C&#220;%20.xlsm" TargetMode="External"/><Relationship Id="rId1" Type="http://schemas.openxmlformats.org/officeDocument/2006/relationships/externalLinkPath" Target="file:///\\liya\paylas&#305;mlar\SATI&#350;\L&#304;YA%20MAL&#304;YET\MAL&#304;YET%202016\Tamamlananlar\PN&#214;MAT&#304;K%20D&#304;SKL&#304;%20&#214;&#286;&#220;T&#220;C&#220;%20.xlsm"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214;&#286;&#220;T&#220;C&#220;%20HAZNE.xlsm" TargetMode="External"/><Relationship Id="rId1" Type="http://schemas.openxmlformats.org/officeDocument/2006/relationships/externalLinkPath" Target="file:///\\liya\paylas&#305;mlar\SATI&#350;\L&#304;YA%20MAL&#304;YET\MAL&#304;YET%202016\Tamamlananlar\&#214;&#286;&#220;T&#220;C&#220;%20HAZNE.xlsm"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as&#305;n&#231;l&#305;%20Filtre.xlsm" TargetMode="External"/><Relationship Id="rId1" Type="http://schemas.openxmlformats.org/officeDocument/2006/relationships/externalLinkPath" Target="file:///\\192.168.1.11\paylas&#305;mlar\SATI&#350;\L&#304;YA%20MAL&#304;YET\MAL&#304;YET%202016\Tamamlananlar\Bas&#305;n&#231;l&#305;%20Filtre.xlsm"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ERDANEL&#304;%20KIRICI(400).xlsx" TargetMode="External"/><Relationship Id="rId1" Type="http://schemas.openxmlformats.org/officeDocument/2006/relationships/externalLinkPath" Target="file:///\\liya\paylas&#305;mlar\SATI&#350;\L&#304;YA%20MAL&#304;YET\MAL&#304;YET%202016\Tamamlananlar\MERDANEL&#304;%20KIRICI(400).xlsx"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ICO(&#214;&#286;&#220;T&#220;C&#220;).xlsx" TargetMode="External"/><Relationship Id="rId1" Type="http://schemas.openxmlformats.org/officeDocument/2006/relationships/externalLinkPath" Target="file:///\\192.168.1.11\paylas&#305;mlar\SATI&#350;\L&#304;YA%20MAL&#304;YET\MAL&#304;YET%202016\Tamamlananlar\BICO(&#214;&#286;&#220;T&#220;C&#220;).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Halkal&#305;%20&#214;&#287;&#252;t&#252;c&#252;%20Maliyet.xlsm"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ilyal&#305;%20&#199;ubuklu%20De&#287;irmen.xlsm" TargetMode="External"/><Relationship Id="rId1" Type="http://schemas.openxmlformats.org/officeDocument/2006/relationships/externalLinkPath" Target="file:///\\192.168.1.11\paylas&#305;mlar\SATI&#350;\L&#304;YA%20MAL&#304;YET\MAL&#304;YET%202016\Tamamlananlar\Bilyal&#305;%20&#199;ubuklu%20De&#287;irmen.xlsm"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file:///\\192.168.1.11\paylas&#305;mlar\SATI&#350;\L&#304;YA%20MAL&#304;YET\MAL&#304;YET%202016\Tamamlananlar\bottle%20roller%20machine.xlsm" TargetMode="External"/><Relationship Id="rId1" Type="http://schemas.openxmlformats.org/officeDocument/2006/relationships/externalLinkPath" Target="file:///\\192.168.1.11\paylas&#305;mlar\SATI&#350;\L&#304;YA%20MAL&#304;YET\MAL&#304;YET%202016\Tamamlananlar\bottle%20roller%20machine.xls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Otomatik%20Numune%20B&#246;l&#252;c&#252;%20Maliyet.xlsm"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FLATASYON%20MAL&#304;YET.xlsm" TargetMode="External"/><Relationship Id="rId1" Type="http://schemas.openxmlformats.org/officeDocument/2006/relationships/externalLinkPath" Target="file:///\\liya\paylas&#305;mlar\SATI&#350;\L&#304;YA%20MAL&#304;YET\MAL&#304;YET%202016\Tamamlananlar\FLATASYON%20MAL&#304;YET.xlsm"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liya\paylas&#305;mlar\SATI&#350;\L&#304;YA%20MAL&#304;YET\MAL&#304;YET%202016\Tamamlananlar\drum%20mill%20tambur.xlsm"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liya\SATI&#350;\L&#304;YA%20MAL&#304;YET\MAL&#304;YET%202016\Tamamlananlar\MiCUM.xlsm"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304;SKET%20KIRMA.xlsm" TargetMode="External"/><Relationship Id="rId1" Type="http://schemas.openxmlformats.org/officeDocument/2006/relationships/externalLinkPath" Target="file:///\\liya\paylas&#305;mlar\SATI&#350;\L&#304;YA%20MAL&#304;YET\MAL&#304;YET%202016\Tamamlananlar\M&#304;SKET%20KIRMA.xlsm"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FLUX%20MIXER.xlsm" TargetMode="External"/><Relationship Id="rId1" Type="http://schemas.openxmlformats.org/officeDocument/2006/relationships/externalLinkPath" Target="file:///\\liya\paylas&#305;mlar\SATI&#350;\L&#304;YA%20MAL&#304;YET\MAL&#304;YET%202016\Tamamlananlar\FLUX%20MIXER.xlsm"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MANUEL%20PELENT%20PRES&#304;.xlsx" TargetMode="External"/><Relationship Id="rId1" Type="http://schemas.openxmlformats.org/officeDocument/2006/relationships/externalLinkPath" Target="file:///\\liya\paylas&#305;mlar\SATI&#350;\L&#304;YA%20MAL&#304;YET\MAL&#304;YET%202016\Tamamlananlar\MANUEL%20PELENT%20PRES&#304;.xlsx"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file:///\\liya\paylas&#305;mlar\SATI&#350;\L&#304;YA%20MAL&#304;YET\MAL&#304;YET%202016\Tamamlananlar\BATE%20MAL&#304;YET.xlsm" TargetMode="External"/><Relationship Id="rId1" Type="http://schemas.openxmlformats.org/officeDocument/2006/relationships/externalLinkPath" Target="file:///\\liya\paylas&#305;mlar\SATI&#350;\L&#304;YA%20MAL&#304;YET\MAL&#304;YET%202016\Tamamlananlar\BATE%20MAL&#304;YE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0 LT ETÜV"/>
      <sheetName val="120degisim"/>
      <sheetName val="250 LT ETÜV"/>
      <sheetName val="250degisim"/>
      <sheetName val="500 LT ETÜV"/>
      <sheetName val="500degisim"/>
      <sheetName val="700 LT ETÜV"/>
      <sheetName val="700degisim"/>
      <sheetName val="1000 LT ETÜV"/>
      <sheetName val="1000degisim"/>
      <sheetName val="1400 LT ETÜV"/>
      <sheetName val="2000 LT ETÜV"/>
    </sheetNames>
    <sheetDataSet>
      <sheetData sheetId="0" refreshError="1">
        <row r="2">
          <cell r="L2">
            <v>18284.5</v>
          </cell>
        </row>
      </sheetData>
      <sheetData sheetId="1" refreshError="1"/>
      <sheetData sheetId="2" refreshError="1">
        <row r="2">
          <cell r="L2">
            <v>23379.89</v>
          </cell>
        </row>
      </sheetData>
      <sheetData sheetId="3" refreshError="1"/>
      <sheetData sheetId="4" refreshError="1">
        <row r="2">
          <cell r="L2">
            <v>35220.5</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mm"/>
      <sheetName val="3,15mm"/>
      <sheetName val="4mm"/>
      <sheetName val="5mm"/>
      <sheetName val="6,3mm"/>
      <sheetName val="8mm"/>
      <sheetName val="10mm"/>
      <sheetName val="12,5mm"/>
      <sheetName val="16mm"/>
      <sheetName val="20mm"/>
      <sheetName val="25mm"/>
      <sheetName val="31,5mm"/>
      <sheetName val="40mm"/>
    </sheetNames>
    <sheetDataSet>
      <sheetData sheetId="0">
        <row r="2">
          <cell r="L2">
            <v>1440.5</v>
          </cell>
        </row>
      </sheetData>
      <sheetData sheetId="1">
        <row r="2">
          <cell r="L2">
            <v>1440.5</v>
          </cell>
        </row>
      </sheetData>
      <sheetData sheetId="2">
        <row r="2">
          <cell r="L2">
            <v>1427</v>
          </cell>
        </row>
      </sheetData>
      <sheetData sheetId="3">
        <row r="2">
          <cell r="L2">
            <v>1413.5</v>
          </cell>
        </row>
      </sheetData>
      <sheetData sheetId="4">
        <row r="2">
          <cell r="L2">
            <v>1400</v>
          </cell>
        </row>
      </sheetData>
      <sheetData sheetId="5">
        <row r="2">
          <cell r="L2">
            <v>1359.5</v>
          </cell>
        </row>
      </sheetData>
      <sheetData sheetId="6">
        <row r="2">
          <cell r="L2">
            <v>1336.55</v>
          </cell>
        </row>
      </sheetData>
      <sheetData sheetId="7">
        <row r="2">
          <cell r="L2">
            <v>1325.75</v>
          </cell>
        </row>
      </sheetData>
      <sheetData sheetId="8">
        <row r="2">
          <cell r="L2">
            <v>1302.8</v>
          </cell>
        </row>
      </sheetData>
      <sheetData sheetId="9">
        <row r="2">
          <cell r="L2">
            <v>1296.05</v>
          </cell>
        </row>
      </sheetData>
      <sheetData sheetId="10">
        <row r="2">
          <cell r="L2">
            <v>1292</v>
          </cell>
        </row>
      </sheetData>
      <sheetData sheetId="11">
        <row r="2">
          <cell r="L2">
            <v>1270.5</v>
          </cell>
        </row>
      </sheetData>
      <sheetData sheetId="12">
        <row r="2">
          <cell r="L2">
            <v>1265.0999999999999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LEK SALLAMA"/>
      <sheetName val="Degişim"/>
      <sheetName val="450LİK ELEK SALLAMA"/>
      <sheetName val="450degisim"/>
      <sheetName val="FREKANS KONTROLLÜ ELEK SALLAMA"/>
      <sheetName val="frekdegisim"/>
      <sheetName val="YÜKSEK KAPASİTE ELEK SALLAMA"/>
      <sheetName val="yüksekdegisim"/>
      <sheetName val="ELEK KASNAĞI"/>
      <sheetName val="kasnakdegisim"/>
    </sheetNames>
    <sheetDataSet>
      <sheetData sheetId="0">
        <row r="2">
          <cell r="L2">
            <v>13342.68</v>
          </cell>
        </row>
      </sheetData>
      <sheetData sheetId="1"/>
      <sheetData sheetId="2"/>
      <sheetData sheetId="3"/>
      <sheetData sheetId="4">
        <row r="3">
          <cell r="L3">
            <v>6210</v>
          </cell>
        </row>
      </sheetData>
      <sheetData sheetId="5"/>
      <sheetData sheetId="6">
        <row r="3">
          <cell r="L3">
            <v>23006</v>
          </cell>
        </row>
      </sheetData>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K SALLAMA"/>
      <sheetName val="Degişim"/>
      <sheetName val="450LİK ELEK SALLAMA"/>
      <sheetName val="450degisim"/>
      <sheetName val="FREKANS KONTROLLÜ ELEK SALLAMA"/>
      <sheetName val="frekdegisim"/>
      <sheetName val="YÜKSEK KAPASİTE ELEK SALLAMA"/>
      <sheetName val="yüksekdegisim"/>
      <sheetName val="ELEK KASNAĞI"/>
      <sheetName val="kasnakdegis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L2">
            <v>210</v>
          </cell>
        </row>
      </sheetData>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ölgeçler"/>
      <sheetName val="bölgeçler 1"/>
    </sheetNames>
    <sheetDataSet>
      <sheetData sheetId="0">
        <row r="3">
          <cell r="G3">
            <v>3600</v>
          </cell>
        </row>
        <row r="4">
          <cell r="G4">
            <v>4640</v>
          </cell>
        </row>
        <row r="5">
          <cell r="G5">
            <v>4760</v>
          </cell>
        </row>
        <row r="6">
          <cell r="G6">
            <v>5120</v>
          </cell>
        </row>
        <row r="7">
          <cell r="G7">
            <v>5280</v>
          </cell>
        </row>
        <row r="8">
          <cell r="G8">
            <v>5360</v>
          </cell>
        </row>
        <row r="9">
          <cell r="G9">
            <v>5480</v>
          </cell>
        </row>
        <row r="10">
          <cell r="G10">
            <v>5720</v>
          </cell>
        </row>
        <row r="11">
          <cell r="G11">
            <v>6000</v>
          </cell>
        </row>
        <row r="12">
          <cell r="G12">
            <v>6120</v>
          </cell>
        </row>
        <row r="13">
          <cell r="G13">
            <v>7360</v>
          </cell>
        </row>
        <row r="14">
          <cell r="G14">
            <v>7440</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RİM AĞIRLIK KOVASI 1 LT"/>
      <sheetName val="1degisim"/>
      <sheetName val="BİRİM AĞIRLIK KOVASI 3LT"/>
      <sheetName val="3degisim"/>
      <sheetName val="BİRİM AĞIRLIK KOVASI 5 LT"/>
      <sheetName val="5degisim"/>
      <sheetName val="BİRİM AĞIRLIK KOVASI 7LT"/>
      <sheetName val="7degisim"/>
      <sheetName val="BİRİM AĞIRLIK KOVASI 10 LT"/>
      <sheetName val="10degisim"/>
      <sheetName val="BİRİM AĞIRLIK KOVASI 15 LT"/>
      <sheetName val="15degisim"/>
      <sheetName val="BİRİM AĞIRLIK KOVASI 20 LT"/>
      <sheetName val="20degisim"/>
      <sheetName val="BİRİM AĞIRLIK KOVASI 30 LT"/>
      <sheetName val="30degisim"/>
    </sheetNames>
    <sheetDataSet>
      <sheetData sheetId="0">
        <row r="2">
          <cell r="L2">
            <v>256</v>
          </cell>
        </row>
      </sheetData>
      <sheetData sheetId="1"/>
      <sheetData sheetId="2">
        <row r="2">
          <cell r="L2">
            <v>240</v>
          </cell>
        </row>
      </sheetData>
      <sheetData sheetId="3"/>
      <sheetData sheetId="4">
        <row r="2">
          <cell r="L2">
            <v>274.5</v>
          </cell>
        </row>
      </sheetData>
      <sheetData sheetId="5"/>
      <sheetData sheetId="6">
        <row r="2">
          <cell r="L2">
            <v>306</v>
          </cell>
        </row>
      </sheetData>
      <sheetData sheetId="7"/>
      <sheetData sheetId="8">
        <row r="2">
          <cell r="L2">
            <v>400</v>
          </cell>
        </row>
      </sheetData>
      <sheetData sheetId="9"/>
      <sheetData sheetId="10">
        <row r="2">
          <cell r="L2">
            <v>480</v>
          </cell>
        </row>
      </sheetData>
      <sheetData sheetId="11"/>
      <sheetData sheetId="12">
        <row r="2">
          <cell r="L2">
            <v>505</v>
          </cell>
        </row>
      </sheetData>
      <sheetData sheetId="13"/>
      <sheetData sheetId="14">
        <row r="2">
          <cell r="L2">
            <v>615</v>
          </cell>
        </row>
      </sheetData>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S ANGELES"/>
      <sheetName val="degisim"/>
      <sheetName val="Kabinli Los Angeles"/>
      <sheetName val="kabinlidegisim"/>
    </sheetNames>
    <sheetDataSet>
      <sheetData sheetId="0">
        <row r="2">
          <cell r="L2">
            <v>51344.6</v>
          </cell>
        </row>
      </sheetData>
      <sheetData sheetId="1"/>
      <sheetData sheetId="2">
        <row r="2">
          <cell r="L2">
            <v>28370</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CRODEVAL"/>
      <sheetName val="NORDİC AŞINDIRMA"/>
      <sheetName val="degisim"/>
    </sheetNames>
    <sheetDataSet>
      <sheetData sheetId="0">
        <row r="2">
          <cell r="L2">
            <v>54930</v>
          </cell>
        </row>
      </sheetData>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CRODEVAL"/>
      <sheetName val="NORDİC AŞINDIRMA"/>
      <sheetName val="degisim"/>
    </sheetNames>
    <sheetDataSet>
      <sheetData sheetId="0">
        <row r="2">
          <cell r="L2">
            <v>17473</v>
          </cell>
        </row>
        <row r="3">
          <cell r="C3">
            <v>13200</v>
          </cell>
        </row>
        <row r="18">
          <cell r="C18">
            <v>3000</v>
          </cell>
        </row>
      </sheetData>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REGA DARBE"/>
      <sheetName val="degisim"/>
    </sheetNames>
    <sheetDataSet>
      <sheetData sheetId="0">
        <row r="2">
          <cell r="L2">
            <v>7753.66</v>
          </cell>
        </row>
      </sheetData>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REGA KIRILMA 75 MM"/>
      <sheetName val="75degisim"/>
      <sheetName val="AGREGA KIRILMA 150 MM"/>
      <sheetName val="150degisim"/>
    </sheetNames>
    <sheetDataSet>
      <sheetData sheetId="0">
        <row r="2">
          <cell r="L2">
            <v>1620.3</v>
          </cell>
        </row>
      </sheetData>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REGA KIRILMA 75 MM"/>
      <sheetName val="75degisim"/>
      <sheetName val="AGREGA KIRILMA 150 MM"/>
      <sheetName val="150degisim"/>
    </sheetNames>
    <sheetDataSet>
      <sheetData sheetId="0"/>
      <sheetData sheetId="1"/>
      <sheetData sheetId="2">
        <row r="2">
          <cell r="L2">
            <v>3722.0400000000004</v>
          </cell>
        </row>
      </sheetData>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UM EŞDEĞER SALLAMA"/>
      <sheetName val="degisim"/>
      <sheetName val="KABİNLİ KUM EŞDEĞER SALLAMA"/>
      <sheetName val="kabinlidegisim"/>
    </sheetNames>
    <sheetDataSet>
      <sheetData sheetId="0">
        <row r="2">
          <cell r="L2">
            <v>5940</v>
          </cell>
        </row>
      </sheetData>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İLEN"/>
      <sheetName val="degisim"/>
      <sheetName val="HIZLI KARIŞTIRICI"/>
      <sheetName val="kardegisim"/>
    </sheetNames>
    <sheetDataSet>
      <sheetData sheetId="0">
        <row r="2">
          <cell r="L2">
            <v>7706.5999999999995</v>
          </cell>
        </row>
      </sheetData>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ÖZGÜL AĞIRLIK"/>
      <sheetName val="degisim"/>
    </sheetNames>
    <sheetDataSet>
      <sheetData sheetId="0">
        <row r="2">
          <cell r="L2">
            <v>7226</v>
          </cell>
        </row>
      </sheetData>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 GÖZLÜ KALIP"/>
      <sheetName val="degisim"/>
    </sheetNames>
    <sheetDataSet>
      <sheetData sheetId="0">
        <row r="11">
          <cell r="H11">
            <v>4652</v>
          </cell>
        </row>
      </sheetData>
      <sheetData sheetId="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0 TON PRES"/>
      <sheetName val="200tdegisim"/>
      <sheetName val="300 TON PRES"/>
      <sheetName val="300tdegisim"/>
      <sheetName val="200 ton kolonlu"/>
      <sheetName val="200tkoldegisim"/>
      <sheetName val="İPTALLL"/>
      <sheetName val="300tkoldegisim"/>
      <sheetName val="İPTAL"/>
      <sheetName val="İPTALL"/>
      <sheetName val="60T KAYA PRSİ"/>
      <sheetName val="60tdegisim"/>
      <sheetName val="400 TON GÜNCEL"/>
      <sheetName val="500 TON GÜNCEL"/>
      <sheetName val="300 TON GÜNCEL"/>
      <sheetName val="Sayfa1"/>
      <sheetName val="300 ton kolonlu"/>
      <sheetName val="400 ton kolonlu"/>
      <sheetName val="500T GÖVDE"/>
    </sheetNames>
    <sheetDataSet>
      <sheetData sheetId="0">
        <row r="2">
          <cell r="L2">
            <v>134072.5</v>
          </cell>
        </row>
        <row r="15">
          <cell r="H15">
            <v>1610</v>
          </cell>
        </row>
        <row r="16">
          <cell r="H16">
            <v>1610</v>
          </cell>
        </row>
        <row r="17">
          <cell r="H17">
            <v>1656</v>
          </cell>
        </row>
        <row r="21">
          <cell r="H21">
            <v>78461</v>
          </cell>
        </row>
        <row r="53">
          <cell r="H53">
            <v>134072.5</v>
          </cell>
        </row>
      </sheetData>
      <sheetData sheetId="1"/>
      <sheetData sheetId="2">
        <row r="2">
          <cell r="L2">
            <v>107672.6</v>
          </cell>
        </row>
        <row r="21">
          <cell r="H21">
            <v>102636</v>
          </cell>
        </row>
        <row r="53">
          <cell r="H53">
            <v>157288.5</v>
          </cell>
        </row>
      </sheetData>
      <sheetData sheetId="3"/>
      <sheetData sheetId="4">
        <row r="2">
          <cell r="L2">
            <v>162198.5</v>
          </cell>
        </row>
      </sheetData>
      <sheetData sheetId="5"/>
      <sheetData sheetId="6"/>
      <sheetData sheetId="7"/>
      <sheetData sheetId="8"/>
      <sheetData sheetId="9"/>
      <sheetData sheetId="10">
        <row r="21">
          <cell r="H21">
            <v>69946</v>
          </cell>
        </row>
        <row r="52">
          <cell r="H52">
            <v>62336</v>
          </cell>
        </row>
        <row r="53">
          <cell r="H53">
            <v>132282</v>
          </cell>
        </row>
      </sheetData>
      <sheetData sheetId="11"/>
      <sheetData sheetId="12">
        <row r="22">
          <cell r="H22">
            <v>185716</v>
          </cell>
        </row>
      </sheetData>
      <sheetData sheetId="13">
        <row r="22">
          <cell r="H22">
            <v>216306</v>
          </cell>
        </row>
      </sheetData>
      <sheetData sheetId="14">
        <row r="22">
          <cell r="H22">
            <v>133416</v>
          </cell>
        </row>
      </sheetData>
      <sheetData sheetId="15"/>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KTA YÜKLEME"/>
      <sheetName val="degisim"/>
      <sheetName val="10T NOKTA YÜKLEME YESİM"/>
      <sheetName val="10degisim"/>
    </sheetNames>
    <sheetDataSet>
      <sheetData sheetId="0">
        <row r="2">
          <cell r="M2">
            <v>12260</v>
          </cell>
        </row>
      </sheetData>
      <sheetData sheetId="1"/>
      <sheetData sheetId="2">
        <row r="2">
          <cell r="L2">
            <v>15675</v>
          </cell>
        </row>
      </sheetData>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s>
    <sheetDataSet>
      <sheetData sheetId="0">
        <row r="19">
          <cell r="H19">
            <v>47547.6</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tifüj Extraktor Maliyet"/>
      <sheetName val="degisim"/>
      <sheetName val="#BAŞV"/>
      <sheetName val="santrifüj"/>
      <sheetName val="SLAKE DURABİLİTE"/>
    </sheetNames>
    <sheetDataSet>
      <sheetData sheetId="0">
        <row r="2">
          <cell r="L2">
            <v>34588</v>
          </cell>
        </row>
      </sheetData>
      <sheetData sheetId="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ntifüj Extraktor Maliyet"/>
      <sheetName val="degisim"/>
    </sheetNames>
    <sheetDataSet>
      <sheetData sheetId="0">
        <row r="2">
          <cell r="L2">
            <v>34588</v>
          </cell>
        </row>
      </sheetData>
      <sheetData sheetId="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LÜKS(SOKSİLET)1000 GR"/>
      <sheetName val="1000degisim"/>
      <sheetName val="REFLÜKS(SOKSİLET)4000 GR"/>
      <sheetName val="4000degisim"/>
    </sheetNames>
    <sheetDataSet>
      <sheetData sheetId="0">
        <row r="2">
          <cell r="C2">
            <v>550</v>
          </cell>
        </row>
        <row r="3">
          <cell r="C3">
            <v>80</v>
          </cell>
        </row>
        <row r="5">
          <cell r="C5">
            <v>375</v>
          </cell>
        </row>
      </sheetData>
      <sheetData sheetId="1"/>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LÜKS(SOKSİLET)1000 GR"/>
      <sheetName val="1000degisim"/>
      <sheetName val="REFLÜKS(SOKSİLET)4000 GR"/>
      <sheetName val="4000degisim"/>
    </sheetNames>
    <sheetDataSet>
      <sheetData sheetId="0"/>
      <sheetData sheetId="1"/>
      <sheetData sheetId="2">
        <row r="2">
          <cell r="L2">
            <v>11806.2</v>
          </cell>
        </row>
      </sheetData>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KUM PİKNOMETRESİ"/>
      <sheetName val="degisim"/>
    </sheetNames>
    <sheetDataSet>
      <sheetData sheetId="0">
        <row r="2">
          <cell r="L2">
            <v>24483.53</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NZİN MOTORLU KAROT MAKİNASI"/>
      <sheetName val="degisim"/>
      <sheetName val="RÖMORKLU GÖVDE"/>
      <sheetName val="römorkdegisim"/>
    </sheetNames>
    <sheetDataSet>
      <sheetData sheetId="0">
        <row r="36">
          <cell r="H36">
            <v>30849</v>
          </cell>
        </row>
      </sheetData>
      <sheetData sheetId="1"/>
      <sheetData sheetId="2">
        <row r="49">
          <cell r="H49">
            <v>49270.30000000001</v>
          </cell>
        </row>
      </sheetData>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EL MARSHALL TOKMAK"/>
      <sheetName val="degisim"/>
    </sheetNames>
    <sheetDataSet>
      <sheetData sheetId="0">
        <row r="2">
          <cell r="L2">
            <v>2750</v>
          </cell>
        </row>
      </sheetData>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SHALL KALIP"/>
      <sheetName val="degisim"/>
    </sheetNames>
    <sheetDataSet>
      <sheetData sheetId="0">
        <row r="3">
          <cell r="L3">
            <v>852</v>
          </cell>
        </row>
      </sheetData>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EL NUMUNE ÇIKARICI"/>
      <sheetName val="degisim"/>
    </sheetNames>
    <sheetDataSet>
      <sheetData sheetId="0">
        <row r="3">
          <cell r="L3">
            <v>2970</v>
          </cell>
        </row>
      </sheetData>
      <sheetData sheetId="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SHALL STABİLİTE"/>
      <sheetName val="degisim"/>
    </sheetNames>
    <sheetDataSet>
      <sheetData sheetId="0">
        <row r="2">
          <cell r="L2">
            <v>54801</v>
          </cell>
        </row>
      </sheetData>
      <sheetData sheetId="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OMATİK PENOTROMETRE"/>
      <sheetName val="degisim"/>
    </sheetNames>
    <sheetDataSet>
      <sheetData sheetId="0">
        <row r="2">
          <cell r="L2">
            <v>48709</v>
          </cell>
        </row>
      </sheetData>
      <sheetData sheetId="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 BANYOSU 15 LT"/>
      <sheetName val="15degisim"/>
      <sheetName val="SU BANYOSU 30 LT"/>
      <sheetName val="30degisim"/>
      <sheetName val="SU BANYOSU 48 LT"/>
      <sheetName val="48degisim"/>
      <sheetName val="SOĞUTMALI SU BANYOSU(15LT"/>
      <sheetName val="SOĞUTMALI SU BANYOSU 30 LT"/>
      <sheetName val="SOĞUTMALI SU BANYOSU 48 LT "/>
    </sheetNames>
    <sheetDataSet>
      <sheetData sheetId="0">
        <row r="24">
          <cell r="H24">
            <v>14701.8</v>
          </cell>
        </row>
      </sheetData>
      <sheetData sheetId="1" refreshError="1"/>
      <sheetData sheetId="2">
        <row r="24">
          <cell r="H24">
            <v>15928</v>
          </cell>
        </row>
      </sheetData>
      <sheetData sheetId="3" refreshError="1"/>
      <sheetData sheetId="4">
        <row r="24">
          <cell r="H24">
            <v>18230.199999999997</v>
          </cell>
        </row>
      </sheetData>
      <sheetData sheetId="5" refreshError="1"/>
      <sheetData sheetId="6">
        <row r="26">
          <cell r="H26">
            <v>23941.800000000003</v>
          </cell>
        </row>
      </sheetData>
      <sheetData sheetId="7">
        <row r="26">
          <cell r="H26">
            <v>25168</v>
          </cell>
        </row>
      </sheetData>
      <sheetData sheetId="8">
        <row r="26">
          <cell r="H26">
            <v>27470.2</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ÜKTİLİTE"/>
      <sheetName val="degisim"/>
      <sheetName val="SOĞUTMALI DÜKTİLİTE"/>
      <sheetName val="sogdegisim"/>
    </sheetNames>
    <sheetDataSet>
      <sheetData sheetId="0">
        <row r="2">
          <cell r="L2">
            <v>34978</v>
          </cell>
        </row>
      </sheetData>
      <sheetData sheetId="1"/>
      <sheetData sheetId="2">
        <row r="2">
          <cell r="L2">
            <v>49248</v>
          </cell>
        </row>
      </sheetData>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TM D133"/>
      <sheetName val="degisim"/>
    </sheetNames>
    <sheetDataSet>
      <sheetData sheetId="0">
        <row r="2">
          <cell r="L2">
            <v>609.79999999999995</v>
          </cell>
        </row>
      </sheetData>
      <sheetData sheetId="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UMUŞAMA NOKTASI"/>
      <sheetName val="degisim"/>
    </sheetNames>
    <sheetDataSet>
      <sheetData sheetId="0" refreshError="1">
        <row r="2">
          <cell r="L2">
            <v>13474</v>
          </cell>
        </row>
      </sheetData>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UMUŞAMA NOKTASI"/>
      <sheetName val="degisim"/>
    </sheetNames>
    <sheetDataSet>
      <sheetData sheetId="0" refreshError="1">
        <row r="3">
          <cell r="L3">
            <v>6270</v>
          </cell>
        </row>
        <row r="5">
          <cell r="C5">
            <v>30</v>
          </cell>
        </row>
      </sheetData>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OMATİK YUMUŞAMA NOKTASI"/>
      <sheetName val="degisim"/>
    </sheetNames>
    <sheetDataSet>
      <sheetData sheetId="0">
        <row r="2">
          <cell r="L2">
            <v>58515</v>
          </cell>
        </row>
      </sheetData>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BOLT VİSKOZİMETRE"/>
      <sheetName val="degisim"/>
    </sheetNames>
    <sheetDataSet>
      <sheetData sheetId="0">
        <row r="3">
          <cell r="L3">
            <v>11112</v>
          </cell>
        </row>
      </sheetData>
      <sheetData sheetId="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NGO ÇEKİCİ"/>
      <sheetName val="degisim"/>
    </sheetNames>
    <sheetDataSet>
      <sheetData sheetId="0">
        <row r="2">
          <cell r="L2">
            <v>17548.838709677417</v>
          </cell>
        </row>
      </sheetData>
      <sheetData sheetId="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 TON PRES"/>
      <sheetName val="200tdegisim"/>
      <sheetName val="300 TON PRES"/>
      <sheetName val="300tdegisim"/>
      <sheetName val="200 ton kolonlu"/>
      <sheetName val="200tkoldegisim"/>
      <sheetName val="İPTALLL"/>
      <sheetName val="300tkoldegisim"/>
      <sheetName val="İPTAL"/>
      <sheetName val="İPTALL"/>
      <sheetName val="60T KAYA PRSİ"/>
      <sheetName val="60tdegisim"/>
      <sheetName val="400 TON GÜNCEL"/>
      <sheetName val="500 TON GÜNCEL"/>
      <sheetName val="300 TON GÜNCEL"/>
      <sheetName val="Sayfa1"/>
      <sheetName val="300 ton kolonlu"/>
    </sheetNames>
    <sheetDataSet>
      <sheetData sheetId="0"/>
      <sheetData sheetId="1"/>
      <sheetData sheetId="2"/>
      <sheetData sheetId="3"/>
      <sheetData sheetId="4">
        <row r="2">
          <cell r="L2">
            <v>162198.5</v>
          </cell>
        </row>
      </sheetData>
      <sheetData sheetId="5"/>
      <sheetData sheetId="6">
        <row r="2">
          <cell r="L2">
            <v>154551.20000000001</v>
          </cell>
        </row>
      </sheetData>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0 TON PRES"/>
      <sheetName val="200tdegisim"/>
      <sheetName val="300 TON PRES"/>
      <sheetName val="300tdegisim"/>
      <sheetName val="200 ton kolonlu"/>
      <sheetName val="200tkoldegisim"/>
      <sheetName val="İPTALLL"/>
      <sheetName val="300tkoldegisim"/>
      <sheetName val="İPTAL"/>
      <sheetName val="İPTALL"/>
      <sheetName val="60T KAYA PRSİ"/>
      <sheetName val="60tdegisim"/>
      <sheetName val="400 TON GÜNCEL"/>
      <sheetName val="500 TON GÜNCEL"/>
      <sheetName val="300 TON GÜNCEL"/>
      <sheetName val="Sayf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2">
          <cell r="I12"/>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ĞİLME TEST PRESİ 10TON U GÖVDE"/>
      <sheetName val="10udegisim"/>
      <sheetName val="EĞİLME TEST PRESİ 20TON U GÖVDE"/>
      <sheetName val="20udegisim"/>
      <sheetName val="EĞİLME TEST PRESİ 30TON U GÖVDE"/>
      <sheetName val="30udegisim"/>
      <sheetName val="EĞİLME 20TON İKİ KOLONLU GÖVDE"/>
      <sheetName val="20koldegisim"/>
      <sheetName val="EĞİLME 30TON İKİ KOLONLU GÖVDE"/>
      <sheetName val="30koldegisim"/>
      <sheetName val="EĞİLME 40TON İKİ KOLONLU GÖVDE"/>
      <sheetName val="40koldegisim"/>
    </sheetNames>
    <sheetDataSet>
      <sheetData sheetId="0">
        <row r="2">
          <cell r="L2">
            <v>34713.75</v>
          </cell>
        </row>
      </sheetData>
      <sheetData sheetId="1"/>
      <sheetData sheetId="2">
        <row r="3">
          <cell r="L3">
            <v>39267.75</v>
          </cell>
        </row>
      </sheetData>
      <sheetData sheetId="3"/>
      <sheetData sheetId="4">
        <row r="2">
          <cell r="L2">
            <v>48785</v>
          </cell>
        </row>
      </sheetData>
      <sheetData sheetId="5"/>
      <sheetData sheetId="6">
        <row r="2">
          <cell r="L2">
            <v>37815.75</v>
          </cell>
        </row>
      </sheetData>
      <sheetData sheetId="7"/>
      <sheetData sheetId="8">
        <row r="2">
          <cell r="L2">
            <v>28340</v>
          </cell>
        </row>
      </sheetData>
      <sheetData sheetId="9"/>
      <sheetData sheetId="10">
        <row r="2">
          <cell r="L2">
            <v>39618.75</v>
          </cell>
        </row>
      </sheetData>
      <sheetData sheetId="1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degisim"/>
    </sheetNames>
    <sheetDataSet>
      <sheetData sheetId="0">
        <row r="2">
          <cell r="L2">
            <v>119518.64000000001</v>
          </cell>
        </row>
      </sheetData>
      <sheetData sheetId="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degisim"/>
    </sheetNames>
    <sheetDataSet>
      <sheetData sheetId="0">
        <row r="2">
          <cell r="L2">
            <v>43919</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RDÜR EĞİLME APARATI"/>
      <sheetName val="degisim"/>
    </sheetNames>
    <sheetDataSet>
      <sheetData sheetId="0">
        <row r="2">
          <cell r="L2">
            <v>2904</v>
          </cell>
        </row>
      </sheetData>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RO EĞİLME APARATI"/>
      <sheetName val="degisim"/>
    </sheetNames>
    <sheetDataSet>
      <sheetData sheetId="0">
        <row r="2">
          <cell r="L2">
            <v>950</v>
          </cell>
        </row>
      </sheetData>
      <sheetData sheetId="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ÜP YARMA"/>
      <sheetName val="küpdegisim"/>
      <sheetName val="PARKE"/>
      <sheetName val="parkedegisim"/>
      <sheetName val="SİLİNDİR"/>
      <sheetName val="silindirdegisim"/>
    </sheetNames>
    <sheetDataSet>
      <sheetData sheetId="0">
        <row r="2">
          <cell r="L2">
            <v>817.5</v>
          </cell>
        </row>
      </sheetData>
      <sheetData sheetId="1"/>
      <sheetData sheetId="2">
        <row r="2">
          <cell r="L2">
            <v>850</v>
          </cell>
        </row>
      </sheetData>
      <sheetData sheetId="3"/>
      <sheetData sheetId="4">
        <row r="2">
          <cell r="L2">
            <v>897.5</v>
          </cell>
        </row>
      </sheetData>
      <sheetData sheetId="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AĞMUR OLUĞU APARATI"/>
      <sheetName val="degisim"/>
    </sheetNames>
    <sheetDataSet>
      <sheetData sheetId="0">
        <row r="2">
          <cell r="L2">
            <v>1050</v>
          </cell>
        </row>
      </sheetData>
      <sheetData sheetId="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N MİKSER 56 LT"/>
      <sheetName val="degisim"/>
      <sheetName val="üstten tahrikli pan mikseri"/>
      <sheetName val="tahdegisim"/>
    </sheetNames>
    <sheetDataSet>
      <sheetData sheetId="0">
        <row r="2">
          <cell r="L2">
            <v>36880</v>
          </cell>
        </row>
      </sheetData>
      <sheetData sheetId="1"/>
      <sheetData sheetId="2">
        <row r="2">
          <cell r="L2">
            <v>51330</v>
          </cell>
        </row>
      </sheetData>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nömatik slump"/>
      <sheetName val="degisim"/>
    </sheetNames>
    <sheetDataSet>
      <sheetData sheetId="0">
        <row r="2">
          <cell r="L2">
            <v>10230</v>
          </cell>
        </row>
      </sheetData>
      <sheetData sheetId="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BE"/>
      <sheetName val="degisim"/>
      <sheetName val="VEBE MODİFİYELİ"/>
    </sheetNames>
    <sheetDataSet>
      <sheetData sheetId="0">
        <row r="2">
          <cell r="L2">
            <v>15075.6</v>
          </cell>
        </row>
      </sheetData>
      <sheetData sheetId="1"/>
      <sheetData sheetId="2"/>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AYILMA TABLASI"/>
      <sheetName val="degisim"/>
    </sheetNames>
    <sheetDataSet>
      <sheetData sheetId="0">
        <row r="2">
          <cell r="L2">
            <v>7037.54</v>
          </cell>
        </row>
      </sheetData>
      <sheetData sheetId="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VA ÖLÇER"/>
      <sheetName val="degisim"/>
    </sheetNames>
    <sheetDataSet>
      <sheetData sheetId="0">
        <row r="2">
          <cell r="L2">
            <v>18300</v>
          </cell>
        </row>
      </sheetData>
      <sheetData sheetId="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ÖZGÜL AĞIRLIK"/>
      <sheetName val="degisim"/>
    </sheetNames>
    <sheetDataSet>
      <sheetData sheetId="0" refreshError="1">
        <row r="2">
          <cell r="L2">
            <v>7226</v>
          </cell>
        </row>
      </sheetData>
      <sheetData sheetId="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00 mm"/>
      <sheetName val="100degisim"/>
      <sheetName val="150 mm"/>
      <sheetName val="150degisim"/>
      <sheetName val="200 mm"/>
      <sheetName val="200degisim"/>
    </sheetNames>
    <sheetDataSet>
      <sheetData sheetId="0" refreshError="1">
        <row r="2">
          <cell r="L2">
            <v>250</v>
          </cell>
        </row>
      </sheetData>
      <sheetData sheetId="1" refreshError="1"/>
      <sheetData sheetId="2" refreshError="1">
        <row r="2">
          <cell r="L2">
            <v>430</v>
          </cell>
        </row>
      </sheetData>
      <sheetData sheetId="3" refreshError="1"/>
      <sheetData sheetId="4" refreshError="1">
        <row r="2">
          <cell r="L2">
            <v>500</v>
          </cell>
        </row>
      </sheetData>
      <sheetData sheetId="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00x200"/>
      <sheetName val="degisim1"/>
      <sheetName val="150x300"/>
      <sheetName val="degisim2"/>
      <sheetName val="250x500"/>
      <sheetName val="degisim3"/>
    </sheetNames>
    <sheetDataSet>
      <sheetData sheetId="0">
        <row r="2">
          <cell r="L2">
            <v>837.5</v>
          </cell>
        </row>
      </sheetData>
      <sheetData sheetId="1"/>
      <sheetData sheetId="2">
        <row r="2">
          <cell r="L2">
            <v>2268</v>
          </cell>
        </row>
      </sheetData>
      <sheetData sheetId="3"/>
      <sheetData sheetId="4"/>
      <sheetData sheetId="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TİF VİBRASYON MASASI"/>
      <sheetName val="degisim"/>
    </sheetNames>
    <sheetDataSet>
      <sheetData sheetId="0">
        <row r="2">
          <cell r="L2">
            <v>11230</v>
          </cell>
        </row>
      </sheetData>
      <sheetData sheetId="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İBRASYON MASASI"/>
      <sheetName val="4degisim"/>
      <sheetName val="8 li"/>
      <sheetName val="8degisim"/>
    </sheetNames>
    <sheetDataSet>
      <sheetData sheetId="0" refreshError="1">
        <row r="18">
          <cell r="H18">
            <v>12357.599999999999</v>
          </cell>
        </row>
      </sheetData>
      <sheetData sheetId="1" refreshError="1"/>
      <sheetData sheetId="2" refreshError="1">
        <row r="2">
          <cell r="L2">
            <v>16464.599999999999</v>
          </cell>
        </row>
      </sheetData>
      <sheetData sheetId="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ÜR TANKI + ISITICI"/>
      <sheetName val="KÜÇÜK KÜR TANKI"/>
      <sheetName val="METAL "/>
      <sheetName val="büyük kür tankı"/>
      <sheetName val="degisim"/>
      <sheetName val="KÜR TANKI PORTATİF ISITICI"/>
      <sheetName val="ısıtıcıdegisim"/>
      <sheetName val="Sayfa1"/>
      <sheetName val="#BAŞV"/>
    </sheetNames>
    <sheetDataSet>
      <sheetData sheetId="0"/>
      <sheetData sheetId="1">
        <row r="2">
          <cell r="L2">
            <v>16536</v>
          </cell>
        </row>
      </sheetData>
      <sheetData sheetId="2"/>
      <sheetData sheetId="3">
        <row r="2">
          <cell r="L2">
            <v>17883</v>
          </cell>
        </row>
      </sheetData>
      <sheetData sheetId="4"/>
      <sheetData sheetId="5"/>
      <sheetData sheetId="6"/>
      <sheetData sheetId="7" refreshError="1"/>
      <sheetData sheetId="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ÜR TANKI + ISITICI"/>
      <sheetName val="KÜÇÜK KÜR TANKI"/>
      <sheetName val="METAL "/>
      <sheetName val="büyük kür tankı"/>
      <sheetName val="degisim"/>
      <sheetName val="KÜR TANKI PORTATİF ISITICI"/>
      <sheetName val="ısıtıcıdegisim"/>
    </sheetNames>
    <sheetDataSet>
      <sheetData sheetId="0"/>
      <sheetData sheetId="1"/>
      <sheetData sheetId="2"/>
      <sheetData sheetId="3"/>
      <sheetData sheetId="4"/>
      <sheetData sheetId="5">
        <row r="2">
          <cell r="L2">
            <v>4830</v>
          </cell>
        </row>
      </sheetData>
      <sheetData sheetId="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ŞINDIRMA CİHAZI"/>
      <sheetName val="degisim"/>
    </sheetNames>
    <sheetDataSet>
      <sheetData sheetId="0">
        <row r="2">
          <cell r="L2">
            <v>116503.8</v>
          </cell>
        </row>
      </sheetData>
      <sheetData sheetId="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ŞINDIRMA CİHAZI"/>
      <sheetName val="degisim"/>
    </sheetNames>
    <sheetDataSet>
      <sheetData sheetId="0">
        <row r="2">
          <cell r="L2">
            <v>116503.8</v>
          </cell>
        </row>
      </sheetData>
      <sheetData sheetId="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MİR ÇEKME 60 TON"/>
      <sheetName val="60degisim"/>
      <sheetName val="DEMİR ÇEKME 100 TON"/>
      <sheetName val="100degisim"/>
    </sheetNames>
    <sheetDataSet>
      <sheetData sheetId="0">
        <row r="2">
          <cell r="L2">
            <v>264615.2</v>
          </cell>
        </row>
      </sheetData>
      <sheetData sheetId="1"/>
      <sheetData sheetId="2">
        <row r="2">
          <cell r="L2">
            <v>328962.90000000002</v>
          </cell>
        </row>
      </sheetData>
      <sheetData sheetId="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RU PRESİ GÖVDESİ 100 TON"/>
      <sheetName val="100degisim"/>
      <sheetName val="BORU TEST PRESİ 60T"/>
      <sheetName val="60degisim"/>
    </sheetNames>
    <sheetDataSet>
      <sheetData sheetId="0">
        <row r="37">
          <cell r="H37">
            <v>568291.20000000007</v>
          </cell>
        </row>
      </sheetData>
      <sheetData sheetId="1"/>
      <sheetData sheetId="2">
        <row r="67">
          <cell r="H67">
            <v>291232.12</v>
          </cell>
        </row>
      </sheetData>
      <sheetData sheetId="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A TİPİ KESME"/>
      <sheetName val="Sayfa1"/>
    </sheetNames>
    <sheetDataSet>
      <sheetData sheetId="0">
        <row r="2">
          <cell r="L2">
            <v>35953.25</v>
          </cell>
        </row>
      </sheetData>
      <sheetData sheetId="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LONÇEKME"/>
      <sheetName val="degisim"/>
      <sheetName val="DİJİTAL BULON ÇEKME"/>
      <sheetName val="digdegisim"/>
    </sheetNames>
    <sheetDataSet>
      <sheetData sheetId="0">
        <row r="2">
          <cell r="L2">
            <v>61093.88</v>
          </cell>
        </row>
      </sheetData>
      <sheetData sheetId="1"/>
      <sheetData sheetId="2">
        <row r="2">
          <cell r="L2">
            <v>68370</v>
          </cell>
        </row>
      </sheetData>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 LÜ PERMEABİLİTE"/>
      <sheetName val="3lüdegisim"/>
      <sheetName val="6 LI PERMEABİLİTE"/>
      <sheetName val="6lıdegisim"/>
    </sheetNames>
    <sheetDataSet>
      <sheetData sheetId="0">
        <row r="2">
          <cell r="L2">
            <v>41189.599999999999</v>
          </cell>
        </row>
      </sheetData>
      <sheetData sheetId="1"/>
      <sheetData sheetId="2">
        <row r="2">
          <cell r="L2">
            <v>61551.8</v>
          </cell>
        </row>
      </sheetData>
      <sheetData sheetId="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TON TEST ÇEKİCİ MEKANİK"/>
      <sheetName val="degisim"/>
      <sheetName val="BETON TEST CEKİCİ DİJİTAL"/>
    </sheetNames>
    <sheetDataSet>
      <sheetData sheetId="0">
        <row r="2">
          <cell r="L2">
            <v>1806.7</v>
          </cell>
        </row>
      </sheetData>
      <sheetData sheetId="1"/>
      <sheetData sheetId="2">
        <row r="11">
          <cell r="E11">
            <v>6128.7</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LİBRASYON ÖRSÜ"/>
      <sheetName val="degisim"/>
    </sheetNames>
    <sheetDataSet>
      <sheetData sheetId="0">
        <row r="5">
          <cell r="L5">
            <v>3509</v>
          </cell>
        </row>
      </sheetData>
      <sheetData sheetId="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INE"/>
      <sheetName val="degisim"/>
      <sheetName val="OTOMATİK BLAİN"/>
    </sheetNames>
    <sheetDataSet>
      <sheetData sheetId="0">
        <row r="2">
          <cell r="L2">
            <v>6686</v>
          </cell>
        </row>
      </sheetData>
      <sheetData sheetId="1"/>
      <sheetData sheetId="2"/>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ç Gözlü 40x40x160"/>
      <sheetName val="50X50X50"/>
      <sheetName val="degisim"/>
      <sheetName val="50X50X200"/>
    </sheetNames>
    <sheetDataSet>
      <sheetData sheetId="0">
        <row r="2">
          <cell r="L2">
            <v>3543.1200000000003</v>
          </cell>
        </row>
      </sheetData>
      <sheetData sheetId="1"/>
      <sheetData sheetId="2"/>
      <sheetData sheetId="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EL ÇİMENTO YAYILMA TABLASI"/>
      <sheetName val="OTOMATİK ÇİMENTO YAYILMA TABLAS"/>
      <sheetName val="KALIP ASTM"/>
      <sheetName val="KALIP EN"/>
    </sheetNames>
    <sheetDataSet>
      <sheetData sheetId="0">
        <row r="12">
          <cell r="H12">
            <v>10074.9</v>
          </cell>
        </row>
      </sheetData>
      <sheetData sheetId="1"/>
      <sheetData sheetId="2"/>
      <sheetData sheetId="3"/>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EL ÇİMENTO YAYILMA TABLASI"/>
      <sheetName val="OTOMATİK ÇİMENTO YAYILMA TABLAS"/>
      <sheetName val="KALIP ASTM"/>
      <sheetName val="KALIP EN"/>
    </sheetNames>
    <sheetDataSet>
      <sheetData sheetId="0">
        <row r="12">
          <cell r="H12">
            <v>10074.9</v>
          </cell>
        </row>
      </sheetData>
      <sheetData sheetId="1">
        <row r="26">
          <cell r="H26">
            <v>21421.5</v>
          </cell>
        </row>
      </sheetData>
      <sheetData sheetId="2">
        <row r="4">
          <cell r="H4">
            <v>2250</v>
          </cell>
        </row>
      </sheetData>
      <sheetData sheetId="3">
        <row r="4">
          <cell r="H4">
            <v>2250</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ç Gözlü 40x40x160"/>
      <sheetName val="50X50X50"/>
      <sheetName val="degisim"/>
    </sheetNames>
    <sheetDataSet>
      <sheetData sheetId="0"/>
      <sheetData sheetId="1">
        <row r="11">
          <cell r="H11">
            <v>3358.3999999999996</v>
          </cell>
        </row>
      </sheetData>
      <sheetData sheetId="2"/>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70,7 KALIP"/>
      <sheetName val="degisim"/>
    </sheetNames>
    <sheetDataSet>
      <sheetData sheetId="0">
        <row r="2">
          <cell r="L2">
            <v>1776.8</v>
          </cell>
        </row>
      </sheetData>
      <sheetData sheetId="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ÇİMENTO PRESİ"/>
      <sheetName val="degisim"/>
    </sheetNames>
    <sheetDataSet>
      <sheetData sheetId="0">
        <row r="58">
          <cell r="H58">
            <v>129041</v>
          </cell>
        </row>
      </sheetData>
      <sheetData sheetId="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YALI DEĞİRMEN"/>
      <sheetName val="degisim"/>
    </sheetNames>
    <sheetDataSet>
      <sheetData sheetId="0">
        <row r="2">
          <cell r="L2">
            <v>43305.94</v>
          </cell>
        </row>
      </sheetData>
      <sheetData sheetId="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YALI DEĞİRMEN"/>
      <sheetName val="degisim"/>
    </sheetNames>
    <sheetDataSet>
      <sheetData sheetId="0">
        <row r="2">
          <cell r="L2">
            <v>22237</v>
          </cell>
        </row>
        <row r="25">
          <cell r="G25">
            <v>6200</v>
          </cell>
        </row>
      </sheetData>
      <sheetData sheetId="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NAMİK KONİK PENETROMETRE"/>
      <sheetName val="degisim"/>
    </sheetNames>
    <sheetDataSet>
      <sheetData sheetId="0">
        <row r="2">
          <cell r="L2">
            <v>10607.2</v>
          </cell>
        </row>
      </sheetData>
      <sheetData sheetId="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TORLU HİDROLİK NUMUNE ÇIKARIC"/>
      <sheetName val="degisim"/>
    </sheetNames>
    <sheetDataSet>
      <sheetData sheetId="0">
        <row r="2">
          <cell r="L2">
            <v>4495</v>
          </cell>
        </row>
      </sheetData>
      <sheetData sheetId="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NİK PENETROMETRESİ"/>
    </sheetNames>
    <sheetDataSet>
      <sheetData sheetId="0">
        <row r="30">
          <cell r="H30">
            <v>14892.97</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ÜZÜLME LİMİT KALIBI"/>
      <sheetName val="degisim"/>
    </sheetNames>
    <sheetDataSet>
      <sheetData sheetId="0">
        <row r="2">
          <cell r="L2">
            <v>1003.93</v>
          </cell>
        </row>
      </sheetData>
      <sheetData sheetId="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 kg"/>
      <sheetName val="25degisim"/>
      <sheetName val="4,5 kg"/>
      <sheetName val="45degisim"/>
    </sheetNames>
    <sheetDataSet>
      <sheetData sheetId="0">
        <row r="2">
          <cell r="L2">
            <v>1905.54</v>
          </cell>
        </row>
      </sheetData>
      <sheetData sheetId="1"/>
      <sheetData sheetId="2">
        <row r="2">
          <cell r="L2">
            <v>2258.3399999999997</v>
          </cell>
        </row>
      </sheetData>
      <sheetData sheetId="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RAK KOMPAKTÖR"/>
      <sheetName val="TOPRAK KOMP.EN YENİ MODEL"/>
      <sheetName val="degisim"/>
    </sheetNames>
    <sheetDataSet>
      <sheetData sheetId="0">
        <row r="17">
          <cell r="L17">
            <v>30341.8</v>
          </cell>
        </row>
      </sheetData>
      <sheetData sheetId="1"/>
      <sheetData sheetId="2"/>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R TEST CİHAZI"/>
      <sheetName val="degisim"/>
    </sheetNames>
    <sheetDataSet>
      <sheetData sheetId="0">
        <row r="46">
          <cell r="H46">
            <v>65236.78</v>
          </cell>
        </row>
      </sheetData>
      <sheetData sheetId="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KA YÜKLEME 30 TON"/>
      <sheetName val="30degisim"/>
      <sheetName val="PLAKA YÜKLEME 50 TON"/>
      <sheetName val="50degisim"/>
      <sheetName val="PLAKA YÜKLEME 100 TON"/>
      <sheetName val="100degisim"/>
    </sheetNames>
    <sheetDataSet>
      <sheetData sheetId="0">
        <row r="3">
          <cell r="L3">
            <v>54854</v>
          </cell>
        </row>
      </sheetData>
      <sheetData sheetId="1"/>
      <sheetData sheetId="2">
        <row r="2">
          <cell r="L2">
            <v>55166</v>
          </cell>
        </row>
      </sheetData>
      <sheetData sheetId="3"/>
      <sheetData sheetId="4"/>
      <sheetData sheetId="5"/>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KA YÜKLEME 30 TON"/>
      <sheetName val="30degisim"/>
      <sheetName val="PLAKA YÜKLEME 50 TON"/>
      <sheetName val="50degisim"/>
      <sheetName val="PLAKA YÜKLEME 100 TON"/>
      <sheetName val="100degisim"/>
    </sheetNames>
    <sheetDataSet>
      <sheetData sheetId="0"/>
      <sheetData sheetId="1"/>
      <sheetData sheetId="2"/>
      <sheetData sheetId="3"/>
      <sheetData sheetId="4">
        <row r="2">
          <cell r="L2">
            <v>70066</v>
          </cell>
        </row>
      </sheetData>
      <sheetData sheetId="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um konisi"/>
      <sheetName val="degisim"/>
      <sheetName val="12 KUM KONİSİ"/>
      <sheetName val="12degisim"/>
    </sheetNames>
    <sheetDataSet>
      <sheetData sheetId="0">
        <row r="2">
          <cell r="L2">
            <v>1812.5</v>
          </cell>
        </row>
      </sheetData>
      <sheetData sheetId="1"/>
      <sheetData sheetId="2">
        <row r="2">
          <cell r="L2">
            <v>660</v>
          </cell>
        </row>
      </sheetData>
      <sheetData sheetId="3"/>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m konisi"/>
      <sheetName val="degisim"/>
      <sheetName val="12 KUM KONİSİ"/>
      <sheetName val="12degisim"/>
    </sheetNames>
    <sheetDataSet>
      <sheetData sheetId="0" refreshError="1">
        <row r="2">
          <cell r="L2">
            <v>400</v>
          </cell>
        </row>
        <row r="3">
          <cell r="H3">
            <v>135</v>
          </cell>
        </row>
        <row r="4">
          <cell r="H4">
            <v>75</v>
          </cell>
        </row>
        <row r="5">
          <cell r="H5">
            <v>35</v>
          </cell>
        </row>
        <row r="6">
          <cell r="H6">
            <v>30</v>
          </cell>
        </row>
        <row r="7">
          <cell r="H7">
            <v>35</v>
          </cell>
        </row>
        <row r="8">
          <cell r="H8">
            <v>40</v>
          </cell>
        </row>
        <row r="9">
          <cell r="H9">
            <v>50</v>
          </cell>
        </row>
      </sheetData>
      <sheetData sheetId="1" refreshError="1"/>
      <sheetData sheetId="2" refreshError="1"/>
      <sheetData sheetId="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00 LÜK KESAFET"/>
      <sheetName val="100degisim"/>
      <sheetName val="150 LİK KESAFET"/>
      <sheetName val="150degisim"/>
      <sheetName val="200 LUK KESAFET"/>
      <sheetName val="200degisim"/>
    </sheetNames>
    <sheetDataSet>
      <sheetData sheetId="0">
        <row r="2">
          <cell r="L2">
            <v>1492</v>
          </cell>
        </row>
      </sheetData>
      <sheetData sheetId="1"/>
      <sheetData sheetId="2">
        <row r="2">
          <cell r="L2">
            <v>5729</v>
          </cell>
        </row>
      </sheetData>
      <sheetData sheetId="3"/>
      <sheetData sheetId="4">
        <row r="2">
          <cell r="L2">
            <v>7500</v>
          </cell>
        </row>
      </sheetData>
      <sheetData sheetId="5"/>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ÜŞEN SEVİYELİ PERMABİLİTE"/>
      <sheetName val="degisim"/>
    </sheetNames>
    <sheetDataSet>
      <sheetData sheetId="0">
        <row r="2">
          <cell r="L2">
            <v>9922</v>
          </cell>
        </row>
      </sheetData>
      <sheetData sheetId="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NSOLİDASYON50LİK"/>
      <sheetName val="50likdegisim"/>
      <sheetName val="KONSOLİDASYON75LİK"/>
      <sheetName val="75likdegisim"/>
    </sheetNames>
    <sheetDataSet>
      <sheetData sheetId="0"/>
      <sheetData sheetId="1"/>
      <sheetData sheetId="2">
        <row r="2">
          <cell r="L2">
            <v>7700</v>
          </cell>
        </row>
      </sheetData>
      <sheetData sheetId="3"/>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SOLİDASYON50LİK"/>
      <sheetName val="50likdegisim"/>
      <sheetName val="KONSOLİDASYON75LİK"/>
      <sheetName val="75likdegisim"/>
    </sheetNames>
    <sheetDataSet>
      <sheetData sheetId="0">
        <row r="2">
          <cell r="L2">
            <v>23860</v>
          </cell>
        </row>
      </sheetData>
      <sheetData sheetId="1"/>
      <sheetData sheetId="2"/>
      <sheetData sheetId="3"/>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OMATİK KONSOLİDASYON"/>
    </sheetNames>
    <sheetDataSet>
      <sheetData sheetId="0">
        <row r="28">
          <cell r="H28">
            <v>119964.9</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SHALL STABİLİTE"/>
      <sheetName val="degisim"/>
    </sheetNames>
    <sheetDataSet>
      <sheetData sheetId="0">
        <row r="2">
          <cell r="L2">
            <v>66736</v>
          </cell>
        </row>
      </sheetData>
      <sheetData sheetId="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rek kesme"/>
      <sheetName val="Otomatik Direk kesme"/>
      <sheetName val="degisim"/>
    </sheetNames>
    <sheetDataSet>
      <sheetData sheetId="0">
        <row r="2">
          <cell r="L2">
            <v>87606</v>
          </cell>
        </row>
      </sheetData>
      <sheetData sheetId="1"/>
      <sheetData sheetId="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rek kesme"/>
      <sheetName val="degisim"/>
    </sheetNames>
    <sheetDataSet>
      <sheetData sheetId="0">
        <row r="2">
          <cell r="L2">
            <v>164595</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degisim"/>
    </sheetNames>
    <sheetDataSet>
      <sheetData sheetId="0">
        <row r="2">
          <cell r="L2">
            <v>36540</v>
          </cell>
        </row>
      </sheetData>
      <sheetData sheetId="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Ş KESME MTA"/>
      <sheetName val="mtadegisim"/>
    </sheetNames>
    <sheetDataSet>
      <sheetData sheetId="0">
        <row r="2">
          <cell r="L2">
            <v>70262.5</v>
          </cell>
        </row>
      </sheetData>
      <sheetData sheetId="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00 ÇENELİ"/>
      <sheetName val="100degisim"/>
      <sheetName val="200 ÇENELİ"/>
      <sheetName val="200degisim"/>
      <sheetName val="Sayfa1"/>
    </sheetNames>
    <sheetDataSet>
      <sheetData sheetId="0">
        <row r="49">
          <cell r="H49">
            <v>65715.08</v>
          </cell>
        </row>
      </sheetData>
      <sheetData sheetId="1"/>
      <sheetData sheetId="2">
        <row r="2">
          <cell r="L2">
            <v>73319.08</v>
          </cell>
        </row>
      </sheetData>
      <sheetData sheetId="3"/>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0x300 çeneli"/>
      <sheetName val="LTEB ÇENELİ"/>
      <sheetName val="degisim"/>
      <sheetName val="BÖLÜCÜLÜ ÇENELİ KIRICI"/>
    </sheetNames>
    <sheetDataSet>
      <sheetData sheetId="0">
        <row r="3">
          <cell r="L3">
            <v>61710</v>
          </cell>
        </row>
      </sheetData>
      <sheetData sheetId="1"/>
      <sheetData sheetId="2"/>
      <sheetData sheetId="3"/>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KALI ÖĞÜTÜCÜ"/>
      <sheetName val="degisim"/>
      <sheetName val="HALKALI ÖĞÜTÜCÜ ÖZEL HAZNELİ "/>
      <sheetName val="özeldegisim"/>
      <sheetName val="Pnömatik Diskli Öğütücü"/>
      <sheetName val="pnödegisim"/>
    </sheetNames>
    <sheetDataSet>
      <sheetData sheetId="0"/>
      <sheetData sheetId="1"/>
      <sheetData sheetId="2"/>
      <sheetData sheetId="3"/>
      <sheetData sheetId="4">
        <row r="2">
          <cell r="L2">
            <v>83426</v>
          </cell>
        </row>
      </sheetData>
      <sheetData sheetId="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800 CC"/>
      <sheetName val="800degisim"/>
      <sheetName val="2000 CC"/>
      <sheetName val="2000CC 4340"/>
      <sheetName val="2000degisim"/>
      <sheetName val="1000 CC"/>
      <sheetName val="1000degisim"/>
      <sheetName val="800cc"/>
    </sheetNames>
    <sheetDataSet>
      <sheetData sheetId="0">
        <row r="2">
          <cell r="L2">
            <v>12725</v>
          </cell>
        </row>
      </sheetData>
      <sheetData sheetId="1"/>
      <sheetData sheetId="2">
        <row r="2">
          <cell r="L2">
            <v>18220</v>
          </cell>
        </row>
      </sheetData>
      <sheetData sheetId="3"/>
      <sheetData sheetId="4"/>
      <sheetData sheetId="5">
        <row r="2">
          <cell r="L2">
            <v>3605</v>
          </cell>
        </row>
      </sheetData>
      <sheetData sheetId="6"/>
      <sheetData sheetId="7"/>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INÇLI FİLTRE"/>
      <sheetName val="degisim"/>
    </sheetNames>
    <sheetDataSet>
      <sheetData sheetId="0">
        <row r="2">
          <cell r="L2">
            <v>43568.92</v>
          </cell>
        </row>
      </sheetData>
      <sheetData sheetId="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s>
    <sheetDataSet>
      <sheetData sheetId="0">
        <row r="2">
          <cell r="L2">
            <v>46310</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s>
    <sheetDataSet>
      <sheetData sheetId="0">
        <row r="2">
          <cell r="L2">
            <v>42830.420000000006</v>
          </cell>
        </row>
      </sheetData>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LKALI ÖĞÜTÜCÜ"/>
      <sheetName val="degisim"/>
      <sheetName val="HALKALI ÖĞÜTÜCÜ ÖZEL HAZNELİ "/>
      <sheetName val="özeldegisim"/>
      <sheetName val="Pnömatik Diskli Öğütücü"/>
      <sheetName val="pnödegisim"/>
    </sheetNames>
    <sheetDataSet>
      <sheetData sheetId="0" refreshError="1">
        <row r="2">
          <cell r="L2">
            <v>1950</v>
          </cell>
        </row>
      </sheetData>
      <sheetData sheetId="1" refreshError="1"/>
      <sheetData sheetId="2" refreshError="1"/>
      <sheetData sheetId="3" refreshError="1"/>
      <sheetData sheetId="4" refreshError="1"/>
      <sheetData sheetId="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YALI DEĞİRMEN"/>
      <sheetName val="degisim"/>
      <sheetName val="tambur6"/>
      <sheetName val="degisim6"/>
      <sheetName val="tambur9"/>
      <sheetName val="degisim9"/>
    </sheetNames>
    <sheetDataSet>
      <sheetData sheetId="0">
        <row r="2">
          <cell r="L2">
            <v>73777.899999999994</v>
          </cell>
        </row>
      </sheetData>
      <sheetData sheetId="1"/>
      <sheetData sheetId="2">
        <row r="2">
          <cell r="M2">
            <v>13965</v>
          </cell>
        </row>
      </sheetData>
      <sheetData sheetId="3"/>
      <sheetData sheetId="4">
        <row r="2">
          <cell r="L2">
            <v>16107</v>
          </cell>
        </row>
      </sheetData>
      <sheetData sheetId="5"/>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katlıbottle roller"/>
      <sheetName val="3 KATLIÖZEL ÜRETİM HAVALI"/>
      <sheetName val="degisim"/>
      <sheetName val="1katlıbottle roller"/>
      <sheetName val="1katlıdegisim"/>
    </sheetNames>
    <sheetDataSet>
      <sheetData sheetId="0">
        <row r="2">
          <cell r="L2">
            <v>52327.520000000004</v>
          </cell>
        </row>
      </sheetData>
      <sheetData sheetId="1"/>
      <sheetData sheetId="2"/>
      <sheetData sheetId="3">
        <row r="2">
          <cell r="L2">
            <v>37168.46</v>
          </cell>
        </row>
      </sheetData>
      <sheetData sheetId="4"/>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OMATİK NUMUNE BÖLÜCÜ"/>
      <sheetName val="degisim"/>
    </sheetNames>
    <sheetDataSet>
      <sheetData sheetId="0">
        <row r="2">
          <cell r="L2">
            <v>33997.32</v>
          </cell>
        </row>
      </sheetData>
      <sheetData sheetId="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ATASYON"/>
      <sheetName val="degisim"/>
    </sheetNames>
    <sheetDataSet>
      <sheetData sheetId="0">
        <row r="2">
          <cell r="L2">
            <v>28040</v>
          </cell>
        </row>
      </sheetData>
      <sheetData sheetId="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degisim"/>
    </sheetNames>
    <sheetDataSet>
      <sheetData sheetId="0">
        <row r="2">
          <cell r="L2">
            <v>70863.75</v>
          </cell>
        </row>
      </sheetData>
      <sheetData sheetId="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ASTM KOK"/>
      <sheetName val="degisim"/>
    </sheetNames>
    <sheetDataSet>
      <sheetData sheetId="0">
        <row r="2">
          <cell r="L2">
            <v>17095</v>
          </cell>
        </row>
      </sheetData>
      <sheetData sheetId="1"/>
      <sheetData sheetId="2"/>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degisim"/>
    </sheetNames>
    <sheetDataSet>
      <sheetData sheetId="0">
        <row r="2">
          <cell r="L2">
            <v>127076</v>
          </cell>
        </row>
      </sheetData>
      <sheetData sheetId="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degisim"/>
    </sheetNames>
    <sheetDataSet>
      <sheetData sheetId="0">
        <row r="2">
          <cell r="L2">
            <v>17625</v>
          </cell>
        </row>
      </sheetData>
      <sheetData sheetId="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s>
    <sheetDataSet>
      <sheetData sheetId="0">
        <row r="19">
          <cell r="H19">
            <v>17745</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TE"/>
      <sheetName val="degisim"/>
    </sheetNames>
    <sheetDataSet>
      <sheetData sheetId="0">
        <row r="2">
          <cell r="L2">
            <v>680</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15"/>
  <sheetViews>
    <sheetView tabSelected="1" topLeftCell="A1837" zoomScale="72" zoomScaleNormal="70" workbookViewId="0">
      <selection activeCell="K975" sqref="K975"/>
    </sheetView>
  </sheetViews>
  <sheetFormatPr defaultRowHeight="14.4" x14ac:dyDescent="0.3"/>
  <cols>
    <col min="1" max="1" width="15" style="2" customWidth="1"/>
    <col min="2" max="2" width="8.88671875" style="1"/>
    <col min="3" max="3" width="53.88671875" style="6" customWidth="1"/>
    <col min="4" max="4" width="54.5546875" style="6" customWidth="1"/>
    <col min="5" max="5" width="16.5546875" style="21" customWidth="1"/>
    <col min="6" max="6" width="15.6640625" style="21" customWidth="1"/>
    <col min="7" max="7" width="24.6640625" style="24" bestFit="1" customWidth="1"/>
    <col min="8" max="8" width="16.5546875" style="21" customWidth="1"/>
    <col min="9" max="9" width="12.88671875" style="21" customWidth="1"/>
    <col min="10" max="10" width="15.5546875" style="21" customWidth="1"/>
  </cols>
  <sheetData>
    <row r="1" spans="1:10" x14ac:dyDescent="0.3">
      <c r="A1" s="1" t="s">
        <v>1</v>
      </c>
      <c r="B1" s="1" t="s">
        <v>0</v>
      </c>
      <c r="C1" s="1" t="s">
        <v>2</v>
      </c>
      <c r="D1" s="1" t="s">
        <v>8771</v>
      </c>
      <c r="E1" s="19" t="s">
        <v>3</v>
      </c>
      <c r="F1" s="19" t="s">
        <v>4</v>
      </c>
      <c r="G1" s="24" t="s">
        <v>5</v>
      </c>
      <c r="H1" s="19" t="s">
        <v>6</v>
      </c>
      <c r="I1" s="19" t="s">
        <v>7</v>
      </c>
      <c r="J1" s="19" t="s">
        <v>8</v>
      </c>
    </row>
    <row r="2" spans="1:10" ht="82.8" x14ac:dyDescent="0.3">
      <c r="A2" s="2" t="s">
        <v>9</v>
      </c>
      <c r="B2" s="1" t="s">
        <v>2152</v>
      </c>
      <c r="C2" s="6" t="s">
        <v>2153</v>
      </c>
      <c r="D2" s="6" t="s">
        <v>4324</v>
      </c>
      <c r="E2" s="20">
        <f>H2*1.8*1.4</f>
        <v>0</v>
      </c>
      <c r="F2" s="20">
        <v>0</v>
      </c>
      <c r="G2" s="24" t="s">
        <v>6457</v>
      </c>
      <c r="H2" s="20">
        <f>K2*1.8*1.4</f>
        <v>0</v>
      </c>
      <c r="I2" s="21">
        <v>870</v>
      </c>
      <c r="J2" s="21">
        <v>810</v>
      </c>
    </row>
    <row r="3" spans="1:10" ht="82.8" x14ac:dyDescent="0.3">
      <c r="A3" s="2" t="s">
        <v>10</v>
      </c>
      <c r="B3" s="1" t="s">
        <v>2152</v>
      </c>
      <c r="C3" s="6" t="s">
        <v>2154</v>
      </c>
      <c r="D3" s="6" t="s">
        <v>4325</v>
      </c>
      <c r="E3" s="20">
        <f>H3*1.8*1.4</f>
        <v>0</v>
      </c>
      <c r="F3" s="20">
        <v>33810</v>
      </c>
      <c r="G3" s="24" t="s">
        <v>6458</v>
      </c>
      <c r="H3" s="20">
        <f>K3*1.8*1.4</f>
        <v>0</v>
      </c>
      <c r="I3" s="21">
        <v>930</v>
      </c>
      <c r="J3" s="21">
        <v>861</v>
      </c>
    </row>
    <row r="4" spans="1:10" ht="82.8" x14ac:dyDescent="0.3">
      <c r="A4" s="2" t="s">
        <v>11</v>
      </c>
      <c r="B4" s="1" t="s">
        <v>2152</v>
      </c>
      <c r="C4" s="6" t="s">
        <v>2155</v>
      </c>
      <c r="D4" s="6" t="s">
        <v>4326</v>
      </c>
      <c r="E4" s="20">
        <f t="shared" ref="E4:E67" si="0">H4*1.8*1.4</f>
        <v>0</v>
      </c>
      <c r="F4" s="20">
        <f>'[1]120 LT ETÜV'!$L$2</f>
        <v>18284.5</v>
      </c>
      <c r="G4" s="24" t="s">
        <v>6459</v>
      </c>
      <c r="H4" s="20">
        <f t="shared" ref="H4:H67" si="1">K4*1.8*1.4</f>
        <v>0</v>
      </c>
      <c r="I4" s="21">
        <v>1020</v>
      </c>
      <c r="J4" s="21">
        <v>945</v>
      </c>
    </row>
    <row r="5" spans="1:10" ht="82.8" x14ac:dyDescent="0.3">
      <c r="A5" s="2" t="s">
        <v>12</v>
      </c>
      <c r="B5" s="1" t="s">
        <v>2152</v>
      </c>
      <c r="C5" s="6" t="s">
        <v>2156</v>
      </c>
      <c r="D5" s="6" t="s">
        <v>4327</v>
      </c>
      <c r="E5" s="20">
        <f t="shared" si="0"/>
        <v>0</v>
      </c>
      <c r="F5" s="20">
        <f>'[1]120 LT ETÜV'!$L$2</f>
        <v>18284.5</v>
      </c>
      <c r="G5" s="24" t="s">
        <v>6460</v>
      </c>
      <c r="H5" s="20">
        <f t="shared" si="1"/>
        <v>0</v>
      </c>
      <c r="I5" s="21">
        <v>1200</v>
      </c>
      <c r="J5" s="21">
        <v>1112</v>
      </c>
    </row>
    <row r="6" spans="1:10" ht="82.8" x14ac:dyDescent="0.3">
      <c r="A6" s="2" t="s">
        <v>13</v>
      </c>
      <c r="B6" s="1" t="s">
        <v>2152</v>
      </c>
      <c r="C6" s="6" t="s">
        <v>2157</v>
      </c>
      <c r="D6" s="6" t="s">
        <v>4328</v>
      </c>
      <c r="E6" s="20">
        <f t="shared" si="0"/>
        <v>0</v>
      </c>
      <c r="F6" s="20">
        <f>'[1]250 LT ETÜV'!$L$2</f>
        <v>23379.89</v>
      </c>
      <c r="G6" s="24" t="s">
        <v>6461</v>
      </c>
      <c r="H6" s="20">
        <f t="shared" si="1"/>
        <v>0</v>
      </c>
      <c r="I6" s="21">
        <v>1500</v>
      </c>
      <c r="J6" s="21">
        <v>1500</v>
      </c>
    </row>
    <row r="7" spans="1:10" ht="82.8" x14ac:dyDescent="0.3">
      <c r="A7" s="2" t="s">
        <v>14</v>
      </c>
      <c r="B7" s="1" t="s">
        <v>2152</v>
      </c>
      <c r="C7" s="6" t="s">
        <v>2158</v>
      </c>
      <c r="D7" s="6" t="s">
        <v>4329</v>
      </c>
      <c r="E7" s="20">
        <f t="shared" si="0"/>
        <v>0</v>
      </c>
      <c r="F7" s="20">
        <f>'[1]250 LT ETÜV'!$L$2</f>
        <v>23379.89</v>
      </c>
      <c r="G7" s="24" t="s">
        <v>6462</v>
      </c>
      <c r="H7" s="20">
        <f t="shared" si="1"/>
        <v>0</v>
      </c>
      <c r="I7" s="21">
        <v>1562</v>
      </c>
      <c r="J7" s="21">
        <v>1550</v>
      </c>
    </row>
    <row r="8" spans="1:10" ht="82.8" x14ac:dyDescent="0.3">
      <c r="A8" s="2" t="s">
        <v>15</v>
      </c>
      <c r="B8" s="1" t="s">
        <v>2152</v>
      </c>
      <c r="C8" s="6" t="s">
        <v>2159</v>
      </c>
      <c r="D8" s="6" t="s">
        <v>4330</v>
      </c>
      <c r="E8" s="20">
        <f t="shared" si="0"/>
        <v>0</v>
      </c>
      <c r="F8" s="20">
        <f>'[1]500 LT ETÜV'!$L$2</f>
        <v>35220.5</v>
      </c>
      <c r="G8" s="24" t="s">
        <v>6463</v>
      </c>
      <c r="H8" s="20">
        <f t="shared" si="1"/>
        <v>0</v>
      </c>
      <c r="I8" s="21">
        <v>2062</v>
      </c>
      <c r="J8" s="21">
        <v>1812</v>
      </c>
    </row>
    <row r="9" spans="1:10" ht="82.8" x14ac:dyDescent="0.3">
      <c r="A9" s="2" t="s">
        <v>16</v>
      </c>
      <c r="B9" s="1" t="s">
        <v>2152</v>
      </c>
      <c r="C9" s="6" t="s">
        <v>2160</v>
      </c>
      <c r="D9" s="6" t="s">
        <v>4331</v>
      </c>
      <c r="E9" s="20">
        <f t="shared" si="0"/>
        <v>0</v>
      </c>
      <c r="F9" s="20">
        <f>'[1]500 LT ETÜV'!$L$2</f>
        <v>35220.5</v>
      </c>
      <c r="G9" s="24" t="s">
        <v>6464</v>
      </c>
      <c r="H9" s="20">
        <f t="shared" si="1"/>
        <v>0</v>
      </c>
      <c r="I9" s="21">
        <v>2312</v>
      </c>
      <c r="J9" s="21">
        <v>1944</v>
      </c>
    </row>
    <row r="10" spans="1:10" ht="82.8" x14ac:dyDescent="0.3">
      <c r="A10" s="3" t="s">
        <v>17</v>
      </c>
      <c r="B10" s="1" t="s">
        <v>2152</v>
      </c>
      <c r="C10" s="6" t="s">
        <v>2161</v>
      </c>
      <c r="D10" s="6" t="s">
        <v>4332</v>
      </c>
      <c r="E10" s="20">
        <f t="shared" si="0"/>
        <v>0</v>
      </c>
      <c r="F10" s="20">
        <v>59000</v>
      </c>
      <c r="G10" s="24" t="s">
        <v>6465</v>
      </c>
      <c r="H10" s="20">
        <f t="shared" si="1"/>
        <v>0</v>
      </c>
      <c r="I10" s="21">
        <v>2375</v>
      </c>
      <c r="J10" s="21">
        <v>2166</v>
      </c>
    </row>
    <row r="11" spans="1:10" ht="82.8" x14ac:dyDescent="0.3">
      <c r="A11" s="2" t="s">
        <v>18</v>
      </c>
      <c r="B11" s="1" t="s">
        <v>2152</v>
      </c>
      <c r="C11" s="6" t="s">
        <v>2162</v>
      </c>
      <c r="D11" s="6" t="s">
        <v>4333</v>
      </c>
      <c r="E11" s="20">
        <f t="shared" si="0"/>
        <v>0</v>
      </c>
      <c r="F11" s="20">
        <v>59000</v>
      </c>
      <c r="G11" s="24" t="s">
        <v>6466</v>
      </c>
      <c r="H11" s="20">
        <f t="shared" si="1"/>
        <v>0</v>
      </c>
      <c r="I11" s="21">
        <v>2450</v>
      </c>
      <c r="J11" s="21">
        <v>2361</v>
      </c>
    </row>
    <row r="12" spans="1:10" ht="82.8" x14ac:dyDescent="0.3">
      <c r="A12" s="2" t="s">
        <v>19</v>
      </c>
      <c r="B12" s="1" t="s">
        <v>2152</v>
      </c>
      <c r="C12" s="6" t="s">
        <v>2163</v>
      </c>
      <c r="D12" s="6" t="s">
        <v>4334</v>
      </c>
      <c r="E12" s="20">
        <f t="shared" si="0"/>
        <v>0</v>
      </c>
      <c r="F12" s="20">
        <v>64000</v>
      </c>
      <c r="G12" s="24" t="s">
        <v>6467</v>
      </c>
      <c r="H12" s="20">
        <f t="shared" si="1"/>
        <v>0</v>
      </c>
      <c r="I12" s="21">
        <v>4250</v>
      </c>
      <c r="J12" s="21">
        <v>4100</v>
      </c>
    </row>
    <row r="13" spans="1:10" ht="82.8" x14ac:dyDescent="0.3">
      <c r="A13" s="2" t="s">
        <v>20</v>
      </c>
      <c r="B13" s="1" t="s">
        <v>2152</v>
      </c>
      <c r="C13" s="6" t="s">
        <v>2164</v>
      </c>
      <c r="D13" s="6" t="s">
        <v>4335</v>
      </c>
      <c r="E13" s="20">
        <f t="shared" si="0"/>
        <v>0</v>
      </c>
      <c r="F13" s="20">
        <v>88000</v>
      </c>
      <c r="G13" s="24" t="s">
        <v>6468</v>
      </c>
      <c r="H13" s="20">
        <f t="shared" si="1"/>
        <v>0</v>
      </c>
      <c r="I13" s="21">
        <v>4250</v>
      </c>
      <c r="J13" s="21">
        <v>4100</v>
      </c>
    </row>
    <row r="14" spans="1:10" x14ac:dyDescent="0.3">
      <c r="A14" s="2" t="s">
        <v>21</v>
      </c>
      <c r="B14" s="1" t="s">
        <v>2152</v>
      </c>
      <c r="C14" s="6" t="s">
        <v>2165</v>
      </c>
      <c r="D14" s="6" t="s">
        <v>4336</v>
      </c>
      <c r="E14" s="20">
        <v>750</v>
      </c>
      <c r="F14" s="20">
        <v>200</v>
      </c>
      <c r="G14" s="24" t="s">
        <v>6469</v>
      </c>
      <c r="H14" s="20">
        <v>750</v>
      </c>
      <c r="I14" s="21">
        <v>22</v>
      </c>
      <c r="J14" s="21">
        <v>21</v>
      </c>
    </row>
    <row r="15" spans="1:10" x14ac:dyDescent="0.3">
      <c r="A15" s="2" t="s">
        <v>22</v>
      </c>
      <c r="B15" s="1" t="s">
        <v>2152</v>
      </c>
      <c r="C15" s="6" t="s">
        <v>2166</v>
      </c>
      <c r="D15" s="6" t="s">
        <v>4337</v>
      </c>
      <c r="E15" s="20">
        <f>H15*1.8*1.4*39</f>
        <v>0</v>
      </c>
      <c r="F15" s="20">
        <v>300</v>
      </c>
      <c r="G15" s="24" t="s">
        <v>6470</v>
      </c>
      <c r="H15" s="20">
        <f>K15*1.8*1.4*39</f>
        <v>0</v>
      </c>
      <c r="I15" s="21">
        <v>15</v>
      </c>
      <c r="J15" s="21">
        <v>14</v>
      </c>
    </row>
    <row r="16" spans="1:10" ht="124.2" x14ac:dyDescent="0.3">
      <c r="A16" s="2" t="s">
        <v>23</v>
      </c>
      <c r="B16" s="1" t="s">
        <v>2152</v>
      </c>
      <c r="C16" s="6" t="s">
        <v>2167</v>
      </c>
      <c r="D16" s="6" t="s">
        <v>4338</v>
      </c>
      <c r="E16" s="20">
        <f t="shared" si="0"/>
        <v>0</v>
      </c>
      <c r="F16" s="20">
        <v>53130</v>
      </c>
      <c r="G16" s="24" t="s">
        <v>6471</v>
      </c>
      <c r="H16" s="20">
        <f t="shared" si="1"/>
        <v>0</v>
      </c>
      <c r="I16" s="21">
        <v>2010</v>
      </c>
      <c r="J16" s="21">
        <f t="shared" ref="J16:J25" si="2">X16</f>
        <v>0</v>
      </c>
    </row>
    <row r="17" spans="1:10" ht="124.2" x14ac:dyDescent="0.3">
      <c r="A17" s="2" t="s">
        <v>24</v>
      </c>
      <c r="B17" s="1" t="s">
        <v>2152</v>
      </c>
      <c r="C17" s="6" t="s">
        <v>2168</v>
      </c>
      <c r="D17" s="6" t="s">
        <v>4339</v>
      </c>
      <c r="E17" s="20">
        <f t="shared" si="0"/>
        <v>0</v>
      </c>
      <c r="F17" s="20">
        <v>66000</v>
      </c>
      <c r="G17" s="24" t="s">
        <v>6472</v>
      </c>
      <c r="H17" s="20">
        <f t="shared" si="1"/>
        <v>0</v>
      </c>
      <c r="I17" s="21">
        <v>2310</v>
      </c>
      <c r="J17" s="21">
        <f t="shared" si="2"/>
        <v>0</v>
      </c>
    </row>
    <row r="18" spans="1:10" ht="124.2" x14ac:dyDescent="0.3">
      <c r="A18" s="2" t="s">
        <v>25</v>
      </c>
      <c r="B18" s="1" t="s">
        <v>2152</v>
      </c>
      <c r="C18" s="6" t="s">
        <v>2169</v>
      </c>
      <c r="D18" s="6" t="s">
        <v>4340</v>
      </c>
      <c r="E18" s="20">
        <f t="shared" si="0"/>
        <v>0</v>
      </c>
      <c r="F18" s="20">
        <v>80000</v>
      </c>
      <c r="G18" s="24" t="s">
        <v>6473</v>
      </c>
      <c r="H18" s="20">
        <f t="shared" si="1"/>
        <v>0</v>
      </c>
      <c r="I18" s="21">
        <v>3195</v>
      </c>
      <c r="J18" s="21">
        <f t="shared" si="2"/>
        <v>0</v>
      </c>
    </row>
    <row r="19" spans="1:10" ht="124.2" x14ac:dyDescent="0.3">
      <c r="A19" s="2" t="s">
        <v>26</v>
      </c>
      <c r="B19" s="1" t="s">
        <v>2152</v>
      </c>
      <c r="C19" s="6" t="s">
        <v>2170</v>
      </c>
      <c r="D19" s="6" t="s">
        <v>4341</v>
      </c>
      <c r="E19" s="20">
        <f t="shared" si="0"/>
        <v>0</v>
      </c>
      <c r="F19" s="20">
        <v>96600</v>
      </c>
      <c r="G19" s="24" t="s">
        <v>6474</v>
      </c>
      <c r="H19" s="20">
        <f t="shared" si="1"/>
        <v>0</v>
      </c>
      <c r="I19" s="21">
        <f>W19</f>
        <v>0</v>
      </c>
      <c r="J19" s="21">
        <f t="shared" si="2"/>
        <v>0</v>
      </c>
    </row>
    <row r="20" spans="1:10" ht="124.2" x14ac:dyDescent="0.3">
      <c r="A20" s="2" t="s">
        <v>27</v>
      </c>
      <c r="B20" s="1" t="s">
        <v>2152</v>
      </c>
      <c r="C20" s="6" t="s">
        <v>2171</v>
      </c>
      <c r="D20" s="6" t="s">
        <v>4342</v>
      </c>
      <c r="E20" s="20">
        <f t="shared" si="0"/>
        <v>0</v>
      </c>
      <c r="F20" s="20">
        <v>140000</v>
      </c>
      <c r="G20" s="24" t="s">
        <v>6475</v>
      </c>
      <c r="H20" s="20">
        <f t="shared" si="1"/>
        <v>0</v>
      </c>
      <c r="I20" s="21">
        <f>W20</f>
        <v>0</v>
      </c>
      <c r="J20" s="21">
        <f t="shared" si="2"/>
        <v>0</v>
      </c>
    </row>
    <row r="21" spans="1:10" ht="110.4" x14ac:dyDescent="0.3">
      <c r="A21" s="2" t="s">
        <v>28</v>
      </c>
      <c r="B21" s="1" t="s">
        <v>2152</v>
      </c>
      <c r="C21" s="6" t="s">
        <v>2172</v>
      </c>
      <c r="D21" s="6" t="s">
        <v>4343</v>
      </c>
      <c r="E21" s="20">
        <f t="shared" si="0"/>
        <v>0</v>
      </c>
      <c r="F21" s="20">
        <v>53130</v>
      </c>
      <c r="G21" s="24" t="s">
        <v>6476</v>
      </c>
      <c r="H21" s="20">
        <f t="shared" si="1"/>
        <v>0</v>
      </c>
      <c r="I21" s="21">
        <v>2490</v>
      </c>
      <c r="J21" s="21">
        <f t="shared" si="2"/>
        <v>0</v>
      </c>
    </row>
    <row r="22" spans="1:10" ht="110.4" x14ac:dyDescent="0.3">
      <c r="A22" s="2" t="s">
        <v>29</v>
      </c>
      <c r="B22" s="1" t="s">
        <v>2152</v>
      </c>
      <c r="C22" s="6" t="s">
        <v>2173</v>
      </c>
      <c r="D22" s="6" t="s">
        <v>4344</v>
      </c>
      <c r="E22" s="20">
        <f t="shared" si="0"/>
        <v>0</v>
      </c>
      <c r="F22" s="20">
        <v>66000</v>
      </c>
      <c r="G22" s="24" t="s">
        <v>6477</v>
      </c>
      <c r="H22" s="20">
        <f t="shared" si="1"/>
        <v>0</v>
      </c>
      <c r="I22" s="21">
        <v>2730</v>
      </c>
      <c r="J22" s="21">
        <f t="shared" si="2"/>
        <v>0</v>
      </c>
    </row>
    <row r="23" spans="1:10" ht="110.4" x14ac:dyDescent="0.3">
      <c r="A23" s="2" t="s">
        <v>30</v>
      </c>
      <c r="B23" s="1" t="s">
        <v>2152</v>
      </c>
      <c r="C23" s="6" t="s">
        <v>2174</v>
      </c>
      <c r="D23" s="6" t="s">
        <v>4345</v>
      </c>
      <c r="E23" s="20">
        <f t="shared" si="0"/>
        <v>0</v>
      </c>
      <c r="F23" s="20">
        <v>80000</v>
      </c>
      <c r="G23" s="24" t="s">
        <v>6478</v>
      </c>
      <c r="H23" s="20">
        <f t="shared" si="1"/>
        <v>0</v>
      </c>
      <c r="I23" s="21">
        <v>2730</v>
      </c>
      <c r="J23" s="21">
        <f t="shared" si="2"/>
        <v>0</v>
      </c>
    </row>
    <row r="24" spans="1:10" ht="110.4" x14ac:dyDescent="0.3">
      <c r="A24" s="2" t="s">
        <v>31</v>
      </c>
      <c r="B24" s="1" t="s">
        <v>2152</v>
      </c>
      <c r="C24" s="6" t="s">
        <v>2175</v>
      </c>
      <c r="D24" s="6" t="s">
        <v>4346</v>
      </c>
      <c r="E24" s="20">
        <f t="shared" si="0"/>
        <v>0</v>
      </c>
      <c r="F24" s="20">
        <v>96600</v>
      </c>
      <c r="G24" s="24" t="s">
        <v>6479</v>
      </c>
      <c r="H24" s="20">
        <f t="shared" si="1"/>
        <v>0</v>
      </c>
      <c r="I24" s="21">
        <v>2730</v>
      </c>
      <c r="J24" s="21">
        <f t="shared" si="2"/>
        <v>0</v>
      </c>
    </row>
    <row r="25" spans="1:10" ht="124.2" x14ac:dyDescent="0.3">
      <c r="A25" s="2" t="s">
        <v>32</v>
      </c>
      <c r="B25" s="1" t="s">
        <v>2152</v>
      </c>
      <c r="C25" s="6" t="s">
        <v>2176</v>
      </c>
      <c r="D25" s="6" t="s">
        <v>4347</v>
      </c>
      <c r="E25" s="20">
        <f t="shared" si="0"/>
        <v>0</v>
      </c>
      <c r="F25" s="20">
        <v>140000</v>
      </c>
      <c r="G25" s="24" t="s">
        <v>6480</v>
      </c>
      <c r="H25" s="20">
        <f t="shared" si="1"/>
        <v>0</v>
      </c>
      <c r="I25" s="21">
        <f>W25</f>
        <v>0</v>
      </c>
      <c r="J25" s="21">
        <f t="shared" si="2"/>
        <v>0</v>
      </c>
    </row>
    <row r="26" spans="1:10" ht="110.4" x14ac:dyDescent="0.3">
      <c r="A26" s="2" t="s">
        <v>33</v>
      </c>
      <c r="B26" s="1" t="s">
        <v>2152</v>
      </c>
      <c r="C26" s="6" t="s">
        <v>2177</v>
      </c>
      <c r="D26" s="6" t="s">
        <v>4348</v>
      </c>
      <c r="E26" s="20">
        <f t="shared" si="0"/>
        <v>0</v>
      </c>
      <c r="F26" s="20">
        <v>9500</v>
      </c>
      <c r="G26" s="24" t="s">
        <v>6481</v>
      </c>
      <c r="H26" s="20">
        <f t="shared" si="1"/>
        <v>0</v>
      </c>
      <c r="I26" s="21">
        <v>591</v>
      </c>
      <c r="J26" s="21">
        <v>550</v>
      </c>
    </row>
    <row r="27" spans="1:10" ht="110.4" x14ac:dyDescent="0.3">
      <c r="A27" s="2" t="s">
        <v>34</v>
      </c>
      <c r="B27" s="1" t="s">
        <v>2152</v>
      </c>
      <c r="C27" s="6" t="s">
        <v>2178</v>
      </c>
      <c r="D27" s="6" t="s">
        <v>4349</v>
      </c>
      <c r="E27" s="20">
        <f t="shared" si="0"/>
        <v>0</v>
      </c>
      <c r="F27" s="20">
        <v>0</v>
      </c>
      <c r="G27" s="24" t="s">
        <v>6482</v>
      </c>
      <c r="H27" s="20">
        <f t="shared" si="1"/>
        <v>0</v>
      </c>
      <c r="I27" s="21">
        <v>591</v>
      </c>
      <c r="J27" s="21">
        <v>550</v>
      </c>
    </row>
    <row r="28" spans="1:10" ht="110.4" x14ac:dyDescent="0.3">
      <c r="A28" s="2" t="s">
        <v>35</v>
      </c>
      <c r="B28" s="1" t="s">
        <v>2152</v>
      </c>
      <c r="C28" s="6" t="s">
        <v>2179</v>
      </c>
      <c r="D28" s="6" t="s">
        <v>4350</v>
      </c>
      <c r="E28" s="20">
        <f t="shared" si="0"/>
        <v>0</v>
      </c>
      <c r="F28" s="20">
        <v>10000</v>
      </c>
      <c r="G28" s="24" t="s">
        <v>6483</v>
      </c>
      <c r="H28" s="20">
        <f t="shared" si="1"/>
        <v>0</v>
      </c>
      <c r="I28" s="21">
        <v>711</v>
      </c>
      <c r="J28" s="21">
        <v>740</v>
      </c>
    </row>
    <row r="29" spans="1:10" x14ac:dyDescent="0.3">
      <c r="A29" s="2" t="s">
        <v>36</v>
      </c>
      <c r="B29" s="1" t="s">
        <v>2152</v>
      </c>
      <c r="C29" s="6" t="s">
        <v>2180</v>
      </c>
      <c r="D29" s="6" t="s">
        <v>4351</v>
      </c>
      <c r="E29" s="20">
        <f t="shared" si="0"/>
        <v>0</v>
      </c>
      <c r="F29" s="20">
        <v>800</v>
      </c>
      <c r="G29" s="24" t="s">
        <v>6484</v>
      </c>
      <c r="H29" s="20">
        <f t="shared" si="1"/>
        <v>0</v>
      </c>
      <c r="I29" s="21">
        <v>72</v>
      </c>
      <c r="J29" s="21">
        <f>X29</f>
        <v>0</v>
      </c>
    </row>
    <row r="30" spans="1:10" x14ac:dyDescent="0.3">
      <c r="A30" s="2" t="s">
        <v>37</v>
      </c>
      <c r="B30" s="1" t="s">
        <v>2152</v>
      </c>
      <c r="C30" s="6" t="s">
        <v>2181</v>
      </c>
      <c r="D30" s="6" t="s">
        <v>4352</v>
      </c>
      <c r="E30" s="20">
        <f t="shared" si="0"/>
        <v>0</v>
      </c>
      <c r="F30" s="20">
        <v>1800</v>
      </c>
      <c r="G30" s="24" t="s">
        <v>6485</v>
      </c>
      <c r="H30" s="20">
        <f t="shared" si="1"/>
        <v>0</v>
      </c>
      <c r="I30" s="21">
        <v>84</v>
      </c>
      <c r="J30" s="21">
        <f>X30</f>
        <v>0</v>
      </c>
    </row>
    <row r="31" spans="1:10" ht="69" x14ac:dyDescent="0.3">
      <c r="A31" s="3" t="s">
        <v>38</v>
      </c>
      <c r="B31" s="1" t="s">
        <v>2152</v>
      </c>
      <c r="C31" s="6" t="s">
        <v>2182</v>
      </c>
      <c r="D31" s="6" t="s">
        <v>4353</v>
      </c>
      <c r="E31" s="20">
        <f t="shared" si="0"/>
        <v>0</v>
      </c>
      <c r="F31" s="20">
        <v>12000</v>
      </c>
      <c r="G31" s="24" t="s">
        <v>6486</v>
      </c>
      <c r="H31" s="20">
        <f t="shared" si="1"/>
        <v>0</v>
      </c>
      <c r="I31" s="21">
        <v>720</v>
      </c>
      <c r="J31" s="21">
        <f>X31</f>
        <v>0</v>
      </c>
    </row>
    <row r="32" spans="1:10" ht="69" x14ac:dyDescent="0.3">
      <c r="A32" s="2" t="s">
        <v>39</v>
      </c>
      <c r="B32" s="1" t="s">
        <v>2152</v>
      </c>
      <c r="C32" s="6" t="s">
        <v>2183</v>
      </c>
      <c r="D32" s="6" t="s">
        <v>4354</v>
      </c>
      <c r="E32" s="20">
        <f t="shared" si="0"/>
        <v>0</v>
      </c>
      <c r="F32" s="20">
        <v>16000</v>
      </c>
      <c r="G32" s="24" t="s">
        <v>6487</v>
      </c>
      <c r="H32" s="20">
        <f t="shared" si="1"/>
        <v>0</v>
      </c>
      <c r="I32" s="21">
        <v>900</v>
      </c>
      <c r="J32" s="21">
        <f>X32</f>
        <v>0</v>
      </c>
    </row>
    <row r="33" spans="1:10" x14ac:dyDescent="0.3">
      <c r="A33" s="2" t="s">
        <v>40</v>
      </c>
      <c r="B33" s="1" t="s">
        <v>2152</v>
      </c>
      <c r="C33" s="6" t="s">
        <v>2184</v>
      </c>
      <c r="D33" s="6" t="s">
        <v>4355</v>
      </c>
      <c r="E33" s="20">
        <f t="shared" si="0"/>
        <v>0</v>
      </c>
      <c r="F33" s="20">
        <v>80000</v>
      </c>
      <c r="G33" s="24" t="s">
        <v>6488</v>
      </c>
      <c r="H33" s="20">
        <f t="shared" si="1"/>
        <v>0</v>
      </c>
      <c r="I33" s="21">
        <v>7500</v>
      </c>
    </row>
    <row r="34" spans="1:10" x14ac:dyDescent="0.3">
      <c r="A34" s="2" t="s">
        <v>41</v>
      </c>
      <c r="B34" s="1" t="s">
        <v>2152</v>
      </c>
      <c r="C34" s="6" t="s">
        <v>2185</v>
      </c>
      <c r="D34" s="6" t="s">
        <v>4356</v>
      </c>
      <c r="E34" s="20">
        <f t="shared" si="0"/>
        <v>0</v>
      </c>
      <c r="F34" s="20">
        <v>600</v>
      </c>
      <c r="G34" s="24" t="s">
        <v>6489</v>
      </c>
      <c r="H34" s="20">
        <f t="shared" si="1"/>
        <v>0</v>
      </c>
      <c r="I34" s="21">
        <v>78</v>
      </c>
      <c r="J34" s="21">
        <f>X34</f>
        <v>0</v>
      </c>
    </row>
    <row r="35" spans="1:10" ht="27.6" x14ac:dyDescent="0.3">
      <c r="A35" s="2" t="s">
        <v>42</v>
      </c>
      <c r="B35" s="1" t="s">
        <v>2152</v>
      </c>
      <c r="C35" s="6" t="s">
        <v>2186</v>
      </c>
      <c r="D35" s="6" t="s">
        <v>4357</v>
      </c>
      <c r="E35" s="20">
        <f t="shared" si="0"/>
        <v>0</v>
      </c>
      <c r="F35" s="21">
        <v>2000</v>
      </c>
      <c r="G35" s="24" t="s">
        <v>6490</v>
      </c>
      <c r="H35" s="20">
        <f t="shared" si="1"/>
        <v>0</v>
      </c>
      <c r="I35" s="21">
        <v>111</v>
      </c>
      <c r="J35" s="21">
        <f>X35</f>
        <v>0</v>
      </c>
    </row>
    <row r="36" spans="1:10" ht="41.4" x14ac:dyDescent="0.3">
      <c r="A36" s="2" t="s">
        <v>43</v>
      </c>
      <c r="B36" s="1" t="s">
        <v>2152</v>
      </c>
      <c r="C36" s="6" t="s">
        <v>2187</v>
      </c>
      <c r="D36" s="6" t="s">
        <v>4358</v>
      </c>
      <c r="E36" s="20">
        <f t="shared" si="0"/>
        <v>0</v>
      </c>
      <c r="F36" s="20">
        <v>2700</v>
      </c>
      <c r="G36" s="24" t="s">
        <v>6491</v>
      </c>
      <c r="H36" s="20">
        <f t="shared" si="1"/>
        <v>0</v>
      </c>
      <c r="I36" s="21">
        <v>192</v>
      </c>
      <c r="J36" s="21">
        <f>X36</f>
        <v>0</v>
      </c>
    </row>
    <row r="37" spans="1:10" ht="82.8" x14ac:dyDescent="0.3">
      <c r="A37" s="2" t="s">
        <v>44</v>
      </c>
      <c r="B37" s="1" t="s">
        <v>2152</v>
      </c>
      <c r="C37" s="6" t="s">
        <v>2188</v>
      </c>
      <c r="D37" s="6" t="s">
        <v>4359</v>
      </c>
      <c r="E37" s="20">
        <f t="shared" si="0"/>
        <v>0</v>
      </c>
      <c r="F37" s="20">
        <v>1200</v>
      </c>
      <c r="G37" s="24" t="s">
        <v>6492</v>
      </c>
      <c r="H37" s="20">
        <f t="shared" si="1"/>
        <v>0</v>
      </c>
      <c r="I37" s="21">
        <v>1250</v>
      </c>
      <c r="J37" s="21">
        <f t="shared" ref="J37:J100" si="3">X37</f>
        <v>0</v>
      </c>
    </row>
    <row r="38" spans="1:10" x14ac:dyDescent="0.3">
      <c r="A38" s="2" t="s">
        <v>45</v>
      </c>
      <c r="B38" s="1" t="s">
        <v>2152</v>
      </c>
      <c r="C38" s="6" t="s">
        <v>2189</v>
      </c>
      <c r="D38" s="6" t="s">
        <v>4360</v>
      </c>
      <c r="E38" s="20">
        <f t="shared" si="0"/>
        <v>0</v>
      </c>
      <c r="F38" s="20">
        <f>46.26*42.3</f>
        <v>1956.7979999999998</v>
      </c>
      <c r="G38" s="24" t="s">
        <v>6493</v>
      </c>
      <c r="H38" s="20">
        <f t="shared" si="1"/>
        <v>0</v>
      </c>
      <c r="I38" s="21">
        <v>90</v>
      </c>
      <c r="J38" s="21">
        <f t="shared" si="3"/>
        <v>0</v>
      </c>
    </row>
    <row r="39" spans="1:10" x14ac:dyDescent="0.3">
      <c r="A39" s="2" t="s">
        <v>46</v>
      </c>
      <c r="B39" s="1" t="s">
        <v>2152</v>
      </c>
      <c r="C39" s="6" t="s">
        <v>2190</v>
      </c>
      <c r="D39" s="6" t="s">
        <v>4361</v>
      </c>
      <c r="E39" s="20">
        <f t="shared" si="0"/>
        <v>0</v>
      </c>
      <c r="F39" s="20">
        <f>58.65*42.3</f>
        <v>2480.895</v>
      </c>
      <c r="G39" s="24" t="s">
        <v>6494</v>
      </c>
      <c r="H39" s="20">
        <f t="shared" si="1"/>
        <v>0</v>
      </c>
      <c r="I39" s="21">
        <v>132</v>
      </c>
      <c r="J39" s="21">
        <f t="shared" si="3"/>
        <v>0</v>
      </c>
    </row>
    <row r="40" spans="1:10" x14ac:dyDescent="0.3">
      <c r="A40" s="2" t="s">
        <v>47</v>
      </c>
      <c r="B40" s="1" t="s">
        <v>2152</v>
      </c>
      <c r="C40" s="6" t="s">
        <v>2191</v>
      </c>
      <c r="D40" s="6" t="s">
        <v>4362</v>
      </c>
      <c r="E40" s="20">
        <f t="shared" si="0"/>
        <v>0</v>
      </c>
      <c r="F40" s="20">
        <f>99.24*42.3</f>
        <v>4197.8519999999999</v>
      </c>
      <c r="G40" s="24" t="s">
        <v>6495</v>
      </c>
      <c r="H40" s="20">
        <f t="shared" si="1"/>
        <v>0</v>
      </c>
      <c r="I40" s="21">
        <v>180</v>
      </c>
      <c r="J40" s="21">
        <f t="shared" si="3"/>
        <v>0</v>
      </c>
    </row>
    <row r="41" spans="1:10" x14ac:dyDescent="0.3">
      <c r="A41" s="2" t="s">
        <v>48</v>
      </c>
      <c r="B41" s="1" t="s">
        <v>2152</v>
      </c>
      <c r="C41" s="6" t="s">
        <v>2192</v>
      </c>
      <c r="D41" s="6" t="s">
        <v>4363</v>
      </c>
      <c r="E41" s="20">
        <f t="shared" si="0"/>
        <v>0</v>
      </c>
      <c r="F41" s="20">
        <f>63.19*42.3</f>
        <v>2672.9369999999999</v>
      </c>
      <c r="G41" s="24" t="s">
        <v>6496</v>
      </c>
      <c r="H41" s="20">
        <f t="shared" si="1"/>
        <v>0</v>
      </c>
      <c r="I41" s="21">
        <v>114</v>
      </c>
      <c r="J41" s="21">
        <f t="shared" si="3"/>
        <v>0</v>
      </c>
    </row>
    <row r="42" spans="1:10" x14ac:dyDescent="0.3">
      <c r="A42" s="2" t="s">
        <v>49</v>
      </c>
      <c r="B42" s="1" t="s">
        <v>2152</v>
      </c>
      <c r="C42" s="6" t="s">
        <v>2193</v>
      </c>
      <c r="D42" s="6" t="s">
        <v>4364</v>
      </c>
      <c r="E42" s="20">
        <f t="shared" si="0"/>
        <v>0</v>
      </c>
      <c r="F42" s="20">
        <f>93.62*42.3</f>
        <v>3960.1259999999997</v>
      </c>
      <c r="G42" s="24" t="s">
        <v>6497</v>
      </c>
      <c r="H42" s="20">
        <f t="shared" si="1"/>
        <v>0</v>
      </c>
      <c r="I42" s="21">
        <v>168</v>
      </c>
      <c r="J42" s="21">
        <f t="shared" si="3"/>
        <v>0</v>
      </c>
    </row>
    <row r="43" spans="1:10" x14ac:dyDescent="0.3">
      <c r="A43" s="2" t="s">
        <v>50</v>
      </c>
      <c r="B43" s="1" t="s">
        <v>2152</v>
      </c>
      <c r="C43" s="6" t="s">
        <v>2194</v>
      </c>
      <c r="D43" s="6" t="s">
        <v>4365</v>
      </c>
      <c r="E43" s="20">
        <f t="shared" si="0"/>
        <v>0</v>
      </c>
      <c r="F43" s="20">
        <f>125.19*42.3</f>
        <v>5295.5369999999994</v>
      </c>
      <c r="G43" s="24" t="s">
        <v>6498</v>
      </c>
      <c r="H43" s="20">
        <f t="shared" si="1"/>
        <v>0</v>
      </c>
      <c r="I43" s="21">
        <v>225</v>
      </c>
      <c r="J43" s="21">
        <f t="shared" si="3"/>
        <v>0</v>
      </c>
    </row>
    <row r="44" spans="1:10" ht="69" x14ac:dyDescent="0.3">
      <c r="A44" s="2" t="s">
        <v>51</v>
      </c>
      <c r="B44" s="1" t="s">
        <v>2152</v>
      </c>
      <c r="C44" s="6" t="s">
        <v>2195</v>
      </c>
      <c r="D44" s="6" t="s">
        <v>4366</v>
      </c>
      <c r="E44" s="20">
        <f t="shared" si="0"/>
        <v>0</v>
      </c>
      <c r="F44" s="20">
        <v>7420</v>
      </c>
      <c r="G44" s="24" t="s">
        <v>6499</v>
      </c>
      <c r="H44" s="20">
        <f t="shared" si="1"/>
        <v>0</v>
      </c>
      <c r="I44" s="21">
        <v>4200</v>
      </c>
      <c r="J44" s="21">
        <f t="shared" si="3"/>
        <v>0</v>
      </c>
    </row>
    <row r="45" spans="1:10" ht="55.2" x14ac:dyDescent="0.3">
      <c r="A45" s="2" t="s">
        <v>52</v>
      </c>
      <c r="B45" s="1" t="s">
        <v>2152</v>
      </c>
      <c r="C45" s="6" t="s">
        <v>2196</v>
      </c>
      <c r="D45" s="6" t="s">
        <v>4367</v>
      </c>
      <c r="E45" s="20">
        <f t="shared" si="0"/>
        <v>0</v>
      </c>
      <c r="F45" s="20">
        <v>17500</v>
      </c>
      <c r="G45" s="24" t="s">
        <v>6500</v>
      </c>
      <c r="H45" s="20">
        <f t="shared" si="1"/>
        <v>0</v>
      </c>
      <c r="I45" s="21">
        <v>936</v>
      </c>
      <c r="J45" s="21">
        <f t="shared" si="3"/>
        <v>0</v>
      </c>
    </row>
    <row r="46" spans="1:10" ht="27.6" x14ac:dyDescent="0.3">
      <c r="A46" s="2" t="s">
        <v>53</v>
      </c>
      <c r="B46" s="1" t="s">
        <v>2152</v>
      </c>
      <c r="C46" s="6" t="s">
        <v>2197</v>
      </c>
      <c r="D46" s="6" t="s">
        <v>4368</v>
      </c>
      <c r="E46" s="20">
        <f t="shared" si="0"/>
        <v>0</v>
      </c>
      <c r="F46" s="20">
        <f>'[2]2,5mm'!$L$2</f>
        <v>1440.5</v>
      </c>
      <c r="G46" s="24" t="s">
        <v>6501</v>
      </c>
      <c r="H46" s="20">
        <f t="shared" si="1"/>
        <v>0</v>
      </c>
      <c r="I46" s="21">
        <v>72</v>
      </c>
      <c r="J46" s="21">
        <f t="shared" si="3"/>
        <v>0</v>
      </c>
    </row>
    <row r="47" spans="1:10" ht="27.6" x14ac:dyDescent="0.3">
      <c r="A47" s="2" t="s">
        <v>54</v>
      </c>
      <c r="B47" s="1" t="s">
        <v>2152</v>
      </c>
      <c r="C47" s="6" t="s">
        <v>2198</v>
      </c>
      <c r="D47" s="6" t="s">
        <v>4369</v>
      </c>
      <c r="E47" s="20">
        <f t="shared" si="0"/>
        <v>0</v>
      </c>
      <c r="F47" s="20">
        <f>'[2]3,15mm'!$L$2</f>
        <v>1440.5</v>
      </c>
      <c r="G47" s="24" t="s">
        <v>6502</v>
      </c>
      <c r="H47" s="20">
        <f t="shared" si="1"/>
        <v>0</v>
      </c>
      <c r="I47" s="21">
        <v>72</v>
      </c>
      <c r="J47" s="21">
        <f t="shared" si="3"/>
        <v>0</v>
      </c>
    </row>
    <row r="48" spans="1:10" ht="27.6" x14ac:dyDescent="0.3">
      <c r="A48" s="2" t="s">
        <v>55</v>
      </c>
      <c r="B48" s="1" t="s">
        <v>2152</v>
      </c>
      <c r="C48" s="6" t="s">
        <v>2199</v>
      </c>
      <c r="D48" s="6" t="s">
        <v>4370</v>
      </c>
      <c r="E48" s="20">
        <f t="shared" si="0"/>
        <v>0</v>
      </c>
      <c r="F48" s="20">
        <f>'[2]4mm'!$L$2</f>
        <v>1427</v>
      </c>
      <c r="G48" s="24" t="s">
        <v>6503</v>
      </c>
      <c r="H48" s="20">
        <f t="shared" si="1"/>
        <v>0</v>
      </c>
      <c r="I48" s="21">
        <v>72</v>
      </c>
      <c r="J48" s="21">
        <f t="shared" si="3"/>
        <v>0</v>
      </c>
    </row>
    <row r="49" spans="1:10" ht="27.6" x14ac:dyDescent="0.3">
      <c r="A49" s="2" t="s">
        <v>56</v>
      </c>
      <c r="B49" s="1" t="s">
        <v>2152</v>
      </c>
      <c r="C49" s="6" t="s">
        <v>2200</v>
      </c>
      <c r="D49" s="6" t="s">
        <v>4371</v>
      </c>
      <c r="E49" s="20">
        <f t="shared" si="0"/>
        <v>0</v>
      </c>
      <c r="F49" s="20">
        <f>'[2]5mm'!$L$2</f>
        <v>1413.5</v>
      </c>
      <c r="G49" s="24" t="s">
        <v>6504</v>
      </c>
      <c r="H49" s="20">
        <f t="shared" si="1"/>
        <v>0</v>
      </c>
      <c r="I49" s="21">
        <v>72</v>
      </c>
      <c r="J49" s="21">
        <f t="shared" si="3"/>
        <v>0</v>
      </c>
    </row>
    <row r="50" spans="1:10" ht="27.6" x14ac:dyDescent="0.3">
      <c r="A50" s="2" t="s">
        <v>57</v>
      </c>
      <c r="B50" s="1" t="s">
        <v>2152</v>
      </c>
      <c r="C50" s="6" t="s">
        <v>2201</v>
      </c>
      <c r="D50" s="6" t="s">
        <v>4372</v>
      </c>
      <c r="E50" s="20">
        <f t="shared" si="0"/>
        <v>0</v>
      </c>
      <c r="F50" s="20">
        <f>'[2]6,3mm'!$L$2</f>
        <v>1400</v>
      </c>
      <c r="G50" s="24" t="s">
        <v>6505</v>
      </c>
      <c r="H50" s="20">
        <f t="shared" si="1"/>
        <v>0</v>
      </c>
      <c r="I50" s="21">
        <v>72</v>
      </c>
      <c r="J50" s="21">
        <f t="shared" si="3"/>
        <v>0</v>
      </c>
    </row>
    <row r="51" spans="1:10" ht="27.6" x14ac:dyDescent="0.3">
      <c r="A51" s="2" t="s">
        <v>58</v>
      </c>
      <c r="B51" s="1" t="s">
        <v>2152</v>
      </c>
      <c r="C51" s="6" t="s">
        <v>2202</v>
      </c>
      <c r="D51" s="6" t="s">
        <v>4373</v>
      </c>
      <c r="E51" s="20">
        <f t="shared" si="0"/>
        <v>0</v>
      </c>
      <c r="F51" s="20">
        <f>'[2]8mm'!$L$2</f>
        <v>1359.5</v>
      </c>
      <c r="G51" s="24" t="s">
        <v>6506</v>
      </c>
      <c r="H51" s="20">
        <f t="shared" si="1"/>
        <v>0</v>
      </c>
      <c r="I51" s="21">
        <v>72</v>
      </c>
      <c r="J51" s="21">
        <f t="shared" si="3"/>
        <v>0</v>
      </c>
    </row>
    <row r="52" spans="1:10" ht="27.6" x14ac:dyDescent="0.3">
      <c r="A52" s="2" t="s">
        <v>59</v>
      </c>
      <c r="B52" s="1" t="s">
        <v>2152</v>
      </c>
      <c r="C52" s="6" t="s">
        <v>2203</v>
      </c>
      <c r="D52" s="6" t="s">
        <v>4374</v>
      </c>
      <c r="E52" s="20">
        <f t="shared" si="0"/>
        <v>0</v>
      </c>
      <c r="F52" s="20">
        <f>'[2]10mm'!$L$2</f>
        <v>1336.55</v>
      </c>
      <c r="G52" s="24" t="s">
        <v>6507</v>
      </c>
      <c r="H52" s="20">
        <f t="shared" si="1"/>
        <v>0</v>
      </c>
      <c r="I52" s="21">
        <v>72</v>
      </c>
      <c r="J52" s="21">
        <f t="shared" si="3"/>
        <v>0</v>
      </c>
    </row>
    <row r="53" spans="1:10" ht="27.6" x14ac:dyDescent="0.3">
      <c r="A53" s="2" t="s">
        <v>60</v>
      </c>
      <c r="B53" s="1" t="s">
        <v>2152</v>
      </c>
      <c r="C53" s="6" t="s">
        <v>2204</v>
      </c>
      <c r="D53" s="6" t="s">
        <v>4375</v>
      </c>
      <c r="E53" s="20">
        <f t="shared" si="0"/>
        <v>0</v>
      </c>
      <c r="F53" s="20">
        <f>'[2]12,5mm'!$L$2</f>
        <v>1325.75</v>
      </c>
      <c r="G53" s="24" t="s">
        <v>6508</v>
      </c>
      <c r="H53" s="20">
        <f t="shared" si="1"/>
        <v>0</v>
      </c>
      <c r="I53" s="21">
        <v>72</v>
      </c>
      <c r="J53" s="21">
        <f t="shared" si="3"/>
        <v>0</v>
      </c>
    </row>
    <row r="54" spans="1:10" ht="27.6" x14ac:dyDescent="0.3">
      <c r="A54" s="2" t="s">
        <v>61</v>
      </c>
      <c r="B54" s="1" t="s">
        <v>2152</v>
      </c>
      <c r="C54" s="6" t="s">
        <v>2205</v>
      </c>
      <c r="D54" s="6" t="s">
        <v>4376</v>
      </c>
      <c r="E54" s="20">
        <f t="shared" si="0"/>
        <v>0</v>
      </c>
      <c r="F54" s="20">
        <f>'[2]16mm'!$L$2</f>
        <v>1302.8</v>
      </c>
      <c r="G54" s="24" t="s">
        <v>6509</v>
      </c>
      <c r="H54" s="20">
        <f t="shared" si="1"/>
        <v>0</v>
      </c>
      <c r="I54" s="21">
        <v>72</v>
      </c>
      <c r="J54" s="21">
        <f t="shared" si="3"/>
        <v>0</v>
      </c>
    </row>
    <row r="55" spans="1:10" ht="27.6" x14ac:dyDescent="0.3">
      <c r="A55" s="2" t="s">
        <v>62</v>
      </c>
      <c r="B55" s="1" t="s">
        <v>2152</v>
      </c>
      <c r="C55" s="6" t="s">
        <v>2206</v>
      </c>
      <c r="D55" s="6" t="s">
        <v>4377</v>
      </c>
      <c r="E55" s="20">
        <f t="shared" si="0"/>
        <v>0</v>
      </c>
      <c r="F55" s="20">
        <f>'[2]20mm'!$L$2</f>
        <v>1296.05</v>
      </c>
      <c r="G55" s="24" t="s">
        <v>6510</v>
      </c>
      <c r="H55" s="20">
        <f t="shared" si="1"/>
        <v>0</v>
      </c>
      <c r="I55" s="21">
        <v>72</v>
      </c>
      <c r="J55" s="21">
        <f t="shared" si="3"/>
        <v>0</v>
      </c>
    </row>
    <row r="56" spans="1:10" ht="27.6" x14ac:dyDescent="0.3">
      <c r="A56" s="2" t="s">
        <v>63</v>
      </c>
      <c r="B56" s="1" t="s">
        <v>2152</v>
      </c>
      <c r="C56" s="6" t="s">
        <v>2207</v>
      </c>
      <c r="D56" s="6" t="s">
        <v>4378</v>
      </c>
      <c r="E56" s="20">
        <f t="shared" si="0"/>
        <v>0</v>
      </c>
      <c r="F56" s="20">
        <f>'[2]25mm'!$L$2</f>
        <v>1292</v>
      </c>
      <c r="G56" s="24" t="s">
        <v>6511</v>
      </c>
      <c r="H56" s="20">
        <f t="shared" si="1"/>
        <v>0</v>
      </c>
      <c r="I56" s="21">
        <v>72</v>
      </c>
      <c r="J56" s="21">
        <f t="shared" si="3"/>
        <v>0</v>
      </c>
    </row>
    <row r="57" spans="1:10" ht="27.6" x14ac:dyDescent="0.3">
      <c r="A57" s="2" t="s">
        <v>64</v>
      </c>
      <c r="B57" s="1" t="s">
        <v>2152</v>
      </c>
      <c r="C57" s="6" t="s">
        <v>2208</v>
      </c>
      <c r="D57" s="6" t="s">
        <v>4379</v>
      </c>
      <c r="E57" s="20">
        <f t="shared" si="0"/>
        <v>0</v>
      </c>
      <c r="F57" s="20">
        <f>'[2]31,5mm'!$L$2</f>
        <v>1270.5</v>
      </c>
      <c r="G57" s="24" t="s">
        <v>6512</v>
      </c>
      <c r="H57" s="20">
        <f t="shared" si="1"/>
        <v>0</v>
      </c>
      <c r="I57" s="21">
        <v>72</v>
      </c>
      <c r="J57" s="21">
        <f t="shared" si="3"/>
        <v>0</v>
      </c>
    </row>
    <row r="58" spans="1:10" ht="27.6" x14ac:dyDescent="0.3">
      <c r="A58" s="2" t="s">
        <v>65</v>
      </c>
      <c r="B58" s="1" t="s">
        <v>2152</v>
      </c>
      <c r="C58" s="6" t="s">
        <v>2209</v>
      </c>
      <c r="D58" s="6" t="s">
        <v>4380</v>
      </c>
      <c r="E58" s="20">
        <f t="shared" si="0"/>
        <v>0</v>
      </c>
      <c r="F58" s="20">
        <f>'[2]40mm'!$L$2</f>
        <v>1265.0999999999999</v>
      </c>
      <c r="G58" s="24" t="s">
        <v>6513</v>
      </c>
      <c r="H58" s="20">
        <f t="shared" si="1"/>
        <v>0</v>
      </c>
      <c r="I58" s="21">
        <v>72</v>
      </c>
      <c r="J58" s="21">
        <f t="shared" si="3"/>
        <v>0</v>
      </c>
    </row>
    <row r="59" spans="1:10" ht="27.6" x14ac:dyDescent="0.3">
      <c r="A59" s="2" t="s">
        <v>66</v>
      </c>
      <c r="B59" s="1" t="s">
        <v>2152</v>
      </c>
      <c r="C59" s="6" t="s">
        <v>2210</v>
      </c>
      <c r="D59" s="6" t="s">
        <v>4381</v>
      </c>
      <c r="E59" s="20">
        <f t="shared" si="0"/>
        <v>0</v>
      </c>
      <c r="F59" s="20">
        <v>1265.0999999999999</v>
      </c>
      <c r="G59" s="24" t="s">
        <v>6514</v>
      </c>
      <c r="H59" s="20">
        <f t="shared" si="1"/>
        <v>0</v>
      </c>
      <c r="I59" s="21">
        <v>72</v>
      </c>
      <c r="J59" s="21">
        <f t="shared" si="3"/>
        <v>0</v>
      </c>
    </row>
    <row r="60" spans="1:10" ht="41.4" x14ac:dyDescent="0.3">
      <c r="A60" s="2" t="s">
        <v>67</v>
      </c>
      <c r="B60" s="1" t="s">
        <v>2152</v>
      </c>
      <c r="C60" s="6" t="s">
        <v>2211</v>
      </c>
      <c r="D60" s="6" t="s">
        <v>4382</v>
      </c>
      <c r="E60" s="20">
        <f t="shared" si="0"/>
        <v>0</v>
      </c>
      <c r="F60" s="20">
        <v>400</v>
      </c>
      <c r="G60" s="24" t="s">
        <v>6515</v>
      </c>
      <c r="H60" s="20">
        <f t="shared" si="1"/>
        <v>0</v>
      </c>
      <c r="I60" s="21">
        <v>357</v>
      </c>
      <c r="J60" s="21">
        <f t="shared" si="3"/>
        <v>0</v>
      </c>
    </row>
    <row r="61" spans="1:10" x14ac:dyDescent="0.3">
      <c r="A61" s="2" t="s">
        <v>68</v>
      </c>
      <c r="B61" s="1" t="s">
        <v>2152</v>
      </c>
      <c r="C61" s="6" t="s">
        <v>2212</v>
      </c>
      <c r="D61" s="6" t="s">
        <v>4383</v>
      </c>
      <c r="E61" s="20">
        <f t="shared" si="0"/>
        <v>0</v>
      </c>
      <c r="F61" s="20">
        <v>55</v>
      </c>
      <c r="G61" s="24" t="s">
        <v>6516</v>
      </c>
      <c r="H61" s="20">
        <f t="shared" si="1"/>
        <v>0</v>
      </c>
      <c r="I61" s="21">
        <v>51</v>
      </c>
      <c r="J61" s="21">
        <f t="shared" si="3"/>
        <v>0</v>
      </c>
    </row>
    <row r="62" spans="1:10" x14ac:dyDescent="0.3">
      <c r="A62" s="2" t="s">
        <v>69</v>
      </c>
      <c r="B62" s="1" t="s">
        <v>2152</v>
      </c>
      <c r="C62" s="6" t="s">
        <v>2213</v>
      </c>
      <c r="D62" s="6" t="s">
        <v>4384</v>
      </c>
      <c r="E62" s="20">
        <f t="shared" si="0"/>
        <v>0</v>
      </c>
      <c r="F62" s="20">
        <v>55</v>
      </c>
      <c r="G62" s="24" t="s">
        <v>6517</v>
      </c>
      <c r="H62" s="20">
        <f t="shared" si="1"/>
        <v>0</v>
      </c>
      <c r="I62" s="21">
        <v>51</v>
      </c>
      <c r="J62" s="21">
        <f t="shared" si="3"/>
        <v>0</v>
      </c>
    </row>
    <row r="63" spans="1:10" x14ac:dyDescent="0.3">
      <c r="A63" s="2" t="s">
        <v>70</v>
      </c>
      <c r="B63" s="1" t="s">
        <v>2152</v>
      </c>
      <c r="C63" s="6" t="s">
        <v>2214</v>
      </c>
      <c r="D63" s="6" t="s">
        <v>4385</v>
      </c>
      <c r="E63" s="20">
        <f t="shared" si="0"/>
        <v>0</v>
      </c>
      <c r="F63" s="20">
        <v>55</v>
      </c>
      <c r="G63" s="24" t="s">
        <v>6518</v>
      </c>
      <c r="H63" s="20">
        <f t="shared" si="1"/>
        <v>0</v>
      </c>
      <c r="I63" s="21">
        <v>51</v>
      </c>
      <c r="J63" s="21">
        <f t="shared" si="3"/>
        <v>0</v>
      </c>
    </row>
    <row r="64" spans="1:10" x14ac:dyDescent="0.3">
      <c r="A64" s="2" t="s">
        <v>71</v>
      </c>
      <c r="B64" s="1" t="s">
        <v>2152</v>
      </c>
      <c r="C64" s="6" t="s">
        <v>2215</v>
      </c>
      <c r="D64" s="6" t="s">
        <v>4386</v>
      </c>
      <c r="E64" s="20">
        <f t="shared" si="0"/>
        <v>0</v>
      </c>
      <c r="F64" s="20">
        <v>55</v>
      </c>
      <c r="G64" s="24" t="s">
        <v>6519</v>
      </c>
      <c r="H64" s="20">
        <f t="shared" si="1"/>
        <v>0</v>
      </c>
      <c r="I64" s="21">
        <v>51</v>
      </c>
      <c r="J64" s="21">
        <f t="shared" si="3"/>
        <v>0</v>
      </c>
    </row>
    <row r="65" spans="1:10" x14ac:dyDescent="0.3">
      <c r="A65" s="2" t="s">
        <v>72</v>
      </c>
      <c r="B65" s="1" t="s">
        <v>2152</v>
      </c>
      <c r="C65" s="6" t="s">
        <v>2216</v>
      </c>
      <c r="D65" s="6" t="s">
        <v>4387</v>
      </c>
      <c r="E65" s="20">
        <f t="shared" si="0"/>
        <v>0</v>
      </c>
      <c r="F65" s="20">
        <v>55</v>
      </c>
      <c r="G65" s="24" t="s">
        <v>6520</v>
      </c>
      <c r="H65" s="20">
        <f t="shared" si="1"/>
        <v>0</v>
      </c>
      <c r="I65" s="21">
        <v>51</v>
      </c>
      <c r="J65" s="21">
        <f t="shared" si="3"/>
        <v>0</v>
      </c>
    </row>
    <row r="66" spans="1:10" x14ac:dyDescent="0.3">
      <c r="A66" s="2" t="s">
        <v>73</v>
      </c>
      <c r="B66" s="1" t="s">
        <v>2152</v>
      </c>
      <c r="C66" s="6" t="s">
        <v>2217</v>
      </c>
      <c r="D66" s="6" t="s">
        <v>4388</v>
      </c>
      <c r="E66" s="20">
        <f t="shared" si="0"/>
        <v>0</v>
      </c>
      <c r="F66" s="20">
        <v>55</v>
      </c>
      <c r="G66" s="24" t="s">
        <v>6521</v>
      </c>
      <c r="H66" s="20">
        <f t="shared" si="1"/>
        <v>0</v>
      </c>
      <c r="I66" s="21">
        <v>51</v>
      </c>
      <c r="J66" s="21">
        <f t="shared" si="3"/>
        <v>0</v>
      </c>
    </row>
    <row r="67" spans="1:10" x14ac:dyDescent="0.3">
      <c r="A67" s="2" t="s">
        <v>74</v>
      </c>
      <c r="B67" s="1" t="s">
        <v>2152</v>
      </c>
      <c r="C67" s="6" t="s">
        <v>2218</v>
      </c>
      <c r="D67" s="6" t="s">
        <v>4389</v>
      </c>
      <c r="E67" s="20">
        <f t="shared" si="0"/>
        <v>0</v>
      </c>
      <c r="F67" s="20">
        <v>55</v>
      </c>
      <c r="G67" s="24" t="s">
        <v>6522</v>
      </c>
      <c r="H67" s="20">
        <f t="shared" si="1"/>
        <v>0</v>
      </c>
      <c r="I67" s="21">
        <v>51</v>
      </c>
      <c r="J67" s="21">
        <f t="shared" si="3"/>
        <v>0</v>
      </c>
    </row>
    <row r="68" spans="1:10" ht="27.6" x14ac:dyDescent="0.3">
      <c r="A68" s="2" t="s">
        <v>75</v>
      </c>
      <c r="B68" s="1" t="s">
        <v>2152</v>
      </c>
      <c r="C68" s="6" t="s">
        <v>2219</v>
      </c>
      <c r="D68" s="6" t="s">
        <v>4390</v>
      </c>
      <c r="E68" s="20">
        <f>H68*1.8*1.4</f>
        <v>0</v>
      </c>
      <c r="F68" s="20">
        <f>28*42.3</f>
        <v>1184.3999999999999</v>
      </c>
      <c r="G68" s="24" t="s">
        <v>6523</v>
      </c>
      <c r="H68" s="20">
        <f>K68*1.8*1.4</f>
        <v>0</v>
      </c>
      <c r="I68" s="21">
        <v>66</v>
      </c>
      <c r="J68" s="21">
        <f t="shared" si="3"/>
        <v>0</v>
      </c>
    </row>
    <row r="69" spans="1:10" ht="27.6" x14ac:dyDescent="0.3">
      <c r="A69" s="2" t="s">
        <v>76</v>
      </c>
      <c r="B69" s="1" t="s">
        <v>2152</v>
      </c>
      <c r="C69" s="6" t="s">
        <v>2220</v>
      </c>
      <c r="D69" s="6" t="s">
        <v>4391</v>
      </c>
      <c r="E69" s="20">
        <f t="shared" ref="E69:E132" si="4">H69*1.8*1.4</f>
        <v>0</v>
      </c>
      <c r="F69" s="20">
        <f t="shared" ref="F69:F73" si="5">28*42.3</f>
        <v>1184.3999999999999</v>
      </c>
      <c r="G69" s="24" t="s">
        <v>6524</v>
      </c>
      <c r="H69" s="20">
        <f t="shared" ref="H69:H132" si="6">K69*1.8*1.4</f>
        <v>0</v>
      </c>
      <c r="I69" s="21">
        <v>66</v>
      </c>
      <c r="J69" s="21">
        <f t="shared" si="3"/>
        <v>0</v>
      </c>
    </row>
    <row r="70" spans="1:10" ht="27.6" x14ac:dyDescent="0.3">
      <c r="A70" s="2" t="s">
        <v>77</v>
      </c>
      <c r="B70" s="1" t="s">
        <v>2152</v>
      </c>
      <c r="C70" s="6" t="s">
        <v>2221</v>
      </c>
      <c r="D70" s="6" t="s">
        <v>4392</v>
      </c>
      <c r="E70" s="20">
        <f t="shared" si="4"/>
        <v>0</v>
      </c>
      <c r="F70" s="20">
        <f t="shared" si="5"/>
        <v>1184.3999999999999</v>
      </c>
      <c r="G70" s="24" t="s">
        <v>6525</v>
      </c>
      <c r="H70" s="20">
        <f t="shared" si="6"/>
        <v>0</v>
      </c>
      <c r="I70" s="21">
        <v>66</v>
      </c>
      <c r="J70" s="21">
        <f t="shared" si="3"/>
        <v>0</v>
      </c>
    </row>
    <row r="71" spans="1:10" ht="27.6" x14ac:dyDescent="0.3">
      <c r="A71" s="2" t="s">
        <v>78</v>
      </c>
      <c r="B71" s="1" t="s">
        <v>2152</v>
      </c>
      <c r="C71" s="6" t="s">
        <v>2222</v>
      </c>
      <c r="D71" s="6" t="s">
        <v>4393</v>
      </c>
      <c r="E71" s="20">
        <f t="shared" si="4"/>
        <v>0</v>
      </c>
      <c r="F71" s="20">
        <f t="shared" si="5"/>
        <v>1184.3999999999999</v>
      </c>
      <c r="G71" s="24" t="s">
        <v>6526</v>
      </c>
      <c r="H71" s="20">
        <f t="shared" si="6"/>
        <v>0</v>
      </c>
      <c r="I71" s="21">
        <v>66</v>
      </c>
      <c r="J71" s="21">
        <f t="shared" si="3"/>
        <v>0</v>
      </c>
    </row>
    <row r="72" spans="1:10" ht="27.6" x14ac:dyDescent="0.3">
      <c r="A72" s="2" t="s">
        <v>79</v>
      </c>
      <c r="B72" s="1" t="s">
        <v>2152</v>
      </c>
      <c r="C72" s="6" t="s">
        <v>2223</v>
      </c>
      <c r="D72" s="6" t="s">
        <v>4394</v>
      </c>
      <c r="E72" s="20">
        <f t="shared" si="4"/>
        <v>0</v>
      </c>
      <c r="F72" s="20">
        <f>28*42.3</f>
        <v>1184.3999999999999</v>
      </c>
      <c r="G72" s="24" t="s">
        <v>6527</v>
      </c>
      <c r="H72" s="20">
        <f t="shared" si="6"/>
        <v>0</v>
      </c>
      <c r="I72" s="21">
        <v>66</v>
      </c>
      <c r="J72" s="21">
        <f t="shared" si="3"/>
        <v>0</v>
      </c>
    </row>
    <row r="73" spans="1:10" ht="27.6" x14ac:dyDescent="0.3">
      <c r="A73" s="2" t="s">
        <v>80</v>
      </c>
      <c r="B73" s="1" t="s">
        <v>2152</v>
      </c>
      <c r="C73" s="6" t="s">
        <v>2224</v>
      </c>
      <c r="D73" s="6" t="s">
        <v>4395</v>
      </c>
      <c r="E73" s="20">
        <f t="shared" si="4"/>
        <v>0</v>
      </c>
      <c r="F73" s="20">
        <f t="shared" si="5"/>
        <v>1184.3999999999999</v>
      </c>
      <c r="G73" s="24" t="s">
        <v>6528</v>
      </c>
      <c r="H73" s="20">
        <f t="shared" si="6"/>
        <v>0</v>
      </c>
      <c r="I73" s="21">
        <v>66</v>
      </c>
      <c r="J73" s="21">
        <f t="shared" si="3"/>
        <v>0</v>
      </c>
    </row>
    <row r="74" spans="1:10" ht="27.6" x14ac:dyDescent="0.3">
      <c r="A74" s="2" t="s">
        <v>81</v>
      </c>
      <c r="B74" s="1" t="s">
        <v>2152</v>
      </c>
      <c r="C74" s="6" t="s">
        <v>2225</v>
      </c>
      <c r="D74" s="6" t="s">
        <v>4396</v>
      </c>
      <c r="E74" s="20">
        <f t="shared" si="4"/>
        <v>0</v>
      </c>
      <c r="F74" s="20">
        <f>38.5*42.3</f>
        <v>1628.55</v>
      </c>
      <c r="G74" s="24" t="s">
        <v>6529</v>
      </c>
      <c r="H74" s="20">
        <f t="shared" si="6"/>
        <v>0</v>
      </c>
      <c r="I74" s="21">
        <v>81</v>
      </c>
      <c r="J74" s="21">
        <f t="shared" si="3"/>
        <v>0</v>
      </c>
    </row>
    <row r="75" spans="1:10" ht="27.6" x14ac:dyDescent="0.3">
      <c r="A75" s="2" t="s">
        <v>82</v>
      </c>
      <c r="B75" s="1" t="s">
        <v>2152</v>
      </c>
      <c r="C75" s="6" t="s">
        <v>2226</v>
      </c>
      <c r="D75" s="6" t="s">
        <v>4397</v>
      </c>
      <c r="E75" s="20">
        <f t="shared" si="4"/>
        <v>0</v>
      </c>
      <c r="F75" s="20">
        <f t="shared" ref="F75:F79" si="7">38.5*42.3</f>
        <v>1628.55</v>
      </c>
      <c r="G75" s="24" t="s">
        <v>6530</v>
      </c>
      <c r="H75" s="20">
        <f t="shared" si="6"/>
        <v>0</v>
      </c>
      <c r="I75" s="21">
        <v>81</v>
      </c>
      <c r="J75" s="21">
        <f t="shared" si="3"/>
        <v>0</v>
      </c>
    </row>
    <row r="76" spans="1:10" ht="27.6" x14ac:dyDescent="0.3">
      <c r="A76" s="2" t="s">
        <v>83</v>
      </c>
      <c r="B76" s="1" t="s">
        <v>2152</v>
      </c>
      <c r="C76" s="6" t="s">
        <v>2227</v>
      </c>
      <c r="D76" s="6" t="s">
        <v>4398</v>
      </c>
      <c r="E76" s="20">
        <f t="shared" si="4"/>
        <v>0</v>
      </c>
      <c r="F76" s="20">
        <f t="shared" si="7"/>
        <v>1628.55</v>
      </c>
      <c r="G76" s="24" t="s">
        <v>6531</v>
      </c>
      <c r="H76" s="20">
        <f t="shared" si="6"/>
        <v>0</v>
      </c>
      <c r="I76" s="21">
        <v>81</v>
      </c>
      <c r="J76" s="21">
        <f t="shared" si="3"/>
        <v>0</v>
      </c>
    </row>
    <row r="77" spans="1:10" ht="27.6" x14ac:dyDescent="0.3">
      <c r="A77" s="2" t="s">
        <v>84</v>
      </c>
      <c r="B77" s="1" t="s">
        <v>2152</v>
      </c>
      <c r="C77" s="6" t="s">
        <v>2228</v>
      </c>
      <c r="D77" s="6" t="s">
        <v>4399</v>
      </c>
      <c r="E77" s="20">
        <f t="shared" si="4"/>
        <v>0</v>
      </c>
      <c r="F77" s="20">
        <f t="shared" si="7"/>
        <v>1628.55</v>
      </c>
      <c r="G77" s="24" t="s">
        <v>6532</v>
      </c>
      <c r="H77" s="20">
        <f t="shared" si="6"/>
        <v>0</v>
      </c>
      <c r="I77" s="21">
        <v>81</v>
      </c>
      <c r="J77" s="21">
        <f t="shared" si="3"/>
        <v>0</v>
      </c>
    </row>
    <row r="78" spans="1:10" ht="27.6" x14ac:dyDescent="0.3">
      <c r="A78" s="2" t="s">
        <v>85</v>
      </c>
      <c r="B78" s="1" t="s">
        <v>2152</v>
      </c>
      <c r="C78" s="6" t="s">
        <v>2229</v>
      </c>
      <c r="D78" s="6" t="s">
        <v>4400</v>
      </c>
      <c r="E78" s="20">
        <f t="shared" si="4"/>
        <v>0</v>
      </c>
      <c r="F78" s="20">
        <f t="shared" si="7"/>
        <v>1628.55</v>
      </c>
      <c r="G78" s="24" t="s">
        <v>6533</v>
      </c>
      <c r="H78" s="20">
        <f t="shared" si="6"/>
        <v>0</v>
      </c>
      <c r="I78" s="21">
        <v>81</v>
      </c>
      <c r="J78" s="21">
        <f t="shared" si="3"/>
        <v>0</v>
      </c>
    </row>
    <row r="79" spans="1:10" ht="27.6" x14ac:dyDescent="0.3">
      <c r="A79" s="2" t="s">
        <v>86</v>
      </c>
      <c r="B79" s="1" t="s">
        <v>2152</v>
      </c>
      <c r="C79" s="6" t="s">
        <v>2230</v>
      </c>
      <c r="D79" s="6" t="s">
        <v>4401</v>
      </c>
      <c r="E79" s="20">
        <f t="shared" si="4"/>
        <v>0</v>
      </c>
      <c r="F79" s="20">
        <f t="shared" si="7"/>
        <v>1628.55</v>
      </c>
      <c r="G79" s="24" t="s">
        <v>6534</v>
      </c>
      <c r="H79" s="20">
        <f t="shared" si="6"/>
        <v>0</v>
      </c>
      <c r="I79" s="21">
        <v>81</v>
      </c>
      <c r="J79" s="21">
        <f t="shared" si="3"/>
        <v>0</v>
      </c>
    </row>
    <row r="80" spans="1:10" ht="27.6" x14ac:dyDescent="0.3">
      <c r="A80" s="2" t="s">
        <v>87</v>
      </c>
      <c r="B80" s="1" t="s">
        <v>2152</v>
      </c>
      <c r="C80" s="6" t="s">
        <v>2231</v>
      </c>
      <c r="D80" s="6" t="s">
        <v>4402</v>
      </c>
      <c r="E80" s="20">
        <f t="shared" si="4"/>
        <v>0</v>
      </c>
      <c r="F80" s="20">
        <f>24.5*42.3</f>
        <v>1036.3499999999999</v>
      </c>
      <c r="G80" s="24" t="s">
        <v>6535</v>
      </c>
      <c r="H80" s="20">
        <f t="shared" si="6"/>
        <v>0</v>
      </c>
      <c r="I80" s="21">
        <v>54</v>
      </c>
      <c r="J80" s="21">
        <f t="shared" si="3"/>
        <v>0</v>
      </c>
    </row>
    <row r="81" spans="1:10" ht="27.6" x14ac:dyDescent="0.3">
      <c r="A81" s="2" t="s">
        <v>88</v>
      </c>
      <c r="B81" s="1" t="s">
        <v>2152</v>
      </c>
      <c r="C81" s="6" t="s">
        <v>2232</v>
      </c>
      <c r="D81" s="6" t="s">
        <v>4403</v>
      </c>
      <c r="E81" s="20">
        <f t="shared" si="4"/>
        <v>0</v>
      </c>
      <c r="F81" s="20">
        <f t="shared" ref="F81:F144" si="8">24.5*42.3</f>
        <v>1036.3499999999999</v>
      </c>
      <c r="G81" s="24" t="s">
        <v>6536</v>
      </c>
      <c r="H81" s="20">
        <f t="shared" si="6"/>
        <v>0</v>
      </c>
      <c r="I81" s="21">
        <v>54</v>
      </c>
      <c r="J81" s="21">
        <f t="shared" si="3"/>
        <v>0</v>
      </c>
    </row>
    <row r="82" spans="1:10" ht="27.6" x14ac:dyDescent="0.3">
      <c r="A82" s="2" t="s">
        <v>89</v>
      </c>
      <c r="B82" s="1" t="s">
        <v>2152</v>
      </c>
      <c r="C82" s="6" t="s">
        <v>2233</v>
      </c>
      <c r="D82" s="6" t="s">
        <v>4404</v>
      </c>
      <c r="E82" s="20">
        <f t="shared" si="4"/>
        <v>0</v>
      </c>
      <c r="F82" s="20">
        <f t="shared" si="8"/>
        <v>1036.3499999999999</v>
      </c>
      <c r="G82" s="24" t="s">
        <v>6537</v>
      </c>
      <c r="H82" s="20">
        <f t="shared" si="6"/>
        <v>0</v>
      </c>
      <c r="I82" s="21">
        <v>54</v>
      </c>
      <c r="J82" s="21">
        <f t="shared" si="3"/>
        <v>0</v>
      </c>
    </row>
    <row r="83" spans="1:10" ht="27.6" x14ac:dyDescent="0.3">
      <c r="A83" s="2" t="s">
        <v>90</v>
      </c>
      <c r="B83" s="1" t="s">
        <v>2152</v>
      </c>
      <c r="C83" s="6" t="s">
        <v>2234</v>
      </c>
      <c r="D83" s="6" t="s">
        <v>4405</v>
      </c>
      <c r="E83" s="20">
        <f t="shared" si="4"/>
        <v>0</v>
      </c>
      <c r="F83" s="20">
        <f t="shared" si="8"/>
        <v>1036.3499999999999</v>
      </c>
      <c r="G83" s="24" t="s">
        <v>6538</v>
      </c>
      <c r="H83" s="20">
        <f t="shared" si="6"/>
        <v>0</v>
      </c>
      <c r="I83" s="21">
        <v>54</v>
      </c>
      <c r="J83" s="21">
        <f t="shared" si="3"/>
        <v>0</v>
      </c>
    </row>
    <row r="84" spans="1:10" ht="27.6" x14ac:dyDescent="0.3">
      <c r="A84" s="2" t="s">
        <v>91</v>
      </c>
      <c r="B84" s="1" t="s">
        <v>2152</v>
      </c>
      <c r="C84" s="6" t="s">
        <v>2235</v>
      </c>
      <c r="D84" s="6" t="s">
        <v>4406</v>
      </c>
      <c r="E84" s="20">
        <f t="shared" si="4"/>
        <v>0</v>
      </c>
      <c r="F84" s="20">
        <f t="shared" si="8"/>
        <v>1036.3499999999999</v>
      </c>
      <c r="G84" s="24" t="s">
        <v>6539</v>
      </c>
      <c r="H84" s="20">
        <f t="shared" si="6"/>
        <v>0</v>
      </c>
      <c r="I84" s="21">
        <v>54</v>
      </c>
      <c r="J84" s="21">
        <f t="shared" si="3"/>
        <v>0</v>
      </c>
    </row>
    <row r="85" spans="1:10" ht="27.6" x14ac:dyDescent="0.3">
      <c r="A85" s="2" t="s">
        <v>92</v>
      </c>
      <c r="B85" s="1" t="s">
        <v>2152</v>
      </c>
      <c r="C85" s="6" t="s">
        <v>2236</v>
      </c>
      <c r="D85" s="6" t="s">
        <v>4407</v>
      </c>
      <c r="E85" s="20">
        <f t="shared" si="4"/>
        <v>0</v>
      </c>
      <c r="F85" s="20">
        <f t="shared" si="8"/>
        <v>1036.3499999999999</v>
      </c>
      <c r="G85" s="24" t="s">
        <v>6540</v>
      </c>
      <c r="H85" s="20">
        <f t="shared" si="6"/>
        <v>0</v>
      </c>
      <c r="I85" s="21">
        <v>54</v>
      </c>
      <c r="J85" s="21">
        <f t="shared" si="3"/>
        <v>0</v>
      </c>
    </row>
    <row r="86" spans="1:10" ht="27.6" x14ac:dyDescent="0.3">
      <c r="A86" s="2" t="s">
        <v>93</v>
      </c>
      <c r="B86" s="1" t="s">
        <v>2152</v>
      </c>
      <c r="C86" s="6" t="s">
        <v>2237</v>
      </c>
      <c r="D86" s="6" t="s">
        <v>4408</v>
      </c>
      <c r="E86" s="20">
        <f t="shared" si="4"/>
        <v>0</v>
      </c>
      <c r="F86" s="20">
        <f t="shared" si="8"/>
        <v>1036.3499999999999</v>
      </c>
      <c r="G86" s="24" t="s">
        <v>6541</v>
      </c>
      <c r="H86" s="20">
        <f t="shared" si="6"/>
        <v>0</v>
      </c>
      <c r="I86" s="21">
        <v>54</v>
      </c>
      <c r="J86" s="21">
        <f t="shared" si="3"/>
        <v>0</v>
      </c>
    </row>
    <row r="87" spans="1:10" ht="27.6" x14ac:dyDescent="0.3">
      <c r="A87" s="2" t="s">
        <v>94</v>
      </c>
      <c r="B87" s="1" t="s">
        <v>2152</v>
      </c>
      <c r="C87" s="6" t="s">
        <v>2238</v>
      </c>
      <c r="D87" s="6" t="s">
        <v>4409</v>
      </c>
      <c r="E87" s="20">
        <f t="shared" si="4"/>
        <v>0</v>
      </c>
      <c r="F87" s="20">
        <f t="shared" si="8"/>
        <v>1036.3499999999999</v>
      </c>
      <c r="G87" s="24" t="s">
        <v>6542</v>
      </c>
      <c r="H87" s="20">
        <f t="shared" si="6"/>
        <v>0</v>
      </c>
      <c r="I87" s="21">
        <v>54</v>
      </c>
      <c r="J87" s="21">
        <f t="shared" si="3"/>
        <v>0</v>
      </c>
    </row>
    <row r="88" spans="1:10" ht="27.6" x14ac:dyDescent="0.3">
      <c r="A88" s="2" t="s">
        <v>95</v>
      </c>
      <c r="B88" s="1" t="s">
        <v>2152</v>
      </c>
      <c r="C88" s="6" t="s">
        <v>2239</v>
      </c>
      <c r="D88" s="6" t="s">
        <v>4410</v>
      </c>
      <c r="E88" s="20">
        <f t="shared" si="4"/>
        <v>0</v>
      </c>
      <c r="F88" s="20">
        <f t="shared" si="8"/>
        <v>1036.3499999999999</v>
      </c>
      <c r="G88" s="24" t="s">
        <v>6543</v>
      </c>
      <c r="H88" s="20">
        <f t="shared" si="6"/>
        <v>0</v>
      </c>
      <c r="I88" s="21">
        <v>54</v>
      </c>
      <c r="J88" s="21">
        <f t="shared" si="3"/>
        <v>0</v>
      </c>
    </row>
    <row r="89" spans="1:10" ht="27.6" x14ac:dyDescent="0.3">
      <c r="A89" s="2" t="s">
        <v>96</v>
      </c>
      <c r="B89" s="1" t="s">
        <v>2152</v>
      </c>
      <c r="C89" s="6" t="s">
        <v>2240</v>
      </c>
      <c r="D89" s="6" t="s">
        <v>4411</v>
      </c>
      <c r="E89" s="20">
        <f t="shared" si="4"/>
        <v>0</v>
      </c>
      <c r="F89" s="20">
        <f t="shared" si="8"/>
        <v>1036.3499999999999</v>
      </c>
      <c r="G89" s="24" t="s">
        <v>6544</v>
      </c>
      <c r="H89" s="20">
        <f t="shared" si="6"/>
        <v>0</v>
      </c>
      <c r="I89" s="21">
        <v>54</v>
      </c>
      <c r="J89" s="21">
        <f t="shared" si="3"/>
        <v>0</v>
      </c>
    </row>
    <row r="90" spans="1:10" ht="27.6" x14ac:dyDescent="0.3">
      <c r="A90" s="2" t="s">
        <v>97</v>
      </c>
      <c r="B90" s="1" t="s">
        <v>2152</v>
      </c>
      <c r="C90" s="6" t="s">
        <v>2241</v>
      </c>
      <c r="D90" s="6" t="s">
        <v>4412</v>
      </c>
      <c r="E90" s="20">
        <f t="shared" si="4"/>
        <v>0</v>
      </c>
      <c r="F90" s="20">
        <f t="shared" si="8"/>
        <v>1036.3499999999999</v>
      </c>
      <c r="G90" s="24" t="s">
        <v>6545</v>
      </c>
      <c r="H90" s="20">
        <f t="shared" si="6"/>
        <v>0</v>
      </c>
      <c r="I90" s="21">
        <v>54</v>
      </c>
      <c r="J90" s="21">
        <f t="shared" si="3"/>
        <v>0</v>
      </c>
    </row>
    <row r="91" spans="1:10" ht="27.6" x14ac:dyDescent="0.3">
      <c r="A91" s="2" t="s">
        <v>98</v>
      </c>
      <c r="B91" s="1" t="s">
        <v>2152</v>
      </c>
      <c r="C91" s="6" t="s">
        <v>2242</v>
      </c>
      <c r="D91" s="6" t="s">
        <v>4413</v>
      </c>
      <c r="E91" s="20">
        <f t="shared" si="4"/>
        <v>0</v>
      </c>
      <c r="F91" s="20">
        <f t="shared" si="8"/>
        <v>1036.3499999999999</v>
      </c>
      <c r="G91" s="24" t="s">
        <v>6546</v>
      </c>
      <c r="H91" s="20">
        <f t="shared" si="6"/>
        <v>0</v>
      </c>
      <c r="I91" s="21">
        <v>54</v>
      </c>
      <c r="J91" s="21">
        <f t="shared" si="3"/>
        <v>0</v>
      </c>
    </row>
    <row r="92" spans="1:10" ht="27.6" x14ac:dyDescent="0.3">
      <c r="A92" s="2" t="s">
        <v>99</v>
      </c>
      <c r="B92" s="1" t="s">
        <v>2152</v>
      </c>
      <c r="C92" s="6" t="s">
        <v>2243</v>
      </c>
      <c r="D92" s="6" t="s">
        <v>4414</v>
      </c>
      <c r="E92" s="20">
        <f t="shared" si="4"/>
        <v>0</v>
      </c>
      <c r="F92" s="20">
        <f t="shared" si="8"/>
        <v>1036.3499999999999</v>
      </c>
      <c r="G92" s="24" t="s">
        <v>6547</v>
      </c>
      <c r="H92" s="20">
        <f t="shared" si="6"/>
        <v>0</v>
      </c>
      <c r="I92" s="21">
        <v>54</v>
      </c>
      <c r="J92" s="21">
        <f t="shared" si="3"/>
        <v>0</v>
      </c>
    </row>
    <row r="93" spans="1:10" ht="27.6" x14ac:dyDescent="0.3">
      <c r="A93" s="2" t="s">
        <v>100</v>
      </c>
      <c r="B93" s="1" t="s">
        <v>2152</v>
      </c>
      <c r="C93" s="6" t="s">
        <v>2244</v>
      </c>
      <c r="D93" s="6" t="s">
        <v>4415</v>
      </c>
      <c r="E93" s="20">
        <f t="shared" si="4"/>
        <v>0</v>
      </c>
      <c r="F93" s="20">
        <f t="shared" si="8"/>
        <v>1036.3499999999999</v>
      </c>
      <c r="G93" s="24" t="s">
        <v>6548</v>
      </c>
      <c r="H93" s="20">
        <f t="shared" si="6"/>
        <v>0</v>
      </c>
      <c r="I93" s="21">
        <v>54</v>
      </c>
      <c r="J93" s="21">
        <f t="shared" si="3"/>
        <v>0</v>
      </c>
    </row>
    <row r="94" spans="1:10" ht="27.6" x14ac:dyDescent="0.3">
      <c r="A94" s="2" t="s">
        <v>101</v>
      </c>
      <c r="B94" s="1" t="s">
        <v>2152</v>
      </c>
      <c r="C94" s="6" t="s">
        <v>2245</v>
      </c>
      <c r="D94" s="6" t="s">
        <v>4416</v>
      </c>
      <c r="E94" s="20">
        <f t="shared" si="4"/>
        <v>0</v>
      </c>
      <c r="F94" s="20">
        <f t="shared" si="8"/>
        <v>1036.3499999999999</v>
      </c>
      <c r="G94" s="24" t="s">
        <v>6549</v>
      </c>
      <c r="H94" s="20">
        <f t="shared" si="6"/>
        <v>0</v>
      </c>
      <c r="I94" s="21">
        <v>54</v>
      </c>
      <c r="J94" s="21">
        <f t="shared" si="3"/>
        <v>0</v>
      </c>
    </row>
    <row r="95" spans="1:10" ht="27.6" x14ac:dyDescent="0.3">
      <c r="A95" s="2" t="s">
        <v>102</v>
      </c>
      <c r="B95" s="1" t="s">
        <v>2152</v>
      </c>
      <c r="C95" s="6" t="s">
        <v>2246</v>
      </c>
      <c r="D95" s="6" t="s">
        <v>4417</v>
      </c>
      <c r="E95" s="20">
        <f t="shared" si="4"/>
        <v>0</v>
      </c>
      <c r="F95" s="20">
        <f t="shared" si="8"/>
        <v>1036.3499999999999</v>
      </c>
      <c r="G95" s="24" t="s">
        <v>6550</v>
      </c>
      <c r="H95" s="20">
        <f t="shared" si="6"/>
        <v>0</v>
      </c>
      <c r="I95" s="21">
        <v>54</v>
      </c>
      <c r="J95" s="21">
        <f t="shared" si="3"/>
        <v>0</v>
      </c>
    </row>
    <row r="96" spans="1:10" ht="27.6" x14ac:dyDescent="0.3">
      <c r="A96" s="2" t="s">
        <v>103</v>
      </c>
      <c r="B96" s="1" t="s">
        <v>2152</v>
      </c>
      <c r="C96" s="6" t="s">
        <v>2247</v>
      </c>
      <c r="D96" s="6" t="s">
        <v>4418</v>
      </c>
      <c r="E96" s="20">
        <f t="shared" si="4"/>
        <v>0</v>
      </c>
      <c r="F96" s="20">
        <f t="shared" si="8"/>
        <v>1036.3499999999999</v>
      </c>
      <c r="G96" s="24" t="s">
        <v>6551</v>
      </c>
      <c r="H96" s="20">
        <f t="shared" si="6"/>
        <v>0</v>
      </c>
      <c r="I96" s="21">
        <v>54</v>
      </c>
      <c r="J96" s="21">
        <f t="shared" si="3"/>
        <v>0</v>
      </c>
    </row>
    <row r="97" spans="1:10" ht="27.6" x14ac:dyDescent="0.3">
      <c r="A97" s="2" t="s">
        <v>104</v>
      </c>
      <c r="B97" s="1" t="s">
        <v>2152</v>
      </c>
      <c r="C97" s="6" t="s">
        <v>2248</v>
      </c>
      <c r="D97" s="6" t="s">
        <v>4419</v>
      </c>
      <c r="E97" s="20">
        <f t="shared" si="4"/>
        <v>0</v>
      </c>
      <c r="F97" s="20">
        <f t="shared" si="8"/>
        <v>1036.3499999999999</v>
      </c>
      <c r="G97" s="24" t="s">
        <v>6552</v>
      </c>
      <c r="H97" s="20">
        <f t="shared" si="6"/>
        <v>0</v>
      </c>
      <c r="I97" s="21">
        <v>54</v>
      </c>
      <c r="J97" s="21">
        <f t="shared" si="3"/>
        <v>0</v>
      </c>
    </row>
    <row r="98" spans="1:10" ht="27.6" x14ac:dyDescent="0.3">
      <c r="A98" s="2" t="s">
        <v>105</v>
      </c>
      <c r="B98" s="1" t="s">
        <v>2152</v>
      </c>
      <c r="C98" s="6" t="s">
        <v>2249</v>
      </c>
      <c r="D98" s="6" t="s">
        <v>4420</v>
      </c>
      <c r="E98" s="20">
        <f t="shared" si="4"/>
        <v>0</v>
      </c>
      <c r="F98" s="20">
        <f t="shared" si="8"/>
        <v>1036.3499999999999</v>
      </c>
      <c r="G98" s="24" t="s">
        <v>6553</v>
      </c>
      <c r="H98" s="20">
        <f t="shared" si="6"/>
        <v>0</v>
      </c>
      <c r="I98" s="21">
        <v>54</v>
      </c>
      <c r="J98" s="21">
        <f t="shared" si="3"/>
        <v>0</v>
      </c>
    </row>
    <row r="99" spans="1:10" ht="27.6" x14ac:dyDescent="0.3">
      <c r="A99" s="2" t="s">
        <v>106</v>
      </c>
      <c r="B99" s="1" t="s">
        <v>2152</v>
      </c>
      <c r="C99" s="6" t="s">
        <v>2250</v>
      </c>
      <c r="D99" s="6" t="s">
        <v>4421</v>
      </c>
      <c r="E99" s="20">
        <f t="shared" si="4"/>
        <v>0</v>
      </c>
      <c r="F99" s="20">
        <f t="shared" si="8"/>
        <v>1036.3499999999999</v>
      </c>
      <c r="G99" s="24" t="s">
        <v>6554</v>
      </c>
      <c r="H99" s="20">
        <f t="shared" si="6"/>
        <v>0</v>
      </c>
      <c r="I99" s="21">
        <v>54</v>
      </c>
      <c r="J99" s="21">
        <f t="shared" si="3"/>
        <v>0</v>
      </c>
    </row>
    <row r="100" spans="1:10" ht="27.6" x14ac:dyDescent="0.3">
      <c r="A100" s="2" t="s">
        <v>107</v>
      </c>
      <c r="B100" s="1" t="s">
        <v>2152</v>
      </c>
      <c r="C100" s="6" t="s">
        <v>2251</v>
      </c>
      <c r="D100" s="6" t="s">
        <v>4422</v>
      </c>
      <c r="E100" s="20">
        <f t="shared" si="4"/>
        <v>0</v>
      </c>
      <c r="F100" s="20">
        <f t="shared" si="8"/>
        <v>1036.3499999999999</v>
      </c>
      <c r="G100" s="24" t="s">
        <v>6555</v>
      </c>
      <c r="H100" s="20">
        <f t="shared" si="6"/>
        <v>0</v>
      </c>
      <c r="I100" s="21">
        <v>54</v>
      </c>
      <c r="J100" s="21">
        <f t="shared" si="3"/>
        <v>0</v>
      </c>
    </row>
    <row r="101" spans="1:10" ht="27.6" x14ac:dyDescent="0.3">
      <c r="A101" s="2" t="s">
        <v>108</v>
      </c>
      <c r="B101" s="1" t="s">
        <v>2152</v>
      </c>
      <c r="C101" s="6" t="s">
        <v>2252</v>
      </c>
      <c r="D101" s="6" t="s">
        <v>4423</v>
      </c>
      <c r="E101" s="20">
        <f t="shared" si="4"/>
        <v>0</v>
      </c>
      <c r="F101" s="20">
        <f t="shared" si="8"/>
        <v>1036.3499999999999</v>
      </c>
      <c r="G101" s="24" t="s">
        <v>6556</v>
      </c>
      <c r="H101" s="20">
        <f t="shared" si="6"/>
        <v>0</v>
      </c>
      <c r="I101" s="21">
        <v>54</v>
      </c>
      <c r="J101" s="21">
        <f t="shared" ref="J101:J154" si="9">X101</f>
        <v>0</v>
      </c>
    </row>
    <row r="102" spans="1:10" ht="27.6" x14ac:dyDescent="0.3">
      <c r="A102" s="2" t="s">
        <v>109</v>
      </c>
      <c r="B102" s="1" t="s">
        <v>2152</v>
      </c>
      <c r="C102" s="6" t="s">
        <v>2253</v>
      </c>
      <c r="D102" s="6" t="s">
        <v>4424</v>
      </c>
      <c r="E102" s="20">
        <f t="shared" si="4"/>
        <v>0</v>
      </c>
      <c r="F102" s="20">
        <f t="shared" si="8"/>
        <v>1036.3499999999999</v>
      </c>
      <c r="G102" s="24" t="s">
        <v>6557</v>
      </c>
      <c r="H102" s="20">
        <f t="shared" si="6"/>
        <v>0</v>
      </c>
      <c r="I102" s="21">
        <v>54</v>
      </c>
      <c r="J102" s="21">
        <f t="shared" si="9"/>
        <v>0</v>
      </c>
    </row>
    <row r="103" spans="1:10" ht="27.6" x14ac:dyDescent="0.3">
      <c r="A103" s="2" t="s">
        <v>110</v>
      </c>
      <c r="B103" s="1" t="s">
        <v>2152</v>
      </c>
      <c r="C103" s="6" t="s">
        <v>2254</v>
      </c>
      <c r="D103" s="6" t="s">
        <v>4425</v>
      </c>
      <c r="E103" s="20">
        <f t="shared" si="4"/>
        <v>0</v>
      </c>
      <c r="F103" s="20">
        <f t="shared" si="8"/>
        <v>1036.3499999999999</v>
      </c>
      <c r="G103" s="24" t="s">
        <v>6558</v>
      </c>
      <c r="H103" s="20">
        <f t="shared" si="6"/>
        <v>0</v>
      </c>
      <c r="I103" s="21">
        <v>54</v>
      </c>
      <c r="J103" s="21">
        <f t="shared" si="9"/>
        <v>0</v>
      </c>
    </row>
    <row r="104" spans="1:10" ht="27.6" x14ac:dyDescent="0.3">
      <c r="A104" s="2" t="s">
        <v>111</v>
      </c>
      <c r="B104" s="1" t="s">
        <v>2152</v>
      </c>
      <c r="C104" s="6" t="s">
        <v>2255</v>
      </c>
      <c r="D104" s="6" t="s">
        <v>4426</v>
      </c>
      <c r="E104" s="20">
        <f t="shared" si="4"/>
        <v>0</v>
      </c>
      <c r="F104" s="20">
        <f t="shared" si="8"/>
        <v>1036.3499999999999</v>
      </c>
      <c r="G104" s="24" t="s">
        <v>6559</v>
      </c>
      <c r="H104" s="20">
        <f t="shared" si="6"/>
        <v>0</v>
      </c>
      <c r="I104" s="21">
        <v>54</v>
      </c>
      <c r="J104" s="21">
        <f t="shared" si="9"/>
        <v>0</v>
      </c>
    </row>
    <row r="105" spans="1:10" ht="27.6" x14ac:dyDescent="0.3">
      <c r="A105" s="2" t="s">
        <v>112</v>
      </c>
      <c r="B105" s="1" t="s">
        <v>2152</v>
      </c>
      <c r="C105" s="6" t="s">
        <v>2256</v>
      </c>
      <c r="D105" s="6" t="s">
        <v>4427</v>
      </c>
      <c r="E105" s="20">
        <f t="shared" si="4"/>
        <v>0</v>
      </c>
      <c r="F105" s="20">
        <f t="shared" si="8"/>
        <v>1036.3499999999999</v>
      </c>
      <c r="G105" s="24" t="s">
        <v>6560</v>
      </c>
      <c r="H105" s="20">
        <f t="shared" si="6"/>
        <v>0</v>
      </c>
      <c r="I105" s="21">
        <v>54</v>
      </c>
      <c r="J105" s="21">
        <f t="shared" si="9"/>
        <v>0</v>
      </c>
    </row>
    <row r="106" spans="1:10" ht="27.6" x14ac:dyDescent="0.3">
      <c r="A106" s="2" t="s">
        <v>113</v>
      </c>
      <c r="B106" s="1" t="s">
        <v>2152</v>
      </c>
      <c r="C106" s="6" t="s">
        <v>2257</v>
      </c>
      <c r="D106" s="6" t="s">
        <v>4428</v>
      </c>
      <c r="E106" s="20">
        <f t="shared" si="4"/>
        <v>0</v>
      </c>
      <c r="F106" s="20">
        <f t="shared" si="8"/>
        <v>1036.3499999999999</v>
      </c>
      <c r="G106" s="24" t="s">
        <v>6561</v>
      </c>
      <c r="H106" s="20">
        <f t="shared" si="6"/>
        <v>0</v>
      </c>
      <c r="I106" s="21">
        <v>54</v>
      </c>
      <c r="J106" s="21">
        <f t="shared" si="9"/>
        <v>0</v>
      </c>
    </row>
    <row r="107" spans="1:10" ht="27.6" x14ac:dyDescent="0.3">
      <c r="A107" s="2" t="s">
        <v>114</v>
      </c>
      <c r="B107" s="1" t="s">
        <v>2152</v>
      </c>
      <c r="C107" s="6" t="s">
        <v>2258</v>
      </c>
      <c r="D107" s="6" t="s">
        <v>4429</v>
      </c>
      <c r="E107" s="20">
        <f t="shared" si="4"/>
        <v>0</v>
      </c>
      <c r="F107" s="20">
        <f t="shared" si="8"/>
        <v>1036.3499999999999</v>
      </c>
      <c r="G107" s="24" t="s">
        <v>6562</v>
      </c>
      <c r="H107" s="20">
        <f t="shared" si="6"/>
        <v>0</v>
      </c>
      <c r="I107" s="21">
        <v>54</v>
      </c>
      <c r="J107" s="21">
        <f t="shared" si="9"/>
        <v>0</v>
      </c>
    </row>
    <row r="108" spans="1:10" ht="27.6" x14ac:dyDescent="0.3">
      <c r="A108" s="2" t="s">
        <v>115</v>
      </c>
      <c r="B108" s="1" t="s">
        <v>2152</v>
      </c>
      <c r="C108" s="6" t="s">
        <v>2259</v>
      </c>
      <c r="D108" s="6" t="s">
        <v>4430</v>
      </c>
      <c r="E108" s="20">
        <f t="shared" si="4"/>
        <v>0</v>
      </c>
      <c r="F108" s="20">
        <f t="shared" si="8"/>
        <v>1036.3499999999999</v>
      </c>
      <c r="G108" s="24" t="s">
        <v>6563</v>
      </c>
      <c r="H108" s="20">
        <f t="shared" si="6"/>
        <v>0</v>
      </c>
      <c r="I108" s="21">
        <v>54</v>
      </c>
      <c r="J108" s="21">
        <f t="shared" si="9"/>
        <v>0</v>
      </c>
    </row>
    <row r="109" spans="1:10" ht="27.6" x14ac:dyDescent="0.3">
      <c r="A109" s="2" t="s">
        <v>116</v>
      </c>
      <c r="B109" s="1" t="s">
        <v>2152</v>
      </c>
      <c r="C109" s="6" t="s">
        <v>2260</v>
      </c>
      <c r="D109" s="6" t="s">
        <v>4431</v>
      </c>
      <c r="E109" s="20">
        <f t="shared" si="4"/>
        <v>0</v>
      </c>
      <c r="F109" s="20">
        <f t="shared" si="8"/>
        <v>1036.3499999999999</v>
      </c>
      <c r="G109" s="24" t="s">
        <v>6564</v>
      </c>
      <c r="H109" s="20">
        <f t="shared" si="6"/>
        <v>0</v>
      </c>
      <c r="I109" s="21">
        <v>54</v>
      </c>
      <c r="J109" s="21">
        <f t="shared" si="9"/>
        <v>0</v>
      </c>
    </row>
    <row r="110" spans="1:10" ht="27.6" x14ac:dyDescent="0.3">
      <c r="A110" s="2" t="s">
        <v>117</v>
      </c>
      <c r="B110" s="1" t="s">
        <v>2152</v>
      </c>
      <c r="C110" s="6" t="s">
        <v>2261</v>
      </c>
      <c r="D110" s="6" t="s">
        <v>4432</v>
      </c>
      <c r="E110" s="20">
        <f t="shared" si="4"/>
        <v>0</v>
      </c>
      <c r="F110" s="20">
        <f t="shared" si="8"/>
        <v>1036.3499999999999</v>
      </c>
      <c r="G110" s="24" t="s">
        <v>6565</v>
      </c>
      <c r="H110" s="20">
        <f t="shared" si="6"/>
        <v>0</v>
      </c>
      <c r="I110" s="21">
        <v>54</v>
      </c>
      <c r="J110" s="21">
        <f t="shared" si="9"/>
        <v>0</v>
      </c>
    </row>
    <row r="111" spans="1:10" ht="27.6" x14ac:dyDescent="0.3">
      <c r="A111" s="2" t="s">
        <v>118</v>
      </c>
      <c r="B111" s="1" t="s">
        <v>2152</v>
      </c>
      <c r="C111" s="6" t="s">
        <v>2262</v>
      </c>
      <c r="D111" s="6" t="s">
        <v>4433</v>
      </c>
      <c r="E111" s="20">
        <f t="shared" si="4"/>
        <v>0</v>
      </c>
      <c r="F111" s="20">
        <f t="shared" si="8"/>
        <v>1036.3499999999999</v>
      </c>
      <c r="G111" s="24" t="s">
        <v>6566</v>
      </c>
      <c r="H111" s="20">
        <f t="shared" si="6"/>
        <v>0</v>
      </c>
      <c r="I111" s="21">
        <v>54</v>
      </c>
      <c r="J111" s="21">
        <f t="shared" si="9"/>
        <v>0</v>
      </c>
    </row>
    <row r="112" spans="1:10" ht="27.6" x14ac:dyDescent="0.3">
      <c r="A112" s="2" t="s">
        <v>119</v>
      </c>
      <c r="B112" s="1" t="s">
        <v>2152</v>
      </c>
      <c r="C112" s="6" t="s">
        <v>2263</v>
      </c>
      <c r="D112" s="6" t="s">
        <v>4434</v>
      </c>
      <c r="E112" s="20">
        <f t="shared" si="4"/>
        <v>0</v>
      </c>
      <c r="F112" s="20">
        <f t="shared" si="8"/>
        <v>1036.3499999999999</v>
      </c>
      <c r="G112" s="24" t="s">
        <v>6567</v>
      </c>
      <c r="H112" s="20">
        <f t="shared" si="6"/>
        <v>0</v>
      </c>
      <c r="I112" s="21">
        <v>54</v>
      </c>
      <c r="J112" s="21">
        <f t="shared" si="9"/>
        <v>0</v>
      </c>
    </row>
    <row r="113" spans="1:10" ht="27.6" x14ac:dyDescent="0.3">
      <c r="A113" s="2" t="s">
        <v>120</v>
      </c>
      <c r="B113" s="1" t="s">
        <v>2152</v>
      </c>
      <c r="C113" s="6" t="s">
        <v>2264</v>
      </c>
      <c r="D113" s="6" t="s">
        <v>4435</v>
      </c>
      <c r="E113" s="20">
        <f t="shared" si="4"/>
        <v>0</v>
      </c>
      <c r="F113" s="20">
        <f t="shared" si="8"/>
        <v>1036.3499999999999</v>
      </c>
      <c r="G113" s="24" t="s">
        <v>6568</v>
      </c>
      <c r="H113" s="20">
        <f t="shared" si="6"/>
        <v>0</v>
      </c>
      <c r="I113" s="21">
        <v>54</v>
      </c>
      <c r="J113" s="21">
        <f t="shared" si="9"/>
        <v>0</v>
      </c>
    </row>
    <row r="114" spans="1:10" ht="27.6" x14ac:dyDescent="0.3">
      <c r="A114" s="2" t="s">
        <v>121</v>
      </c>
      <c r="B114" s="1" t="s">
        <v>2152</v>
      </c>
      <c r="C114" s="6" t="s">
        <v>2265</v>
      </c>
      <c r="D114" s="6" t="s">
        <v>4436</v>
      </c>
      <c r="E114" s="20">
        <f t="shared" si="4"/>
        <v>0</v>
      </c>
      <c r="F114" s="20">
        <f t="shared" si="8"/>
        <v>1036.3499999999999</v>
      </c>
      <c r="G114" s="24" t="s">
        <v>6569</v>
      </c>
      <c r="H114" s="20">
        <f t="shared" si="6"/>
        <v>0</v>
      </c>
      <c r="I114" s="21">
        <v>54</v>
      </c>
      <c r="J114" s="21">
        <f t="shared" si="9"/>
        <v>0</v>
      </c>
    </row>
    <row r="115" spans="1:10" ht="27.6" x14ac:dyDescent="0.3">
      <c r="A115" s="2" t="s">
        <v>122</v>
      </c>
      <c r="B115" s="1" t="s">
        <v>2152</v>
      </c>
      <c r="C115" s="6" t="s">
        <v>2266</v>
      </c>
      <c r="D115" s="6" t="s">
        <v>4437</v>
      </c>
      <c r="E115" s="20">
        <f t="shared" si="4"/>
        <v>0</v>
      </c>
      <c r="F115" s="20">
        <f t="shared" si="8"/>
        <v>1036.3499999999999</v>
      </c>
      <c r="G115" s="24" t="s">
        <v>6570</v>
      </c>
      <c r="H115" s="20">
        <f t="shared" si="6"/>
        <v>0</v>
      </c>
      <c r="I115" s="21">
        <v>54</v>
      </c>
      <c r="J115" s="21">
        <f t="shared" si="9"/>
        <v>0</v>
      </c>
    </row>
    <row r="116" spans="1:10" ht="27.6" x14ac:dyDescent="0.3">
      <c r="A116" s="2" t="s">
        <v>123</v>
      </c>
      <c r="B116" s="1" t="s">
        <v>2152</v>
      </c>
      <c r="C116" s="6" t="s">
        <v>2267</v>
      </c>
      <c r="D116" s="6" t="s">
        <v>4438</v>
      </c>
      <c r="E116" s="20">
        <f t="shared" si="4"/>
        <v>0</v>
      </c>
      <c r="F116" s="20">
        <f t="shared" si="8"/>
        <v>1036.3499999999999</v>
      </c>
      <c r="G116" s="24" t="s">
        <v>6571</v>
      </c>
      <c r="H116" s="20">
        <f t="shared" si="6"/>
        <v>0</v>
      </c>
      <c r="I116" s="21">
        <v>54</v>
      </c>
      <c r="J116" s="21">
        <f t="shared" si="9"/>
        <v>0</v>
      </c>
    </row>
    <row r="117" spans="1:10" ht="27.6" x14ac:dyDescent="0.3">
      <c r="A117" s="2" t="s">
        <v>124</v>
      </c>
      <c r="B117" s="1" t="s">
        <v>2152</v>
      </c>
      <c r="C117" s="6" t="s">
        <v>2268</v>
      </c>
      <c r="D117" s="6" t="s">
        <v>4439</v>
      </c>
      <c r="E117" s="20">
        <f t="shared" si="4"/>
        <v>0</v>
      </c>
      <c r="F117" s="20">
        <f t="shared" si="8"/>
        <v>1036.3499999999999</v>
      </c>
      <c r="G117" s="24" t="s">
        <v>6572</v>
      </c>
      <c r="H117" s="20">
        <f t="shared" si="6"/>
        <v>0</v>
      </c>
      <c r="I117" s="21">
        <v>54</v>
      </c>
      <c r="J117" s="21">
        <f t="shared" si="9"/>
        <v>0</v>
      </c>
    </row>
    <row r="118" spans="1:10" ht="27.6" x14ac:dyDescent="0.3">
      <c r="A118" s="2" t="s">
        <v>125</v>
      </c>
      <c r="B118" s="1" t="s">
        <v>2152</v>
      </c>
      <c r="C118" s="6" t="s">
        <v>2269</v>
      </c>
      <c r="D118" s="6" t="s">
        <v>4440</v>
      </c>
      <c r="E118" s="20">
        <f t="shared" si="4"/>
        <v>0</v>
      </c>
      <c r="F118" s="20">
        <f t="shared" si="8"/>
        <v>1036.3499999999999</v>
      </c>
      <c r="G118" s="24" t="s">
        <v>6573</v>
      </c>
      <c r="H118" s="20">
        <f t="shared" si="6"/>
        <v>0</v>
      </c>
      <c r="I118" s="21">
        <v>54</v>
      </c>
      <c r="J118" s="21">
        <f t="shared" si="9"/>
        <v>0</v>
      </c>
    </row>
    <row r="119" spans="1:10" ht="27.6" x14ac:dyDescent="0.3">
      <c r="A119" s="2" t="s">
        <v>126</v>
      </c>
      <c r="B119" s="1" t="s">
        <v>2152</v>
      </c>
      <c r="C119" s="6" t="s">
        <v>2270</v>
      </c>
      <c r="D119" s="6" t="s">
        <v>4441</v>
      </c>
      <c r="E119" s="20">
        <f t="shared" si="4"/>
        <v>0</v>
      </c>
      <c r="F119" s="20">
        <f t="shared" si="8"/>
        <v>1036.3499999999999</v>
      </c>
      <c r="G119" s="24" t="s">
        <v>6574</v>
      </c>
      <c r="H119" s="20">
        <f t="shared" si="6"/>
        <v>0</v>
      </c>
      <c r="I119" s="21">
        <v>54</v>
      </c>
      <c r="J119" s="21">
        <f t="shared" si="9"/>
        <v>0</v>
      </c>
    </row>
    <row r="120" spans="1:10" ht="27.6" x14ac:dyDescent="0.3">
      <c r="A120" s="2" t="s">
        <v>127</v>
      </c>
      <c r="B120" s="1" t="s">
        <v>2152</v>
      </c>
      <c r="C120" s="6" t="s">
        <v>2271</v>
      </c>
      <c r="D120" s="6" t="s">
        <v>4442</v>
      </c>
      <c r="E120" s="20">
        <f t="shared" si="4"/>
        <v>0</v>
      </c>
      <c r="F120" s="20">
        <f t="shared" si="8"/>
        <v>1036.3499999999999</v>
      </c>
      <c r="G120" s="24" t="s">
        <v>6575</v>
      </c>
      <c r="H120" s="20">
        <f t="shared" si="6"/>
        <v>0</v>
      </c>
      <c r="I120" s="21">
        <v>54</v>
      </c>
      <c r="J120" s="21">
        <f t="shared" si="9"/>
        <v>0</v>
      </c>
    </row>
    <row r="121" spans="1:10" ht="27.6" x14ac:dyDescent="0.3">
      <c r="A121" s="2" t="s">
        <v>128</v>
      </c>
      <c r="B121" s="1" t="s">
        <v>2152</v>
      </c>
      <c r="C121" s="6" t="s">
        <v>2272</v>
      </c>
      <c r="D121" s="6" t="s">
        <v>4443</v>
      </c>
      <c r="E121" s="20">
        <f t="shared" si="4"/>
        <v>0</v>
      </c>
      <c r="F121" s="20">
        <f t="shared" si="8"/>
        <v>1036.3499999999999</v>
      </c>
      <c r="G121" s="24" t="s">
        <v>6576</v>
      </c>
      <c r="H121" s="20">
        <f t="shared" si="6"/>
        <v>0</v>
      </c>
      <c r="I121" s="21">
        <v>54</v>
      </c>
      <c r="J121" s="21">
        <f t="shared" si="9"/>
        <v>0</v>
      </c>
    </row>
    <row r="122" spans="1:10" ht="27.6" x14ac:dyDescent="0.3">
      <c r="A122" s="2" t="s">
        <v>129</v>
      </c>
      <c r="B122" s="1" t="s">
        <v>2152</v>
      </c>
      <c r="C122" s="6" t="s">
        <v>2273</v>
      </c>
      <c r="D122" s="6" t="s">
        <v>4444</v>
      </c>
      <c r="E122" s="20">
        <f t="shared" si="4"/>
        <v>0</v>
      </c>
      <c r="F122" s="20">
        <f t="shared" si="8"/>
        <v>1036.3499999999999</v>
      </c>
      <c r="G122" s="24" t="s">
        <v>6577</v>
      </c>
      <c r="H122" s="20">
        <f t="shared" si="6"/>
        <v>0</v>
      </c>
      <c r="I122" s="21">
        <v>54</v>
      </c>
      <c r="J122" s="21">
        <f t="shared" si="9"/>
        <v>0</v>
      </c>
    </row>
    <row r="123" spans="1:10" ht="27.6" x14ac:dyDescent="0.3">
      <c r="A123" s="2" t="s">
        <v>130</v>
      </c>
      <c r="B123" s="1" t="s">
        <v>2152</v>
      </c>
      <c r="C123" s="6" t="s">
        <v>2274</v>
      </c>
      <c r="D123" s="6" t="s">
        <v>4445</v>
      </c>
      <c r="E123" s="20">
        <f t="shared" si="4"/>
        <v>0</v>
      </c>
      <c r="F123" s="20">
        <f t="shared" si="8"/>
        <v>1036.3499999999999</v>
      </c>
      <c r="G123" s="24" t="s">
        <v>6578</v>
      </c>
      <c r="H123" s="20">
        <f t="shared" si="6"/>
        <v>0</v>
      </c>
      <c r="I123" s="21">
        <v>54</v>
      </c>
      <c r="J123" s="21">
        <f t="shared" si="9"/>
        <v>0</v>
      </c>
    </row>
    <row r="124" spans="1:10" ht="27.6" x14ac:dyDescent="0.3">
      <c r="A124" s="2" t="s">
        <v>131</v>
      </c>
      <c r="B124" s="1" t="s">
        <v>2152</v>
      </c>
      <c r="C124" s="6" t="s">
        <v>2275</v>
      </c>
      <c r="D124" s="6" t="s">
        <v>4446</v>
      </c>
      <c r="E124" s="20">
        <f t="shared" si="4"/>
        <v>0</v>
      </c>
      <c r="F124" s="20">
        <f t="shared" si="8"/>
        <v>1036.3499999999999</v>
      </c>
      <c r="G124" s="24" t="s">
        <v>6579</v>
      </c>
      <c r="H124" s="20">
        <f t="shared" si="6"/>
        <v>0</v>
      </c>
      <c r="I124" s="21">
        <v>54</v>
      </c>
      <c r="J124" s="21">
        <f t="shared" si="9"/>
        <v>0</v>
      </c>
    </row>
    <row r="125" spans="1:10" ht="27.6" x14ac:dyDescent="0.3">
      <c r="A125" s="2" t="s">
        <v>132</v>
      </c>
      <c r="B125" s="1" t="s">
        <v>2152</v>
      </c>
      <c r="C125" s="6" t="s">
        <v>2276</v>
      </c>
      <c r="D125" s="6" t="s">
        <v>4447</v>
      </c>
      <c r="E125" s="20">
        <f t="shared" si="4"/>
        <v>0</v>
      </c>
      <c r="F125" s="20">
        <f>24.5*42.3</f>
        <v>1036.3499999999999</v>
      </c>
      <c r="G125" s="24" t="s">
        <v>6580</v>
      </c>
      <c r="H125" s="20">
        <f t="shared" si="6"/>
        <v>0</v>
      </c>
      <c r="I125" s="21">
        <v>54</v>
      </c>
      <c r="J125" s="21">
        <f t="shared" si="9"/>
        <v>0</v>
      </c>
    </row>
    <row r="126" spans="1:10" ht="27.6" x14ac:dyDescent="0.3">
      <c r="A126" s="2" t="s">
        <v>133</v>
      </c>
      <c r="B126" s="1" t="s">
        <v>2152</v>
      </c>
      <c r="C126" s="6" t="s">
        <v>2277</v>
      </c>
      <c r="D126" s="6" t="s">
        <v>4448</v>
      </c>
      <c r="E126" s="20">
        <f t="shared" si="4"/>
        <v>0</v>
      </c>
      <c r="F126" s="20">
        <f t="shared" si="8"/>
        <v>1036.3499999999999</v>
      </c>
      <c r="G126" s="24" t="s">
        <v>6581</v>
      </c>
      <c r="H126" s="20">
        <f t="shared" si="6"/>
        <v>0</v>
      </c>
      <c r="I126" s="21">
        <v>54</v>
      </c>
      <c r="J126" s="21">
        <f t="shared" si="9"/>
        <v>0</v>
      </c>
    </row>
    <row r="127" spans="1:10" ht="27.6" x14ac:dyDescent="0.3">
      <c r="A127" s="2" t="s">
        <v>134</v>
      </c>
      <c r="B127" s="1" t="s">
        <v>2152</v>
      </c>
      <c r="C127" s="6" t="s">
        <v>2278</v>
      </c>
      <c r="D127" s="6" t="s">
        <v>4449</v>
      </c>
      <c r="E127" s="20">
        <f t="shared" si="4"/>
        <v>0</v>
      </c>
      <c r="F127" s="20">
        <f t="shared" si="8"/>
        <v>1036.3499999999999</v>
      </c>
      <c r="G127" s="24" t="s">
        <v>6582</v>
      </c>
      <c r="H127" s="20">
        <f t="shared" si="6"/>
        <v>0</v>
      </c>
      <c r="I127" s="21">
        <v>54</v>
      </c>
      <c r="J127" s="21">
        <f t="shared" si="9"/>
        <v>0</v>
      </c>
    </row>
    <row r="128" spans="1:10" ht="27.6" x14ac:dyDescent="0.3">
      <c r="A128" s="2" t="s">
        <v>135</v>
      </c>
      <c r="B128" s="1" t="s">
        <v>2152</v>
      </c>
      <c r="C128" s="6" t="s">
        <v>2279</v>
      </c>
      <c r="D128" s="6" t="s">
        <v>4450</v>
      </c>
      <c r="E128" s="20">
        <f t="shared" si="4"/>
        <v>0</v>
      </c>
      <c r="F128" s="20">
        <f t="shared" si="8"/>
        <v>1036.3499999999999</v>
      </c>
      <c r="G128" s="24" t="s">
        <v>6583</v>
      </c>
      <c r="H128" s="20">
        <f t="shared" si="6"/>
        <v>0</v>
      </c>
      <c r="I128" s="21">
        <v>54</v>
      </c>
      <c r="J128" s="21">
        <f t="shared" si="9"/>
        <v>0</v>
      </c>
    </row>
    <row r="129" spans="1:10" ht="27.6" x14ac:dyDescent="0.3">
      <c r="A129" s="2" t="s">
        <v>136</v>
      </c>
      <c r="B129" s="1" t="s">
        <v>2152</v>
      </c>
      <c r="C129" s="6" t="s">
        <v>2280</v>
      </c>
      <c r="D129" s="6" t="s">
        <v>4451</v>
      </c>
      <c r="E129" s="20">
        <f t="shared" si="4"/>
        <v>0</v>
      </c>
      <c r="F129" s="20">
        <f t="shared" si="8"/>
        <v>1036.3499999999999</v>
      </c>
      <c r="G129" s="24" t="s">
        <v>6584</v>
      </c>
      <c r="H129" s="20">
        <f t="shared" si="6"/>
        <v>0</v>
      </c>
      <c r="I129" s="21">
        <v>54</v>
      </c>
      <c r="J129" s="21">
        <f t="shared" si="9"/>
        <v>0</v>
      </c>
    </row>
    <row r="130" spans="1:10" ht="27.6" x14ac:dyDescent="0.3">
      <c r="A130" s="2" t="s">
        <v>137</v>
      </c>
      <c r="B130" s="1" t="s">
        <v>2152</v>
      </c>
      <c r="C130" s="6" t="s">
        <v>2281</v>
      </c>
      <c r="D130" s="6" t="s">
        <v>4452</v>
      </c>
      <c r="E130" s="20">
        <f t="shared" si="4"/>
        <v>0</v>
      </c>
      <c r="F130" s="20">
        <f t="shared" si="8"/>
        <v>1036.3499999999999</v>
      </c>
      <c r="G130" s="24" t="s">
        <v>6585</v>
      </c>
      <c r="H130" s="20">
        <f t="shared" si="6"/>
        <v>0</v>
      </c>
      <c r="I130" s="21">
        <v>54</v>
      </c>
      <c r="J130" s="21">
        <f t="shared" si="9"/>
        <v>0</v>
      </c>
    </row>
    <row r="131" spans="1:10" ht="27.6" x14ac:dyDescent="0.3">
      <c r="A131" s="2" t="s">
        <v>138</v>
      </c>
      <c r="B131" s="1" t="s">
        <v>2152</v>
      </c>
      <c r="C131" s="6" t="s">
        <v>2282</v>
      </c>
      <c r="D131" s="6" t="s">
        <v>4453</v>
      </c>
      <c r="E131" s="20">
        <f t="shared" si="4"/>
        <v>0</v>
      </c>
      <c r="F131" s="20">
        <f t="shared" si="8"/>
        <v>1036.3499999999999</v>
      </c>
      <c r="G131" s="24" t="s">
        <v>6586</v>
      </c>
      <c r="H131" s="20">
        <f t="shared" si="6"/>
        <v>0</v>
      </c>
      <c r="I131" s="21">
        <v>54</v>
      </c>
      <c r="J131" s="21">
        <f t="shared" si="9"/>
        <v>0</v>
      </c>
    </row>
    <row r="132" spans="1:10" ht="27.6" x14ac:dyDescent="0.3">
      <c r="A132" s="2" t="s">
        <v>139</v>
      </c>
      <c r="B132" s="1" t="s">
        <v>2152</v>
      </c>
      <c r="C132" s="6" t="s">
        <v>2283</v>
      </c>
      <c r="D132" s="6" t="s">
        <v>4454</v>
      </c>
      <c r="E132" s="20">
        <f t="shared" si="4"/>
        <v>0</v>
      </c>
      <c r="F132" s="20">
        <f t="shared" si="8"/>
        <v>1036.3499999999999</v>
      </c>
      <c r="G132" s="24" t="s">
        <v>6587</v>
      </c>
      <c r="H132" s="20">
        <f t="shared" si="6"/>
        <v>0</v>
      </c>
      <c r="I132" s="21">
        <v>54</v>
      </c>
      <c r="J132" s="21">
        <f t="shared" si="9"/>
        <v>0</v>
      </c>
    </row>
    <row r="133" spans="1:10" ht="27.6" x14ac:dyDescent="0.3">
      <c r="A133" s="2" t="s">
        <v>140</v>
      </c>
      <c r="B133" s="1" t="s">
        <v>2152</v>
      </c>
      <c r="C133" s="6" t="s">
        <v>2284</v>
      </c>
      <c r="D133" s="6" t="s">
        <v>4455</v>
      </c>
      <c r="E133" s="20">
        <f t="shared" ref="E133:E196" si="10">H133*1.8*1.4</f>
        <v>0</v>
      </c>
      <c r="F133" s="20">
        <f t="shared" si="8"/>
        <v>1036.3499999999999</v>
      </c>
      <c r="G133" s="24" t="s">
        <v>6588</v>
      </c>
      <c r="H133" s="20">
        <f t="shared" ref="H133:H196" si="11">K133*1.8*1.4</f>
        <v>0</v>
      </c>
      <c r="I133" s="21">
        <v>54</v>
      </c>
      <c r="J133" s="21">
        <f t="shared" si="9"/>
        <v>0</v>
      </c>
    </row>
    <row r="134" spans="1:10" ht="27.6" x14ac:dyDescent="0.3">
      <c r="A134" s="2" t="s">
        <v>141</v>
      </c>
      <c r="B134" s="1" t="s">
        <v>2152</v>
      </c>
      <c r="C134" s="6" t="s">
        <v>2285</v>
      </c>
      <c r="D134" s="6" t="s">
        <v>4456</v>
      </c>
      <c r="E134" s="20">
        <f t="shared" si="10"/>
        <v>0</v>
      </c>
      <c r="F134" s="20">
        <f>24.5*42.3</f>
        <v>1036.3499999999999</v>
      </c>
      <c r="G134" s="24" t="s">
        <v>6589</v>
      </c>
      <c r="H134" s="20">
        <f t="shared" si="11"/>
        <v>0</v>
      </c>
      <c r="I134" s="21">
        <v>54</v>
      </c>
      <c r="J134" s="21">
        <f t="shared" si="9"/>
        <v>0</v>
      </c>
    </row>
    <row r="135" spans="1:10" ht="27.6" x14ac:dyDescent="0.3">
      <c r="A135" s="2" t="s">
        <v>142</v>
      </c>
      <c r="B135" s="1" t="s">
        <v>2152</v>
      </c>
      <c r="C135" s="6" t="s">
        <v>2286</v>
      </c>
      <c r="D135" s="6" t="s">
        <v>4457</v>
      </c>
      <c r="E135" s="20">
        <f t="shared" si="10"/>
        <v>0</v>
      </c>
      <c r="F135" s="20">
        <f t="shared" si="8"/>
        <v>1036.3499999999999</v>
      </c>
      <c r="G135" s="24" t="s">
        <v>6590</v>
      </c>
      <c r="H135" s="20">
        <f t="shared" si="11"/>
        <v>0</v>
      </c>
      <c r="I135" s="21">
        <v>54</v>
      </c>
      <c r="J135" s="21">
        <f t="shared" si="9"/>
        <v>0</v>
      </c>
    </row>
    <row r="136" spans="1:10" ht="27.6" x14ac:dyDescent="0.3">
      <c r="A136" s="2" t="s">
        <v>143</v>
      </c>
      <c r="B136" s="1" t="s">
        <v>2152</v>
      </c>
      <c r="C136" s="6" t="s">
        <v>2287</v>
      </c>
      <c r="D136" s="6" t="s">
        <v>4458</v>
      </c>
      <c r="E136" s="20">
        <f t="shared" si="10"/>
        <v>0</v>
      </c>
      <c r="F136" s="20">
        <f t="shared" si="8"/>
        <v>1036.3499999999999</v>
      </c>
      <c r="G136" s="24" t="s">
        <v>6591</v>
      </c>
      <c r="H136" s="20">
        <f t="shared" si="11"/>
        <v>0</v>
      </c>
      <c r="I136" s="21">
        <v>54</v>
      </c>
      <c r="J136" s="21">
        <f t="shared" si="9"/>
        <v>0</v>
      </c>
    </row>
    <row r="137" spans="1:10" ht="27.6" x14ac:dyDescent="0.3">
      <c r="A137" s="2" t="s">
        <v>144</v>
      </c>
      <c r="B137" s="1" t="s">
        <v>2152</v>
      </c>
      <c r="C137" s="6" t="s">
        <v>2288</v>
      </c>
      <c r="D137" s="6" t="s">
        <v>4459</v>
      </c>
      <c r="E137" s="20">
        <f t="shared" si="10"/>
        <v>0</v>
      </c>
      <c r="F137" s="20">
        <f t="shared" si="8"/>
        <v>1036.3499999999999</v>
      </c>
      <c r="G137" s="24" t="s">
        <v>6592</v>
      </c>
      <c r="H137" s="20">
        <f t="shared" si="11"/>
        <v>0</v>
      </c>
      <c r="I137" s="21">
        <v>54</v>
      </c>
      <c r="J137" s="21">
        <f t="shared" si="9"/>
        <v>0</v>
      </c>
    </row>
    <row r="138" spans="1:10" ht="27.6" x14ac:dyDescent="0.3">
      <c r="A138" s="2" t="s">
        <v>145</v>
      </c>
      <c r="B138" s="1" t="s">
        <v>2152</v>
      </c>
      <c r="C138" s="6" t="s">
        <v>2289</v>
      </c>
      <c r="D138" s="6" t="s">
        <v>4460</v>
      </c>
      <c r="E138" s="20">
        <f t="shared" si="10"/>
        <v>0</v>
      </c>
      <c r="F138" s="20">
        <f t="shared" si="8"/>
        <v>1036.3499999999999</v>
      </c>
      <c r="G138" s="24" t="s">
        <v>6593</v>
      </c>
      <c r="H138" s="20">
        <f t="shared" si="11"/>
        <v>0</v>
      </c>
      <c r="I138" s="21">
        <v>54</v>
      </c>
      <c r="J138" s="21">
        <f t="shared" si="9"/>
        <v>0</v>
      </c>
    </row>
    <row r="139" spans="1:10" ht="27.6" x14ac:dyDescent="0.3">
      <c r="A139" s="2" t="s">
        <v>146</v>
      </c>
      <c r="B139" s="1" t="s">
        <v>2152</v>
      </c>
      <c r="C139" s="6" t="s">
        <v>2290</v>
      </c>
      <c r="D139" s="6" t="s">
        <v>4461</v>
      </c>
      <c r="E139" s="20">
        <f t="shared" si="10"/>
        <v>0</v>
      </c>
      <c r="F139" s="20">
        <f t="shared" si="8"/>
        <v>1036.3499999999999</v>
      </c>
      <c r="G139" s="24" t="s">
        <v>6594</v>
      </c>
      <c r="H139" s="20">
        <f t="shared" si="11"/>
        <v>0</v>
      </c>
      <c r="I139" s="21">
        <v>54</v>
      </c>
      <c r="J139" s="21">
        <f t="shared" si="9"/>
        <v>0</v>
      </c>
    </row>
    <row r="140" spans="1:10" ht="27.6" x14ac:dyDescent="0.3">
      <c r="A140" s="2" t="s">
        <v>147</v>
      </c>
      <c r="B140" s="1" t="s">
        <v>2152</v>
      </c>
      <c r="C140" s="6" t="s">
        <v>2291</v>
      </c>
      <c r="D140" s="6" t="s">
        <v>4462</v>
      </c>
      <c r="E140" s="20">
        <f t="shared" si="10"/>
        <v>0</v>
      </c>
      <c r="F140" s="20">
        <f t="shared" si="8"/>
        <v>1036.3499999999999</v>
      </c>
      <c r="G140" s="24" t="s">
        <v>6595</v>
      </c>
      <c r="H140" s="20">
        <f t="shared" si="11"/>
        <v>0</v>
      </c>
      <c r="I140" s="21">
        <v>54</v>
      </c>
      <c r="J140" s="21">
        <f t="shared" si="9"/>
        <v>0</v>
      </c>
    </row>
    <row r="141" spans="1:10" ht="27.6" x14ac:dyDescent="0.3">
      <c r="A141" s="2" t="s">
        <v>148</v>
      </c>
      <c r="B141" s="1" t="s">
        <v>2152</v>
      </c>
      <c r="C141" s="9" t="s">
        <v>2292</v>
      </c>
      <c r="D141" s="6" t="s">
        <v>4463</v>
      </c>
      <c r="E141" s="20">
        <f t="shared" si="10"/>
        <v>0</v>
      </c>
      <c r="F141" s="20">
        <f t="shared" si="8"/>
        <v>1036.3499999999999</v>
      </c>
      <c r="G141" s="24" t="s">
        <v>6596</v>
      </c>
      <c r="H141" s="20">
        <f t="shared" si="11"/>
        <v>0</v>
      </c>
      <c r="I141" s="21">
        <v>54</v>
      </c>
      <c r="J141" s="21">
        <f t="shared" si="9"/>
        <v>0</v>
      </c>
    </row>
    <row r="142" spans="1:10" ht="27.6" x14ac:dyDescent="0.3">
      <c r="A142" s="4" t="s">
        <v>149</v>
      </c>
      <c r="B142" s="1" t="s">
        <v>2152</v>
      </c>
      <c r="C142" s="10" t="s">
        <v>2293</v>
      </c>
      <c r="D142" s="6" t="s">
        <v>4464</v>
      </c>
      <c r="E142" s="20">
        <f t="shared" si="10"/>
        <v>0</v>
      </c>
      <c r="F142" s="20">
        <f t="shared" si="8"/>
        <v>1036.3499999999999</v>
      </c>
      <c r="G142" s="24" t="s">
        <v>6597</v>
      </c>
      <c r="H142" s="20">
        <f t="shared" si="11"/>
        <v>0</v>
      </c>
      <c r="I142" s="21">
        <v>54</v>
      </c>
      <c r="J142" s="21">
        <f t="shared" si="9"/>
        <v>0</v>
      </c>
    </row>
    <row r="143" spans="1:10" ht="27.6" x14ac:dyDescent="0.3">
      <c r="A143" s="2" t="s">
        <v>150</v>
      </c>
      <c r="B143" s="1" t="s">
        <v>2152</v>
      </c>
      <c r="C143" s="11" t="s">
        <v>2294</v>
      </c>
      <c r="D143" s="6" t="s">
        <v>4465</v>
      </c>
      <c r="E143" s="20">
        <f t="shared" si="10"/>
        <v>0</v>
      </c>
      <c r="F143" s="20">
        <f t="shared" si="8"/>
        <v>1036.3499999999999</v>
      </c>
      <c r="G143" s="24" t="s">
        <v>6598</v>
      </c>
      <c r="H143" s="20">
        <f t="shared" si="11"/>
        <v>0</v>
      </c>
      <c r="I143" s="21">
        <v>54</v>
      </c>
      <c r="J143" s="21">
        <f t="shared" si="9"/>
        <v>0</v>
      </c>
    </row>
    <row r="144" spans="1:10" ht="27.6" x14ac:dyDescent="0.3">
      <c r="A144" s="2" t="s">
        <v>151</v>
      </c>
      <c r="B144" s="1" t="s">
        <v>2152</v>
      </c>
      <c r="C144" s="6" t="s">
        <v>2295</v>
      </c>
      <c r="D144" s="6" t="s">
        <v>4466</v>
      </c>
      <c r="E144" s="20">
        <f t="shared" si="10"/>
        <v>0</v>
      </c>
      <c r="F144" s="20">
        <f t="shared" si="8"/>
        <v>1036.3499999999999</v>
      </c>
      <c r="G144" s="24" t="s">
        <v>6599</v>
      </c>
      <c r="H144" s="20">
        <f t="shared" si="11"/>
        <v>0</v>
      </c>
      <c r="I144" s="21">
        <v>54</v>
      </c>
      <c r="J144" s="21">
        <f t="shared" si="9"/>
        <v>0</v>
      </c>
    </row>
    <row r="145" spans="1:10" ht="27.6" x14ac:dyDescent="0.3">
      <c r="A145" s="2" t="s">
        <v>152</v>
      </c>
      <c r="B145" s="1" t="s">
        <v>2152</v>
      </c>
      <c r="C145" s="6" t="s">
        <v>2296</v>
      </c>
      <c r="D145" s="6" t="s">
        <v>4467</v>
      </c>
      <c r="E145" s="20">
        <f t="shared" si="10"/>
        <v>0</v>
      </c>
      <c r="F145" s="20">
        <f t="shared" ref="F145:F152" si="12">24.5*42.3</f>
        <v>1036.3499999999999</v>
      </c>
      <c r="G145" s="24" t="s">
        <v>6600</v>
      </c>
      <c r="H145" s="20">
        <f t="shared" si="11"/>
        <v>0</v>
      </c>
      <c r="I145" s="21">
        <v>54</v>
      </c>
      <c r="J145" s="21">
        <f t="shared" si="9"/>
        <v>0</v>
      </c>
    </row>
    <row r="146" spans="1:10" ht="27.6" x14ac:dyDescent="0.3">
      <c r="A146" s="2" t="s">
        <v>153</v>
      </c>
      <c r="B146" s="1" t="s">
        <v>2152</v>
      </c>
      <c r="C146" s="6" t="s">
        <v>2297</v>
      </c>
      <c r="D146" s="6" t="s">
        <v>4468</v>
      </c>
      <c r="E146" s="20">
        <f t="shared" si="10"/>
        <v>0</v>
      </c>
      <c r="F146" s="20">
        <f t="shared" si="12"/>
        <v>1036.3499999999999</v>
      </c>
      <c r="G146" s="24" t="s">
        <v>6601</v>
      </c>
      <c r="H146" s="20">
        <f t="shared" si="11"/>
        <v>0</v>
      </c>
      <c r="I146" s="21">
        <v>54</v>
      </c>
      <c r="J146" s="21">
        <f t="shared" si="9"/>
        <v>0</v>
      </c>
    </row>
    <row r="147" spans="1:10" ht="27.6" x14ac:dyDescent="0.3">
      <c r="A147" s="2" t="s">
        <v>154</v>
      </c>
      <c r="B147" s="1" t="s">
        <v>2152</v>
      </c>
      <c r="C147" s="6" t="s">
        <v>2298</v>
      </c>
      <c r="D147" s="6" t="s">
        <v>4469</v>
      </c>
      <c r="E147" s="20">
        <f t="shared" si="10"/>
        <v>0</v>
      </c>
      <c r="F147" s="20">
        <f t="shared" si="12"/>
        <v>1036.3499999999999</v>
      </c>
      <c r="G147" s="24" t="s">
        <v>6602</v>
      </c>
      <c r="H147" s="20">
        <f t="shared" si="11"/>
        <v>0</v>
      </c>
      <c r="I147" s="21">
        <v>54</v>
      </c>
      <c r="J147" s="21">
        <f t="shared" si="9"/>
        <v>0</v>
      </c>
    </row>
    <row r="148" spans="1:10" ht="27.6" x14ac:dyDescent="0.3">
      <c r="A148" s="2" t="s">
        <v>155</v>
      </c>
      <c r="B148" s="1" t="s">
        <v>2152</v>
      </c>
      <c r="C148" s="6" t="s">
        <v>2299</v>
      </c>
      <c r="D148" s="6" t="s">
        <v>4470</v>
      </c>
      <c r="E148" s="20">
        <f t="shared" si="10"/>
        <v>0</v>
      </c>
      <c r="F148" s="20">
        <f t="shared" si="12"/>
        <v>1036.3499999999999</v>
      </c>
      <c r="G148" s="24" t="s">
        <v>6603</v>
      </c>
      <c r="H148" s="20">
        <f t="shared" si="11"/>
        <v>0</v>
      </c>
      <c r="I148" s="21">
        <v>54</v>
      </c>
      <c r="J148" s="21">
        <f t="shared" si="9"/>
        <v>0</v>
      </c>
    </row>
    <row r="149" spans="1:10" ht="27.6" x14ac:dyDescent="0.3">
      <c r="A149" s="2" t="s">
        <v>156</v>
      </c>
      <c r="B149" s="1" t="s">
        <v>2152</v>
      </c>
      <c r="C149" s="6" t="s">
        <v>2300</v>
      </c>
      <c r="D149" s="6" t="s">
        <v>4471</v>
      </c>
      <c r="E149" s="20">
        <f t="shared" si="10"/>
        <v>0</v>
      </c>
      <c r="F149" s="20">
        <f t="shared" si="12"/>
        <v>1036.3499999999999</v>
      </c>
      <c r="G149" s="24" t="s">
        <v>6604</v>
      </c>
      <c r="H149" s="20">
        <f t="shared" si="11"/>
        <v>0</v>
      </c>
      <c r="I149" s="21">
        <v>54</v>
      </c>
      <c r="J149" s="21">
        <f t="shared" si="9"/>
        <v>0</v>
      </c>
    </row>
    <row r="150" spans="1:10" ht="27.6" x14ac:dyDescent="0.3">
      <c r="A150" s="2" t="s">
        <v>157</v>
      </c>
      <c r="B150" s="1" t="s">
        <v>2152</v>
      </c>
      <c r="C150" s="6" t="s">
        <v>2301</v>
      </c>
      <c r="D150" s="6" t="s">
        <v>4472</v>
      </c>
      <c r="E150" s="20">
        <f t="shared" si="10"/>
        <v>0</v>
      </c>
      <c r="F150" s="20">
        <f t="shared" si="12"/>
        <v>1036.3499999999999</v>
      </c>
      <c r="G150" s="24" t="s">
        <v>6605</v>
      </c>
      <c r="H150" s="20">
        <f t="shared" si="11"/>
        <v>0</v>
      </c>
      <c r="I150" s="21">
        <v>54</v>
      </c>
      <c r="J150" s="21">
        <f t="shared" si="9"/>
        <v>0</v>
      </c>
    </row>
    <row r="151" spans="1:10" ht="27.6" x14ac:dyDescent="0.3">
      <c r="A151" s="2" t="s">
        <v>158</v>
      </c>
      <c r="B151" s="1" t="s">
        <v>2152</v>
      </c>
      <c r="C151" s="6" t="s">
        <v>2302</v>
      </c>
      <c r="D151" s="6" t="s">
        <v>4473</v>
      </c>
      <c r="E151" s="20">
        <f t="shared" si="10"/>
        <v>0</v>
      </c>
      <c r="F151" s="20">
        <f t="shared" si="12"/>
        <v>1036.3499999999999</v>
      </c>
      <c r="G151" s="24" t="s">
        <v>6606</v>
      </c>
      <c r="H151" s="20">
        <f t="shared" si="11"/>
        <v>0</v>
      </c>
      <c r="I151" s="21">
        <v>54</v>
      </c>
      <c r="J151" s="21">
        <f t="shared" si="9"/>
        <v>0</v>
      </c>
    </row>
    <row r="152" spans="1:10" ht="27.6" x14ac:dyDescent="0.3">
      <c r="A152" s="2" t="s">
        <v>159</v>
      </c>
      <c r="B152" s="1" t="s">
        <v>2152</v>
      </c>
      <c r="C152" s="6" t="s">
        <v>2303</v>
      </c>
      <c r="D152" s="6" t="s">
        <v>4474</v>
      </c>
      <c r="E152" s="20">
        <f t="shared" si="10"/>
        <v>0</v>
      </c>
      <c r="F152" s="20">
        <f t="shared" si="12"/>
        <v>1036.3499999999999</v>
      </c>
      <c r="G152" s="24" t="s">
        <v>6607</v>
      </c>
      <c r="H152" s="20">
        <f t="shared" si="11"/>
        <v>0</v>
      </c>
      <c r="I152" s="21">
        <v>54</v>
      </c>
      <c r="J152" s="21">
        <f t="shared" si="9"/>
        <v>0</v>
      </c>
    </row>
    <row r="153" spans="1:10" x14ac:dyDescent="0.3">
      <c r="A153" s="2" t="s">
        <v>160</v>
      </c>
      <c r="B153" s="1" t="s">
        <v>2152</v>
      </c>
      <c r="C153" s="6" t="s">
        <v>2304</v>
      </c>
      <c r="D153" s="6" t="s">
        <v>4475</v>
      </c>
      <c r="E153" s="20">
        <f t="shared" si="10"/>
        <v>0</v>
      </c>
      <c r="F153" s="20">
        <f>12.25*42.3</f>
        <v>518.17499999999995</v>
      </c>
      <c r="G153" s="24" t="s">
        <v>6608</v>
      </c>
      <c r="H153" s="20">
        <f t="shared" si="11"/>
        <v>0</v>
      </c>
      <c r="I153" s="21">
        <v>27</v>
      </c>
      <c r="J153" s="21">
        <f t="shared" si="9"/>
        <v>0</v>
      </c>
    </row>
    <row r="154" spans="1:10" x14ac:dyDescent="0.3">
      <c r="A154" s="2" t="s">
        <v>161</v>
      </c>
      <c r="B154" s="1" t="s">
        <v>2152</v>
      </c>
      <c r="C154" s="6" t="s">
        <v>2305</v>
      </c>
      <c r="D154" s="6" t="s">
        <v>4476</v>
      </c>
      <c r="E154" s="20">
        <f t="shared" si="10"/>
        <v>0</v>
      </c>
      <c r="F154" s="20">
        <f>12.25*42.3</f>
        <v>518.17499999999995</v>
      </c>
      <c r="G154" s="24" t="s">
        <v>6609</v>
      </c>
      <c r="H154" s="20">
        <f t="shared" si="11"/>
        <v>0</v>
      </c>
      <c r="I154" s="21">
        <v>27</v>
      </c>
      <c r="J154" s="21">
        <f t="shared" si="9"/>
        <v>0</v>
      </c>
    </row>
    <row r="155" spans="1:10" ht="27.6" x14ac:dyDescent="0.3">
      <c r="A155" s="2" t="s">
        <v>162</v>
      </c>
      <c r="B155" s="1" t="s">
        <v>2152</v>
      </c>
      <c r="C155" s="6" t="s">
        <v>2306</v>
      </c>
      <c r="D155" s="6" t="s">
        <v>4477</v>
      </c>
      <c r="E155" s="20">
        <f t="shared" si="10"/>
        <v>0</v>
      </c>
      <c r="F155" s="20">
        <f t="shared" ref="F155:F186" si="13">35*42.3</f>
        <v>1480.5</v>
      </c>
      <c r="G155" s="24" t="s">
        <v>6610</v>
      </c>
      <c r="H155" s="20">
        <f t="shared" si="11"/>
        <v>0</v>
      </c>
      <c r="I155" s="21">
        <v>54</v>
      </c>
      <c r="J155" s="21">
        <f>X155</f>
        <v>0</v>
      </c>
    </row>
    <row r="156" spans="1:10" ht="27.6" x14ac:dyDescent="0.3">
      <c r="A156" s="2" t="s">
        <v>163</v>
      </c>
      <c r="B156" s="1" t="s">
        <v>2152</v>
      </c>
      <c r="C156" s="6" t="s">
        <v>2307</v>
      </c>
      <c r="D156" s="6" t="s">
        <v>4478</v>
      </c>
      <c r="E156" s="20">
        <f t="shared" si="10"/>
        <v>0</v>
      </c>
      <c r="F156" s="20">
        <f t="shared" si="13"/>
        <v>1480.5</v>
      </c>
      <c r="G156" s="24" t="s">
        <v>6611</v>
      </c>
      <c r="H156" s="20">
        <f t="shared" si="11"/>
        <v>0</v>
      </c>
      <c r="I156" s="21">
        <v>60</v>
      </c>
      <c r="J156" s="21">
        <f t="shared" ref="J156:J219" si="14">X156</f>
        <v>0</v>
      </c>
    </row>
    <row r="157" spans="1:10" ht="27.6" x14ac:dyDescent="0.3">
      <c r="A157" s="2" t="s">
        <v>164</v>
      </c>
      <c r="B157" s="1" t="s">
        <v>2152</v>
      </c>
      <c r="C157" s="6" t="s">
        <v>2308</v>
      </c>
      <c r="D157" s="6" t="s">
        <v>4479</v>
      </c>
      <c r="E157" s="20">
        <f t="shared" si="10"/>
        <v>0</v>
      </c>
      <c r="F157" s="20">
        <f t="shared" si="13"/>
        <v>1480.5</v>
      </c>
      <c r="G157" s="24" t="s">
        <v>6612</v>
      </c>
      <c r="H157" s="20">
        <f t="shared" si="11"/>
        <v>0</v>
      </c>
      <c r="I157" s="21">
        <v>60</v>
      </c>
      <c r="J157" s="21">
        <f t="shared" si="14"/>
        <v>0</v>
      </c>
    </row>
    <row r="158" spans="1:10" ht="27.6" x14ac:dyDescent="0.3">
      <c r="A158" s="2" t="s">
        <v>165</v>
      </c>
      <c r="B158" s="1" t="s">
        <v>2152</v>
      </c>
      <c r="C158" s="6" t="s">
        <v>2309</v>
      </c>
      <c r="D158" s="6" t="s">
        <v>4480</v>
      </c>
      <c r="E158" s="20">
        <f t="shared" si="10"/>
        <v>0</v>
      </c>
      <c r="F158" s="20">
        <f t="shared" si="13"/>
        <v>1480.5</v>
      </c>
      <c r="G158" s="24" t="s">
        <v>6613</v>
      </c>
      <c r="H158" s="20">
        <f t="shared" si="11"/>
        <v>0</v>
      </c>
      <c r="I158" s="21">
        <v>60</v>
      </c>
      <c r="J158" s="21">
        <f t="shared" si="14"/>
        <v>0</v>
      </c>
    </row>
    <row r="159" spans="1:10" ht="27.6" x14ac:dyDescent="0.3">
      <c r="A159" s="2" t="s">
        <v>166</v>
      </c>
      <c r="B159" s="1" t="s">
        <v>2152</v>
      </c>
      <c r="C159" s="6" t="s">
        <v>2310</v>
      </c>
      <c r="D159" s="6" t="s">
        <v>4481</v>
      </c>
      <c r="E159" s="20">
        <f t="shared" si="10"/>
        <v>0</v>
      </c>
      <c r="F159" s="20">
        <f t="shared" si="13"/>
        <v>1480.5</v>
      </c>
      <c r="G159" s="24" t="s">
        <v>6614</v>
      </c>
      <c r="H159" s="20">
        <f t="shared" si="11"/>
        <v>0</v>
      </c>
      <c r="I159" s="21">
        <v>60</v>
      </c>
      <c r="J159" s="21">
        <f t="shared" si="14"/>
        <v>0</v>
      </c>
    </row>
    <row r="160" spans="1:10" ht="27.6" x14ac:dyDescent="0.3">
      <c r="A160" s="2" t="s">
        <v>167</v>
      </c>
      <c r="B160" s="1" t="s">
        <v>2152</v>
      </c>
      <c r="C160" s="6" t="s">
        <v>2311</v>
      </c>
      <c r="D160" s="6" t="s">
        <v>4482</v>
      </c>
      <c r="E160" s="20">
        <f t="shared" si="10"/>
        <v>0</v>
      </c>
      <c r="F160" s="20">
        <f t="shared" si="13"/>
        <v>1480.5</v>
      </c>
      <c r="G160" s="24" t="s">
        <v>6615</v>
      </c>
      <c r="H160" s="20">
        <f t="shared" si="11"/>
        <v>0</v>
      </c>
      <c r="I160" s="21">
        <v>60</v>
      </c>
      <c r="J160" s="21">
        <f t="shared" si="14"/>
        <v>0</v>
      </c>
    </row>
    <row r="161" spans="1:10" ht="27.6" x14ac:dyDescent="0.3">
      <c r="A161" s="2" t="s">
        <v>168</v>
      </c>
      <c r="B161" s="1" t="s">
        <v>2152</v>
      </c>
      <c r="C161" s="6" t="s">
        <v>2312</v>
      </c>
      <c r="D161" s="6" t="s">
        <v>4483</v>
      </c>
      <c r="E161" s="20">
        <f t="shared" si="10"/>
        <v>0</v>
      </c>
      <c r="F161" s="20">
        <f t="shared" si="13"/>
        <v>1480.5</v>
      </c>
      <c r="G161" s="24" t="s">
        <v>6616</v>
      </c>
      <c r="H161" s="20">
        <f t="shared" si="11"/>
        <v>0</v>
      </c>
      <c r="I161" s="21">
        <v>60</v>
      </c>
      <c r="J161" s="21">
        <f t="shared" si="14"/>
        <v>0</v>
      </c>
    </row>
    <row r="162" spans="1:10" ht="27.6" x14ac:dyDescent="0.3">
      <c r="A162" s="2" t="s">
        <v>169</v>
      </c>
      <c r="B162" s="1" t="s">
        <v>2152</v>
      </c>
      <c r="C162" s="6" t="s">
        <v>2313</v>
      </c>
      <c r="D162" s="6" t="s">
        <v>4484</v>
      </c>
      <c r="E162" s="20">
        <f t="shared" si="10"/>
        <v>0</v>
      </c>
      <c r="F162" s="20">
        <f t="shared" si="13"/>
        <v>1480.5</v>
      </c>
      <c r="G162" s="24" t="s">
        <v>6617</v>
      </c>
      <c r="H162" s="20">
        <f t="shared" si="11"/>
        <v>0</v>
      </c>
      <c r="I162" s="21">
        <v>60</v>
      </c>
      <c r="J162" s="21">
        <f t="shared" si="14"/>
        <v>0</v>
      </c>
    </row>
    <row r="163" spans="1:10" ht="27.6" x14ac:dyDescent="0.3">
      <c r="A163" s="2" t="s">
        <v>170</v>
      </c>
      <c r="B163" s="1" t="s">
        <v>2152</v>
      </c>
      <c r="C163" s="6" t="s">
        <v>2314</v>
      </c>
      <c r="D163" s="6" t="s">
        <v>4485</v>
      </c>
      <c r="E163" s="20">
        <f t="shared" si="10"/>
        <v>0</v>
      </c>
      <c r="F163" s="20">
        <f t="shared" si="13"/>
        <v>1480.5</v>
      </c>
      <c r="G163" s="24" t="s">
        <v>6618</v>
      </c>
      <c r="H163" s="20">
        <f t="shared" si="11"/>
        <v>0</v>
      </c>
      <c r="I163" s="21">
        <v>60</v>
      </c>
      <c r="J163" s="21">
        <f t="shared" si="14"/>
        <v>0</v>
      </c>
    </row>
    <row r="164" spans="1:10" ht="27.6" x14ac:dyDescent="0.3">
      <c r="A164" s="2" t="s">
        <v>171</v>
      </c>
      <c r="B164" s="1" t="s">
        <v>2152</v>
      </c>
      <c r="C164" s="6" t="s">
        <v>2315</v>
      </c>
      <c r="D164" s="6" t="s">
        <v>4486</v>
      </c>
      <c r="E164" s="20">
        <f t="shared" si="10"/>
        <v>0</v>
      </c>
      <c r="F164" s="20">
        <f t="shared" si="13"/>
        <v>1480.5</v>
      </c>
      <c r="G164" s="24" t="s">
        <v>6619</v>
      </c>
      <c r="H164" s="20">
        <f t="shared" si="11"/>
        <v>0</v>
      </c>
      <c r="I164" s="21">
        <v>60</v>
      </c>
      <c r="J164" s="21">
        <f t="shared" si="14"/>
        <v>0</v>
      </c>
    </row>
    <row r="165" spans="1:10" ht="27.6" x14ac:dyDescent="0.3">
      <c r="A165" s="2" t="s">
        <v>172</v>
      </c>
      <c r="B165" s="1" t="s">
        <v>2152</v>
      </c>
      <c r="C165" s="6" t="s">
        <v>2316</v>
      </c>
      <c r="D165" s="6" t="s">
        <v>4487</v>
      </c>
      <c r="E165" s="20">
        <f t="shared" si="10"/>
        <v>0</v>
      </c>
      <c r="F165" s="20">
        <f t="shared" si="13"/>
        <v>1480.5</v>
      </c>
      <c r="G165" s="24" t="s">
        <v>6620</v>
      </c>
      <c r="H165" s="20">
        <f t="shared" si="11"/>
        <v>0</v>
      </c>
      <c r="I165" s="21">
        <v>60</v>
      </c>
      <c r="J165" s="21">
        <f t="shared" si="14"/>
        <v>0</v>
      </c>
    </row>
    <row r="166" spans="1:10" ht="27.6" x14ac:dyDescent="0.3">
      <c r="A166" s="2" t="s">
        <v>173</v>
      </c>
      <c r="B166" s="1" t="s">
        <v>2152</v>
      </c>
      <c r="C166" s="6" t="s">
        <v>2317</v>
      </c>
      <c r="D166" s="6" t="s">
        <v>4488</v>
      </c>
      <c r="E166" s="20">
        <f t="shared" si="10"/>
        <v>0</v>
      </c>
      <c r="F166" s="20">
        <f t="shared" si="13"/>
        <v>1480.5</v>
      </c>
      <c r="G166" s="24" t="s">
        <v>6621</v>
      </c>
      <c r="H166" s="20">
        <f t="shared" si="11"/>
        <v>0</v>
      </c>
      <c r="I166" s="21">
        <v>60</v>
      </c>
      <c r="J166" s="21">
        <f t="shared" si="14"/>
        <v>0</v>
      </c>
    </row>
    <row r="167" spans="1:10" ht="27.6" x14ac:dyDescent="0.3">
      <c r="A167" s="2" t="s">
        <v>174</v>
      </c>
      <c r="B167" s="1" t="s">
        <v>2152</v>
      </c>
      <c r="C167" s="6" t="s">
        <v>2318</v>
      </c>
      <c r="D167" s="6" t="s">
        <v>4489</v>
      </c>
      <c r="E167" s="20">
        <f t="shared" si="10"/>
        <v>0</v>
      </c>
      <c r="F167" s="20">
        <f t="shared" si="13"/>
        <v>1480.5</v>
      </c>
      <c r="G167" s="24" t="s">
        <v>6622</v>
      </c>
      <c r="H167" s="20">
        <f t="shared" si="11"/>
        <v>0</v>
      </c>
      <c r="I167" s="21">
        <v>60</v>
      </c>
      <c r="J167" s="21">
        <f t="shared" si="14"/>
        <v>0</v>
      </c>
    </row>
    <row r="168" spans="1:10" ht="27.6" x14ac:dyDescent="0.3">
      <c r="A168" s="2" t="s">
        <v>175</v>
      </c>
      <c r="B168" s="1" t="s">
        <v>2152</v>
      </c>
      <c r="C168" s="6" t="s">
        <v>2319</v>
      </c>
      <c r="D168" s="6" t="s">
        <v>4490</v>
      </c>
      <c r="E168" s="20">
        <f t="shared" si="10"/>
        <v>0</v>
      </c>
      <c r="F168" s="20">
        <f t="shared" si="13"/>
        <v>1480.5</v>
      </c>
      <c r="G168" s="24" t="s">
        <v>6623</v>
      </c>
      <c r="H168" s="20">
        <f t="shared" si="11"/>
        <v>0</v>
      </c>
      <c r="I168" s="21">
        <v>60</v>
      </c>
      <c r="J168" s="21">
        <f t="shared" si="14"/>
        <v>0</v>
      </c>
    </row>
    <row r="169" spans="1:10" ht="27.6" x14ac:dyDescent="0.3">
      <c r="A169" s="2" t="s">
        <v>176</v>
      </c>
      <c r="B169" s="1" t="s">
        <v>2152</v>
      </c>
      <c r="C169" s="6" t="s">
        <v>2320</v>
      </c>
      <c r="D169" s="6" t="s">
        <v>4491</v>
      </c>
      <c r="E169" s="20">
        <f t="shared" si="10"/>
        <v>0</v>
      </c>
      <c r="F169" s="20">
        <f t="shared" si="13"/>
        <v>1480.5</v>
      </c>
      <c r="G169" s="24" t="s">
        <v>6624</v>
      </c>
      <c r="H169" s="20">
        <f t="shared" si="11"/>
        <v>0</v>
      </c>
      <c r="I169" s="21">
        <v>60</v>
      </c>
      <c r="J169" s="21">
        <f t="shared" si="14"/>
        <v>0</v>
      </c>
    </row>
    <row r="170" spans="1:10" ht="27.6" x14ac:dyDescent="0.3">
      <c r="A170" s="2" t="s">
        <v>177</v>
      </c>
      <c r="B170" s="1" t="s">
        <v>2152</v>
      </c>
      <c r="C170" s="6" t="s">
        <v>2321</v>
      </c>
      <c r="D170" s="6" t="s">
        <v>4492</v>
      </c>
      <c r="E170" s="20">
        <f t="shared" si="10"/>
        <v>0</v>
      </c>
      <c r="F170" s="20">
        <f t="shared" si="13"/>
        <v>1480.5</v>
      </c>
      <c r="G170" s="24" t="s">
        <v>6625</v>
      </c>
      <c r="H170" s="20">
        <f t="shared" si="11"/>
        <v>0</v>
      </c>
      <c r="I170" s="21">
        <v>60</v>
      </c>
      <c r="J170" s="21">
        <f t="shared" si="14"/>
        <v>0</v>
      </c>
    </row>
    <row r="171" spans="1:10" ht="27.6" x14ac:dyDescent="0.3">
      <c r="A171" s="2" t="s">
        <v>178</v>
      </c>
      <c r="B171" s="1" t="s">
        <v>2152</v>
      </c>
      <c r="C171" s="6" t="s">
        <v>2322</v>
      </c>
      <c r="D171" s="6" t="s">
        <v>4493</v>
      </c>
      <c r="E171" s="20">
        <f t="shared" si="10"/>
        <v>0</v>
      </c>
      <c r="F171" s="20">
        <f t="shared" si="13"/>
        <v>1480.5</v>
      </c>
      <c r="G171" s="24" t="s">
        <v>6626</v>
      </c>
      <c r="H171" s="20">
        <f t="shared" si="11"/>
        <v>0</v>
      </c>
      <c r="I171" s="21">
        <v>60</v>
      </c>
      <c r="J171" s="21">
        <f t="shared" si="14"/>
        <v>0</v>
      </c>
    </row>
    <row r="172" spans="1:10" ht="27.6" x14ac:dyDescent="0.3">
      <c r="A172" s="2" t="s">
        <v>179</v>
      </c>
      <c r="B172" s="1" t="s">
        <v>2152</v>
      </c>
      <c r="C172" s="6" t="s">
        <v>2323</v>
      </c>
      <c r="D172" s="6" t="s">
        <v>4494</v>
      </c>
      <c r="E172" s="20">
        <f t="shared" si="10"/>
        <v>0</v>
      </c>
      <c r="F172" s="20">
        <f t="shared" si="13"/>
        <v>1480.5</v>
      </c>
      <c r="G172" s="24" t="s">
        <v>6627</v>
      </c>
      <c r="H172" s="20">
        <f t="shared" si="11"/>
        <v>0</v>
      </c>
      <c r="I172" s="21">
        <v>60</v>
      </c>
      <c r="J172" s="21">
        <f t="shared" si="14"/>
        <v>0</v>
      </c>
    </row>
    <row r="173" spans="1:10" ht="27.6" x14ac:dyDescent="0.3">
      <c r="A173" s="2" t="s">
        <v>180</v>
      </c>
      <c r="B173" s="1" t="s">
        <v>2152</v>
      </c>
      <c r="C173" s="6" t="s">
        <v>2324</v>
      </c>
      <c r="D173" s="6" t="s">
        <v>4495</v>
      </c>
      <c r="E173" s="20">
        <f t="shared" si="10"/>
        <v>0</v>
      </c>
      <c r="F173" s="20">
        <f t="shared" si="13"/>
        <v>1480.5</v>
      </c>
      <c r="G173" s="24" t="s">
        <v>6628</v>
      </c>
      <c r="H173" s="20">
        <f t="shared" si="11"/>
        <v>0</v>
      </c>
      <c r="I173" s="21">
        <v>60</v>
      </c>
      <c r="J173" s="21">
        <f t="shared" si="14"/>
        <v>0</v>
      </c>
    </row>
    <row r="174" spans="1:10" ht="27.6" x14ac:dyDescent="0.3">
      <c r="A174" s="2" t="s">
        <v>181</v>
      </c>
      <c r="B174" s="1" t="s">
        <v>2152</v>
      </c>
      <c r="C174" s="6" t="s">
        <v>2325</v>
      </c>
      <c r="D174" s="6" t="s">
        <v>4496</v>
      </c>
      <c r="E174" s="20">
        <f t="shared" si="10"/>
        <v>0</v>
      </c>
      <c r="F174" s="20">
        <f t="shared" si="13"/>
        <v>1480.5</v>
      </c>
      <c r="G174" s="24" t="s">
        <v>6629</v>
      </c>
      <c r="H174" s="20">
        <f t="shared" si="11"/>
        <v>0</v>
      </c>
      <c r="I174" s="21">
        <v>60</v>
      </c>
      <c r="J174" s="21">
        <f t="shared" si="14"/>
        <v>0</v>
      </c>
    </row>
    <row r="175" spans="1:10" ht="27.6" x14ac:dyDescent="0.3">
      <c r="A175" s="2" t="s">
        <v>182</v>
      </c>
      <c r="B175" s="1" t="s">
        <v>2152</v>
      </c>
      <c r="C175" s="6" t="s">
        <v>2326</v>
      </c>
      <c r="D175" s="6" t="s">
        <v>4497</v>
      </c>
      <c r="E175" s="20">
        <f t="shared" si="10"/>
        <v>0</v>
      </c>
      <c r="F175" s="20">
        <f t="shared" si="13"/>
        <v>1480.5</v>
      </c>
      <c r="G175" s="24" t="s">
        <v>6630</v>
      </c>
      <c r="H175" s="20">
        <f t="shared" si="11"/>
        <v>0</v>
      </c>
      <c r="I175" s="21">
        <v>60</v>
      </c>
      <c r="J175" s="21">
        <f t="shared" si="14"/>
        <v>0</v>
      </c>
    </row>
    <row r="176" spans="1:10" ht="27.6" x14ac:dyDescent="0.3">
      <c r="A176" s="2" t="s">
        <v>183</v>
      </c>
      <c r="B176" s="1" t="s">
        <v>2152</v>
      </c>
      <c r="C176" s="6" t="s">
        <v>2327</v>
      </c>
      <c r="D176" s="6" t="s">
        <v>4498</v>
      </c>
      <c r="E176" s="20">
        <f t="shared" si="10"/>
        <v>0</v>
      </c>
      <c r="F176" s="20">
        <f t="shared" si="13"/>
        <v>1480.5</v>
      </c>
      <c r="G176" s="24" t="s">
        <v>6631</v>
      </c>
      <c r="H176" s="20">
        <f t="shared" si="11"/>
        <v>0</v>
      </c>
      <c r="I176" s="21">
        <v>60</v>
      </c>
      <c r="J176" s="21">
        <f t="shared" si="14"/>
        <v>0</v>
      </c>
    </row>
    <row r="177" spans="1:10" ht="27.6" x14ac:dyDescent="0.3">
      <c r="A177" s="2" t="s">
        <v>184</v>
      </c>
      <c r="B177" s="1" t="s">
        <v>2152</v>
      </c>
      <c r="C177" s="6" t="s">
        <v>2328</v>
      </c>
      <c r="D177" s="6" t="s">
        <v>4499</v>
      </c>
      <c r="E177" s="20">
        <f t="shared" si="10"/>
        <v>0</v>
      </c>
      <c r="F177" s="20">
        <f t="shared" si="13"/>
        <v>1480.5</v>
      </c>
      <c r="G177" s="24" t="s">
        <v>6632</v>
      </c>
      <c r="H177" s="20">
        <f t="shared" si="11"/>
        <v>0</v>
      </c>
      <c r="I177" s="21">
        <v>60</v>
      </c>
      <c r="J177" s="21">
        <f t="shared" si="14"/>
        <v>0</v>
      </c>
    </row>
    <row r="178" spans="1:10" ht="27.6" x14ac:dyDescent="0.3">
      <c r="A178" s="2" t="s">
        <v>185</v>
      </c>
      <c r="B178" s="1" t="s">
        <v>2152</v>
      </c>
      <c r="C178" s="6" t="s">
        <v>2329</v>
      </c>
      <c r="D178" s="6" t="s">
        <v>4500</v>
      </c>
      <c r="E178" s="20">
        <f t="shared" si="10"/>
        <v>0</v>
      </c>
      <c r="F178" s="20">
        <f t="shared" si="13"/>
        <v>1480.5</v>
      </c>
      <c r="G178" s="24" t="s">
        <v>6633</v>
      </c>
      <c r="H178" s="20">
        <f t="shared" si="11"/>
        <v>0</v>
      </c>
      <c r="I178" s="21">
        <v>60</v>
      </c>
      <c r="J178" s="21">
        <f t="shared" si="14"/>
        <v>0</v>
      </c>
    </row>
    <row r="179" spans="1:10" ht="27.6" x14ac:dyDescent="0.3">
      <c r="A179" s="2" t="s">
        <v>186</v>
      </c>
      <c r="B179" s="1" t="s">
        <v>2152</v>
      </c>
      <c r="C179" s="6" t="s">
        <v>2330</v>
      </c>
      <c r="D179" s="6" t="s">
        <v>4501</v>
      </c>
      <c r="E179" s="20">
        <f t="shared" si="10"/>
        <v>0</v>
      </c>
      <c r="F179" s="20">
        <f t="shared" si="13"/>
        <v>1480.5</v>
      </c>
      <c r="G179" s="24" t="s">
        <v>6634</v>
      </c>
      <c r="H179" s="20">
        <f t="shared" si="11"/>
        <v>0</v>
      </c>
      <c r="I179" s="21">
        <v>60</v>
      </c>
      <c r="J179" s="21">
        <f t="shared" si="14"/>
        <v>0</v>
      </c>
    </row>
    <row r="180" spans="1:10" ht="27.6" x14ac:dyDescent="0.3">
      <c r="A180" s="2" t="s">
        <v>187</v>
      </c>
      <c r="B180" s="1" t="s">
        <v>2152</v>
      </c>
      <c r="C180" s="6" t="s">
        <v>2331</v>
      </c>
      <c r="D180" s="6" t="s">
        <v>4502</v>
      </c>
      <c r="E180" s="20">
        <f t="shared" si="10"/>
        <v>0</v>
      </c>
      <c r="F180" s="20">
        <f t="shared" si="13"/>
        <v>1480.5</v>
      </c>
      <c r="G180" s="24" t="s">
        <v>6635</v>
      </c>
      <c r="H180" s="20">
        <f t="shared" si="11"/>
        <v>0</v>
      </c>
      <c r="I180" s="21">
        <v>60</v>
      </c>
      <c r="J180" s="21">
        <f t="shared" si="14"/>
        <v>0</v>
      </c>
    </row>
    <row r="181" spans="1:10" ht="27.6" x14ac:dyDescent="0.3">
      <c r="A181" s="2" t="s">
        <v>188</v>
      </c>
      <c r="B181" s="1" t="s">
        <v>2152</v>
      </c>
      <c r="C181" s="6" t="s">
        <v>2332</v>
      </c>
      <c r="D181" s="6" t="s">
        <v>4503</v>
      </c>
      <c r="E181" s="20">
        <f t="shared" si="10"/>
        <v>0</v>
      </c>
      <c r="F181" s="20">
        <f t="shared" si="13"/>
        <v>1480.5</v>
      </c>
      <c r="G181" s="24" t="s">
        <v>6636</v>
      </c>
      <c r="H181" s="20">
        <f t="shared" si="11"/>
        <v>0</v>
      </c>
      <c r="I181" s="21">
        <v>60</v>
      </c>
      <c r="J181" s="21">
        <f t="shared" si="14"/>
        <v>0</v>
      </c>
    </row>
    <row r="182" spans="1:10" ht="27.6" x14ac:dyDescent="0.3">
      <c r="A182" s="2" t="s">
        <v>189</v>
      </c>
      <c r="B182" s="1" t="s">
        <v>2152</v>
      </c>
      <c r="C182" s="6" t="s">
        <v>2333</v>
      </c>
      <c r="D182" s="6" t="s">
        <v>4504</v>
      </c>
      <c r="E182" s="20">
        <f t="shared" si="10"/>
        <v>0</v>
      </c>
      <c r="F182" s="20">
        <f t="shared" si="13"/>
        <v>1480.5</v>
      </c>
      <c r="G182" s="24" t="s">
        <v>6637</v>
      </c>
      <c r="H182" s="20">
        <f t="shared" si="11"/>
        <v>0</v>
      </c>
      <c r="I182" s="21">
        <v>60</v>
      </c>
      <c r="J182" s="21">
        <f t="shared" si="14"/>
        <v>0</v>
      </c>
    </row>
    <row r="183" spans="1:10" ht="27.6" x14ac:dyDescent="0.3">
      <c r="A183" s="2" t="s">
        <v>190</v>
      </c>
      <c r="B183" s="1" t="s">
        <v>2152</v>
      </c>
      <c r="C183" s="6" t="s">
        <v>2334</v>
      </c>
      <c r="D183" s="6" t="s">
        <v>4505</v>
      </c>
      <c r="E183" s="20">
        <f t="shared" si="10"/>
        <v>0</v>
      </c>
      <c r="F183" s="20">
        <f t="shared" si="13"/>
        <v>1480.5</v>
      </c>
      <c r="G183" s="24" t="s">
        <v>6638</v>
      </c>
      <c r="H183" s="20">
        <f t="shared" si="11"/>
        <v>0</v>
      </c>
      <c r="I183" s="21">
        <v>60</v>
      </c>
      <c r="J183" s="21">
        <f t="shared" si="14"/>
        <v>0</v>
      </c>
    </row>
    <row r="184" spans="1:10" ht="27.6" x14ac:dyDescent="0.3">
      <c r="A184" s="2" t="s">
        <v>191</v>
      </c>
      <c r="B184" s="1" t="s">
        <v>2152</v>
      </c>
      <c r="C184" s="6" t="s">
        <v>2335</v>
      </c>
      <c r="D184" s="6" t="s">
        <v>4506</v>
      </c>
      <c r="E184" s="20">
        <f t="shared" si="10"/>
        <v>0</v>
      </c>
      <c r="F184" s="20">
        <f t="shared" si="13"/>
        <v>1480.5</v>
      </c>
      <c r="G184" s="24" t="s">
        <v>6639</v>
      </c>
      <c r="H184" s="20">
        <f t="shared" si="11"/>
        <v>0</v>
      </c>
      <c r="I184" s="21">
        <v>60</v>
      </c>
      <c r="J184" s="21">
        <f t="shared" si="14"/>
        <v>0</v>
      </c>
    </row>
    <row r="185" spans="1:10" ht="27.6" x14ac:dyDescent="0.3">
      <c r="A185" s="2" t="s">
        <v>192</v>
      </c>
      <c r="B185" s="1" t="s">
        <v>2152</v>
      </c>
      <c r="C185" s="6" t="s">
        <v>2336</v>
      </c>
      <c r="D185" s="6" t="s">
        <v>4507</v>
      </c>
      <c r="E185" s="20">
        <f t="shared" si="10"/>
        <v>0</v>
      </c>
      <c r="F185" s="20">
        <f t="shared" si="13"/>
        <v>1480.5</v>
      </c>
      <c r="G185" s="24" t="s">
        <v>6640</v>
      </c>
      <c r="H185" s="20">
        <f t="shared" si="11"/>
        <v>0</v>
      </c>
      <c r="I185" s="21">
        <v>60</v>
      </c>
      <c r="J185" s="21">
        <f t="shared" si="14"/>
        <v>0</v>
      </c>
    </row>
    <row r="186" spans="1:10" ht="27.6" x14ac:dyDescent="0.3">
      <c r="A186" s="2" t="s">
        <v>193</v>
      </c>
      <c r="B186" s="1" t="s">
        <v>2152</v>
      </c>
      <c r="C186" s="6" t="s">
        <v>2337</v>
      </c>
      <c r="D186" s="6" t="s">
        <v>4508</v>
      </c>
      <c r="E186" s="20">
        <f t="shared" si="10"/>
        <v>0</v>
      </c>
      <c r="F186" s="20">
        <f t="shared" si="13"/>
        <v>1480.5</v>
      </c>
      <c r="G186" s="24" t="s">
        <v>6641</v>
      </c>
      <c r="H186" s="20">
        <f t="shared" si="11"/>
        <v>0</v>
      </c>
      <c r="I186" s="21">
        <v>60</v>
      </c>
      <c r="J186" s="21">
        <f t="shared" si="14"/>
        <v>0</v>
      </c>
    </row>
    <row r="187" spans="1:10" ht="27.6" x14ac:dyDescent="0.3">
      <c r="A187" s="2" t="s">
        <v>194</v>
      </c>
      <c r="B187" s="1" t="s">
        <v>2152</v>
      </c>
      <c r="C187" s="6" t="s">
        <v>2338</v>
      </c>
      <c r="D187" s="6" t="s">
        <v>4509</v>
      </c>
      <c r="E187" s="20">
        <f t="shared" si="10"/>
        <v>0</v>
      </c>
      <c r="F187" s="20">
        <f t="shared" ref="F187:F227" si="15">35*42.3</f>
        <v>1480.5</v>
      </c>
      <c r="G187" s="24" t="s">
        <v>6642</v>
      </c>
      <c r="H187" s="20">
        <f t="shared" si="11"/>
        <v>0</v>
      </c>
      <c r="I187" s="21">
        <v>60</v>
      </c>
      <c r="J187" s="21">
        <f t="shared" si="14"/>
        <v>0</v>
      </c>
    </row>
    <row r="188" spans="1:10" ht="27.6" x14ac:dyDescent="0.3">
      <c r="A188" s="2" t="s">
        <v>195</v>
      </c>
      <c r="B188" s="1" t="s">
        <v>2152</v>
      </c>
      <c r="C188" s="6" t="s">
        <v>2339</v>
      </c>
      <c r="D188" s="6" t="s">
        <v>4510</v>
      </c>
      <c r="E188" s="20">
        <f t="shared" si="10"/>
        <v>0</v>
      </c>
      <c r="F188" s="20">
        <f t="shared" si="15"/>
        <v>1480.5</v>
      </c>
      <c r="G188" s="24" t="s">
        <v>6643</v>
      </c>
      <c r="H188" s="20">
        <f t="shared" si="11"/>
        <v>0</v>
      </c>
      <c r="I188" s="21">
        <v>60</v>
      </c>
      <c r="J188" s="21">
        <f t="shared" si="14"/>
        <v>0</v>
      </c>
    </row>
    <row r="189" spans="1:10" ht="27.6" x14ac:dyDescent="0.3">
      <c r="A189" s="2" t="s">
        <v>196</v>
      </c>
      <c r="B189" s="1" t="s">
        <v>2152</v>
      </c>
      <c r="C189" s="6" t="s">
        <v>2340</v>
      </c>
      <c r="D189" s="6" t="s">
        <v>4511</v>
      </c>
      <c r="E189" s="20">
        <f t="shared" si="10"/>
        <v>0</v>
      </c>
      <c r="F189" s="20">
        <f t="shared" si="15"/>
        <v>1480.5</v>
      </c>
      <c r="G189" s="24" t="s">
        <v>6644</v>
      </c>
      <c r="H189" s="20">
        <f t="shared" si="11"/>
        <v>0</v>
      </c>
      <c r="I189" s="21">
        <v>60</v>
      </c>
      <c r="J189" s="21">
        <f t="shared" si="14"/>
        <v>0</v>
      </c>
    </row>
    <row r="190" spans="1:10" ht="27.6" x14ac:dyDescent="0.3">
      <c r="A190" s="2" t="s">
        <v>197</v>
      </c>
      <c r="B190" s="1" t="s">
        <v>2152</v>
      </c>
      <c r="C190" s="6" t="s">
        <v>2341</v>
      </c>
      <c r="D190" s="6" t="s">
        <v>4512</v>
      </c>
      <c r="E190" s="20">
        <f t="shared" si="10"/>
        <v>0</v>
      </c>
      <c r="F190" s="20">
        <f t="shared" si="15"/>
        <v>1480.5</v>
      </c>
      <c r="G190" s="24" t="s">
        <v>6645</v>
      </c>
      <c r="H190" s="20">
        <f t="shared" si="11"/>
        <v>0</v>
      </c>
      <c r="I190" s="21">
        <v>60</v>
      </c>
      <c r="J190" s="21">
        <f t="shared" si="14"/>
        <v>0</v>
      </c>
    </row>
    <row r="191" spans="1:10" ht="27.6" x14ac:dyDescent="0.3">
      <c r="A191" s="2" t="s">
        <v>198</v>
      </c>
      <c r="B191" s="1" t="s">
        <v>2152</v>
      </c>
      <c r="C191" s="6" t="s">
        <v>2342</v>
      </c>
      <c r="D191" s="6" t="s">
        <v>4513</v>
      </c>
      <c r="E191" s="20">
        <f t="shared" si="10"/>
        <v>0</v>
      </c>
      <c r="F191" s="20">
        <f t="shared" si="15"/>
        <v>1480.5</v>
      </c>
      <c r="G191" s="24" t="s">
        <v>6646</v>
      </c>
      <c r="H191" s="20">
        <f t="shared" si="11"/>
        <v>0</v>
      </c>
      <c r="I191" s="21">
        <v>60</v>
      </c>
      <c r="J191" s="21">
        <f t="shared" si="14"/>
        <v>0</v>
      </c>
    </row>
    <row r="192" spans="1:10" ht="27.6" x14ac:dyDescent="0.3">
      <c r="A192" s="2" t="s">
        <v>199</v>
      </c>
      <c r="B192" s="1" t="s">
        <v>2152</v>
      </c>
      <c r="C192" s="6" t="s">
        <v>2343</v>
      </c>
      <c r="D192" s="6" t="s">
        <v>4514</v>
      </c>
      <c r="E192" s="20">
        <f t="shared" si="10"/>
        <v>0</v>
      </c>
      <c r="F192" s="20">
        <f t="shared" si="15"/>
        <v>1480.5</v>
      </c>
      <c r="G192" s="24" t="s">
        <v>6647</v>
      </c>
      <c r="H192" s="20">
        <f t="shared" si="11"/>
        <v>0</v>
      </c>
      <c r="I192" s="21">
        <v>60</v>
      </c>
      <c r="J192" s="21">
        <f t="shared" si="14"/>
        <v>0</v>
      </c>
    </row>
    <row r="193" spans="1:10" ht="27.6" x14ac:dyDescent="0.3">
      <c r="A193" s="2" t="s">
        <v>200</v>
      </c>
      <c r="B193" s="1" t="s">
        <v>2152</v>
      </c>
      <c r="C193" s="6" t="s">
        <v>2344</v>
      </c>
      <c r="D193" s="6" t="s">
        <v>4515</v>
      </c>
      <c r="E193" s="20">
        <f t="shared" si="10"/>
        <v>0</v>
      </c>
      <c r="F193" s="20">
        <f t="shared" si="15"/>
        <v>1480.5</v>
      </c>
      <c r="G193" s="24" t="s">
        <v>6648</v>
      </c>
      <c r="H193" s="20">
        <f t="shared" si="11"/>
        <v>0</v>
      </c>
      <c r="I193" s="21">
        <v>60</v>
      </c>
      <c r="J193" s="21">
        <f t="shared" si="14"/>
        <v>0</v>
      </c>
    </row>
    <row r="194" spans="1:10" ht="27.6" x14ac:dyDescent="0.3">
      <c r="A194" s="2" t="s">
        <v>201</v>
      </c>
      <c r="B194" s="1" t="s">
        <v>2152</v>
      </c>
      <c r="C194" s="6" t="s">
        <v>2345</v>
      </c>
      <c r="D194" s="6" t="s">
        <v>4516</v>
      </c>
      <c r="E194" s="20">
        <f t="shared" si="10"/>
        <v>0</v>
      </c>
      <c r="F194" s="20">
        <f t="shared" si="15"/>
        <v>1480.5</v>
      </c>
      <c r="G194" s="24" t="s">
        <v>6649</v>
      </c>
      <c r="H194" s="20">
        <f t="shared" si="11"/>
        <v>0</v>
      </c>
      <c r="I194" s="21">
        <v>60</v>
      </c>
      <c r="J194" s="21">
        <f t="shared" si="14"/>
        <v>0</v>
      </c>
    </row>
    <row r="195" spans="1:10" ht="27.6" x14ac:dyDescent="0.3">
      <c r="A195" s="2" t="s">
        <v>202</v>
      </c>
      <c r="B195" s="1" t="s">
        <v>2152</v>
      </c>
      <c r="C195" s="6" t="s">
        <v>2346</v>
      </c>
      <c r="D195" s="6" t="s">
        <v>4517</v>
      </c>
      <c r="E195" s="20">
        <f t="shared" si="10"/>
        <v>0</v>
      </c>
      <c r="F195" s="20">
        <f t="shared" si="15"/>
        <v>1480.5</v>
      </c>
      <c r="G195" s="24" t="s">
        <v>6650</v>
      </c>
      <c r="H195" s="20">
        <f t="shared" si="11"/>
        <v>0</v>
      </c>
      <c r="I195" s="21">
        <v>60</v>
      </c>
      <c r="J195" s="21">
        <f t="shared" si="14"/>
        <v>0</v>
      </c>
    </row>
    <row r="196" spans="1:10" ht="27.6" x14ac:dyDescent="0.3">
      <c r="A196" s="2" t="s">
        <v>203</v>
      </c>
      <c r="B196" s="1" t="s">
        <v>2152</v>
      </c>
      <c r="C196" s="6" t="s">
        <v>2347</v>
      </c>
      <c r="D196" s="6" t="s">
        <v>4518</v>
      </c>
      <c r="E196" s="20">
        <f t="shared" si="10"/>
        <v>0</v>
      </c>
      <c r="F196" s="20">
        <f t="shared" si="15"/>
        <v>1480.5</v>
      </c>
      <c r="G196" s="24" t="s">
        <v>6651</v>
      </c>
      <c r="H196" s="20">
        <f t="shared" si="11"/>
        <v>0</v>
      </c>
      <c r="I196" s="21">
        <v>60</v>
      </c>
      <c r="J196" s="21">
        <f t="shared" si="14"/>
        <v>0</v>
      </c>
    </row>
    <row r="197" spans="1:10" ht="27.6" x14ac:dyDescent="0.3">
      <c r="A197" s="2" t="s">
        <v>204</v>
      </c>
      <c r="B197" s="1" t="s">
        <v>2152</v>
      </c>
      <c r="C197" s="6" t="s">
        <v>2348</v>
      </c>
      <c r="D197" s="6" t="s">
        <v>4519</v>
      </c>
      <c r="E197" s="20">
        <f t="shared" ref="E197:E410" si="16">H197*1.8*1.4</f>
        <v>0</v>
      </c>
      <c r="F197" s="20">
        <f t="shared" si="15"/>
        <v>1480.5</v>
      </c>
      <c r="G197" s="24" t="s">
        <v>6652</v>
      </c>
      <c r="H197" s="20">
        <f t="shared" ref="H197:H410" si="17">K197*1.8*1.4</f>
        <v>0</v>
      </c>
      <c r="I197" s="21">
        <v>60</v>
      </c>
      <c r="J197" s="21">
        <f t="shared" si="14"/>
        <v>0</v>
      </c>
    </row>
    <row r="198" spans="1:10" ht="27.6" x14ac:dyDescent="0.3">
      <c r="A198" s="2" t="s">
        <v>205</v>
      </c>
      <c r="B198" s="1" t="s">
        <v>2152</v>
      </c>
      <c r="C198" s="6" t="s">
        <v>2349</v>
      </c>
      <c r="D198" s="6" t="s">
        <v>4520</v>
      </c>
      <c r="E198" s="20">
        <f t="shared" si="16"/>
        <v>0</v>
      </c>
      <c r="F198" s="20">
        <f t="shared" si="15"/>
        <v>1480.5</v>
      </c>
      <c r="G198" s="24" t="s">
        <v>6653</v>
      </c>
      <c r="H198" s="20">
        <f t="shared" si="17"/>
        <v>0</v>
      </c>
      <c r="I198" s="21">
        <v>60</v>
      </c>
      <c r="J198" s="21">
        <f t="shared" si="14"/>
        <v>0</v>
      </c>
    </row>
    <row r="199" spans="1:10" ht="27.6" x14ac:dyDescent="0.3">
      <c r="A199" s="2" t="s">
        <v>206</v>
      </c>
      <c r="B199" s="1" t="s">
        <v>2152</v>
      </c>
      <c r="C199" s="6" t="s">
        <v>2350</v>
      </c>
      <c r="D199" s="6" t="s">
        <v>4521</v>
      </c>
      <c r="E199" s="20">
        <f t="shared" si="16"/>
        <v>0</v>
      </c>
      <c r="F199" s="20">
        <f t="shared" si="15"/>
        <v>1480.5</v>
      </c>
      <c r="G199" s="24" t="s">
        <v>6654</v>
      </c>
      <c r="H199" s="20">
        <f t="shared" si="17"/>
        <v>0</v>
      </c>
      <c r="I199" s="21">
        <v>60</v>
      </c>
      <c r="J199" s="21">
        <f t="shared" si="14"/>
        <v>0</v>
      </c>
    </row>
    <row r="200" spans="1:10" ht="27.6" x14ac:dyDescent="0.3">
      <c r="A200" s="2" t="s">
        <v>207</v>
      </c>
      <c r="B200" s="1" t="s">
        <v>2152</v>
      </c>
      <c r="C200" s="6" t="s">
        <v>2351</v>
      </c>
      <c r="D200" s="6" t="s">
        <v>4522</v>
      </c>
      <c r="E200" s="20">
        <f t="shared" si="16"/>
        <v>0</v>
      </c>
      <c r="F200" s="20">
        <f t="shared" si="15"/>
        <v>1480.5</v>
      </c>
      <c r="G200" s="24" t="s">
        <v>6655</v>
      </c>
      <c r="H200" s="20">
        <f t="shared" si="17"/>
        <v>0</v>
      </c>
      <c r="I200" s="21">
        <v>60</v>
      </c>
      <c r="J200" s="21">
        <f t="shared" si="14"/>
        <v>0</v>
      </c>
    </row>
    <row r="201" spans="1:10" ht="27.6" x14ac:dyDescent="0.3">
      <c r="A201" s="2" t="s">
        <v>208</v>
      </c>
      <c r="B201" s="1" t="s">
        <v>2152</v>
      </c>
      <c r="C201" s="6" t="s">
        <v>2352</v>
      </c>
      <c r="D201" s="6" t="s">
        <v>4523</v>
      </c>
      <c r="E201" s="20">
        <f t="shared" si="16"/>
        <v>0</v>
      </c>
      <c r="F201" s="20">
        <f t="shared" si="15"/>
        <v>1480.5</v>
      </c>
      <c r="G201" s="24" t="s">
        <v>6656</v>
      </c>
      <c r="H201" s="20">
        <f t="shared" si="17"/>
        <v>0</v>
      </c>
      <c r="I201" s="21">
        <v>60</v>
      </c>
      <c r="J201" s="21">
        <f t="shared" si="14"/>
        <v>0</v>
      </c>
    </row>
    <row r="202" spans="1:10" ht="27.6" x14ac:dyDescent="0.3">
      <c r="A202" s="2" t="s">
        <v>209</v>
      </c>
      <c r="B202" s="1" t="s">
        <v>2152</v>
      </c>
      <c r="C202" s="6" t="s">
        <v>2353</v>
      </c>
      <c r="D202" s="6" t="s">
        <v>4524</v>
      </c>
      <c r="E202" s="20">
        <f t="shared" si="16"/>
        <v>0</v>
      </c>
      <c r="F202" s="20">
        <f t="shared" si="15"/>
        <v>1480.5</v>
      </c>
      <c r="G202" s="24" t="s">
        <v>6657</v>
      </c>
      <c r="H202" s="20">
        <f t="shared" si="17"/>
        <v>0</v>
      </c>
      <c r="I202" s="21">
        <v>60</v>
      </c>
      <c r="J202" s="21">
        <f t="shared" si="14"/>
        <v>0</v>
      </c>
    </row>
    <row r="203" spans="1:10" ht="27.6" x14ac:dyDescent="0.3">
      <c r="A203" s="2" t="s">
        <v>210</v>
      </c>
      <c r="B203" s="1" t="s">
        <v>2152</v>
      </c>
      <c r="C203" s="6" t="s">
        <v>2354</v>
      </c>
      <c r="D203" s="6" t="s">
        <v>4525</v>
      </c>
      <c r="E203" s="20">
        <f t="shared" si="16"/>
        <v>0</v>
      </c>
      <c r="F203" s="20">
        <f t="shared" si="15"/>
        <v>1480.5</v>
      </c>
      <c r="G203" s="24" t="s">
        <v>6658</v>
      </c>
      <c r="H203" s="20">
        <f t="shared" si="17"/>
        <v>0</v>
      </c>
      <c r="I203" s="21">
        <v>60</v>
      </c>
      <c r="J203" s="21">
        <f t="shared" si="14"/>
        <v>0</v>
      </c>
    </row>
    <row r="204" spans="1:10" ht="27.6" x14ac:dyDescent="0.3">
      <c r="A204" s="2" t="s">
        <v>211</v>
      </c>
      <c r="B204" s="1" t="s">
        <v>2152</v>
      </c>
      <c r="C204" s="6" t="s">
        <v>2355</v>
      </c>
      <c r="D204" s="6" t="s">
        <v>4526</v>
      </c>
      <c r="E204" s="20">
        <f t="shared" si="16"/>
        <v>0</v>
      </c>
      <c r="F204" s="20">
        <f t="shared" si="15"/>
        <v>1480.5</v>
      </c>
      <c r="G204" s="24" t="s">
        <v>6659</v>
      </c>
      <c r="H204" s="20">
        <f t="shared" si="17"/>
        <v>0</v>
      </c>
      <c r="I204" s="21">
        <v>60</v>
      </c>
      <c r="J204" s="21">
        <f t="shared" si="14"/>
        <v>0</v>
      </c>
    </row>
    <row r="205" spans="1:10" ht="27.6" x14ac:dyDescent="0.3">
      <c r="A205" s="2" t="s">
        <v>212</v>
      </c>
      <c r="B205" s="1" t="s">
        <v>2152</v>
      </c>
      <c r="C205" s="6" t="s">
        <v>2356</v>
      </c>
      <c r="D205" s="6" t="s">
        <v>4527</v>
      </c>
      <c r="E205" s="20">
        <f t="shared" si="16"/>
        <v>0</v>
      </c>
      <c r="F205" s="20">
        <f t="shared" si="15"/>
        <v>1480.5</v>
      </c>
      <c r="G205" s="24" t="s">
        <v>6660</v>
      </c>
      <c r="H205" s="20">
        <f t="shared" si="17"/>
        <v>0</v>
      </c>
      <c r="I205" s="21">
        <v>60</v>
      </c>
      <c r="J205" s="21">
        <f t="shared" si="14"/>
        <v>0</v>
      </c>
    </row>
    <row r="206" spans="1:10" ht="27.6" x14ac:dyDescent="0.3">
      <c r="A206" s="2" t="s">
        <v>213</v>
      </c>
      <c r="B206" s="1" t="s">
        <v>2152</v>
      </c>
      <c r="C206" s="6" t="s">
        <v>2357</v>
      </c>
      <c r="D206" s="6" t="s">
        <v>4528</v>
      </c>
      <c r="E206" s="20">
        <f t="shared" si="16"/>
        <v>0</v>
      </c>
      <c r="F206" s="20">
        <f t="shared" si="15"/>
        <v>1480.5</v>
      </c>
      <c r="G206" s="24" t="s">
        <v>6661</v>
      </c>
      <c r="H206" s="20">
        <f t="shared" si="17"/>
        <v>0</v>
      </c>
      <c r="I206" s="21">
        <v>60</v>
      </c>
      <c r="J206" s="21">
        <f t="shared" si="14"/>
        <v>0</v>
      </c>
    </row>
    <row r="207" spans="1:10" ht="27.6" x14ac:dyDescent="0.3">
      <c r="A207" s="2" t="s">
        <v>214</v>
      </c>
      <c r="B207" s="1" t="s">
        <v>2152</v>
      </c>
      <c r="C207" s="6" t="s">
        <v>2358</v>
      </c>
      <c r="D207" s="6" t="s">
        <v>4529</v>
      </c>
      <c r="E207" s="20">
        <f t="shared" si="16"/>
        <v>0</v>
      </c>
      <c r="F207" s="20">
        <f t="shared" si="15"/>
        <v>1480.5</v>
      </c>
      <c r="G207" s="24" t="s">
        <v>6662</v>
      </c>
      <c r="H207" s="20">
        <f t="shared" si="17"/>
        <v>0</v>
      </c>
      <c r="I207" s="21">
        <v>60</v>
      </c>
      <c r="J207" s="21">
        <f t="shared" si="14"/>
        <v>0</v>
      </c>
    </row>
    <row r="208" spans="1:10" ht="27.6" x14ac:dyDescent="0.3">
      <c r="A208" s="2" t="s">
        <v>215</v>
      </c>
      <c r="B208" s="1" t="s">
        <v>2152</v>
      </c>
      <c r="C208" s="6" t="s">
        <v>2359</v>
      </c>
      <c r="D208" s="6" t="s">
        <v>4530</v>
      </c>
      <c r="E208" s="20">
        <f t="shared" si="16"/>
        <v>0</v>
      </c>
      <c r="F208" s="20">
        <f t="shared" si="15"/>
        <v>1480.5</v>
      </c>
      <c r="G208" s="24" t="s">
        <v>6663</v>
      </c>
      <c r="H208" s="20">
        <f t="shared" si="17"/>
        <v>0</v>
      </c>
      <c r="I208" s="21">
        <v>60</v>
      </c>
      <c r="J208" s="21">
        <f t="shared" si="14"/>
        <v>0</v>
      </c>
    </row>
    <row r="209" spans="1:10" ht="27.6" x14ac:dyDescent="0.3">
      <c r="A209" s="2" t="s">
        <v>216</v>
      </c>
      <c r="B209" s="1" t="s">
        <v>2152</v>
      </c>
      <c r="C209" s="6" t="s">
        <v>2360</v>
      </c>
      <c r="D209" s="6" t="s">
        <v>4531</v>
      </c>
      <c r="E209" s="20">
        <f t="shared" si="16"/>
        <v>0</v>
      </c>
      <c r="F209" s="20">
        <f t="shared" si="15"/>
        <v>1480.5</v>
      </c>
      <c r="G209" s="24" t="s">
        <v>6664</v>
      </c>
      <c r="H209" s="20">
        <f t="shared" si="17"/>
        <v>0</v>
      </c>
      <c r="I209" s="21">
        <v>60</v>
      </c>
      <c r="J209" s="21">
        <f t="shared" si="14"/>
        <v>0</v>
      </c>
    </row>
    <row r="210" spans="1:10" ht="27.6" x14ac:dyDescent="0.3">
      <c r="A210" s="2" t="s">
        <v>217</v>
      </c>
      <c r="B210" s="1" t="s">
        <v>2152</v>
      </c>
      <c r="C210" s="6" t="s">
        <v>2361</v>
      </c>
      <c r="D210" s="6" t="s">
        <v>4532</v>
      </c>
      <c r="E210" s="20">
        <f t="shared" si="16"/>
        <v>0</v>
      </c>
      <c r="F210" s="20">
        <f t="shared" si="15"/>
        <v>1480.5</v>
      </c>
      <c r="G210" s="24" t="s">
        <v>6665</v>
      </c>
      <c r="H210" s="20">
        <f t="shared" si="17"/>
        <v>0</v>
      </c>
      <c r="I210" s="21">
        <v>60</v>
      </c>
      <c r="J210" s="21">
        <f t="shared" si="14"/>
        <v>0</v>
      </c>
    </row>
    <row r="211" spans="1:10" ht="27.6" x14ac:dyDescent="0.3">
      <c r="A211" s="2" t="s">
        <v>218</v>
      </c>
      <c r="B211" s="1" t="s">
        <v>2152</v>
      </c>
      <c r="C211" s="6" t="s">
        <v>2362</v>
      </c>
      <c r="D211" s="6" t="s">
        <v>4533</v>
      </c>
      <c r="E211" s="20">
        <f t="shared" si="16"/>
        <v>0</v>
      </c>
      <c r="F211" s="20">
        <f t="shared" si="15"/>
        <v>1480.5</v>
      </c>
      <c r="G211" s="24" t="s">
        <v>6666</v>
      </c>
      <c r="H211" s="20">
        <f t="shared" si="17"/>
        <v>0</v>
      </c>
      <c r="I211" s="21">
        <v>60</v>
      </c>
      <c r="J211" s="21">
        <f t="shared" si="14"/>
        <v>0</v>
      </c>
    </row>
    <row r="212" spans="1:10" ht="27.6" x14ac:dyDescent="0.3">
      <c r="A212" s="2" t="s">
        <v>219</v>
      </c>
      <c r="B212" s="1" t="s">
        <v>2152</v>
      </c>
      <c r="C212" s="6" t="s">
        <v>2363</v>
      </c>
      <c r="D212" s="6" t="s">
        <v>4534</v>
      </c>
      <c r="E212" s="20">
        <f t="shared" si="16"/>
        <v>0</v>
      </c>
      <c r="F212" s="20">
        <f t="shared" si="15"/>
        <v>1480.5</v>
      </c>
      <c r="G212" s="24" t="s">
        <v>6667</v>
      </c>
      <c r="H212" s="20">
        <f t="shared" si="17"/>
        <v>0</v>
      </c>
      <c r="I212" s="21">
        <v>60</v>
      </c>
      <c r="J212" s="21">
        <f t="shared" si="14"/>
        <v>0</v>
      </c>
    </row>
    <row r="213" spans="1:10" ht="27.6" x14ac:dyDescent="0.3">
      <c r="A213" s="2" t="s">
        <v>220</v>
      </c>
      <c r="B213" s="1" t="s">
        <v>2152</v>
      </c>
      <c r="C213" s="6" t="s">
        <v>2364</v>
      </c>
      <c r="D213" s="6" t="s">
        <v>4535</v>
      </c>
      <c r="E213" s="20">
        <f t="shared" si="16"/>
        <v>0</v>
      </c>
      <c r="F213" s="20">
        <f t="shared" si="15"/>
        <v>1480.5</v>
      </c>
      <c r="G213" s="24" t="s">
        <v>6668</v>
      </c>
      <c r="H213" s="20">
        <f t="shared" si="17"/>
        <v>0</v>
      </c>
      <c r="I213" s="21">
        <v>60</v>
      </c>
      <c r="J213" s="21">
        <f t="shared" si="14"/>
        <v>0</v>
      </c>
    </row>
    <row r="214" spans="1:10" ht="27.6" x14ac:dyDescent="0.3">
      <c r="A214" s="2" t="s">
        <v>221</v>
      </c>
      <c r="B214" s="1" t="s">
        <v>2152</v>
      </c>
      <c r="C214" s="6" t="s">
        <v>2365</v>
      </c>
      <c r="D214" s="6" t="s">
        <v>4536</v>
      </c>
      <c r="E214" s="20">
        <f t="shared" si="16"/>
        <v>0</v>
      </c>
      <c r="F214" s="20">
        <f t="shared" si="15"/>
        <v>1480.5</v>
      </c>
      <c r="G214" s="24" t="s">
        <v>6669</v>
      </c>
      <c r="H214" s="20">
        <f t="shared" si="17"/>
        <v>0</v>
      </c>
      <c r="I214" s="21">
        <v>60</v>
      </c>
      <c r="J214" s="21">
        <f t="shared" si="14"/>
        <v>0</v>
      </c>
    </row>
    <row r="215" spans="1:10" ht="27.6" x14ac:dyDescent="0.3">
      <c r="A215" s="2" t="s">
        <v>222</v>
      </c>
      <c r="B215" s="1" t="s">
        <v>2152</v>
      </c>
      <c r="C215" s="6" t="s">
        <v>2366</v>
      </c>
      <c r="D215" s="6" t="s">
        <v>4537</v>
      </c>
      <c r="E215" s="20">
        <f t="shared" si="16"/>
        <v>0</v>
      </c>
      <c r="F215" s="20">
        <f t="shared" si="15"/>
        <v>1480.5</v>
      </c>
      <c r="G215" s="24" t="s">
        <v>6670</v>
      </c>
      <c r="H215" s="20">
        <f t="shared" si="17"/>
        <v>0</v>
      </c>
      <c r="I215" s="21">
        <v>60</v>
      </c>
      <c r="J215" s="21">
        <f t="shared" si="14"/>
        <v>0</v>
      </c>
    </row>
    <row r="216" spans="1:10" ht="27.6" x14ac:dyDescent="0.3">
      <c r="A216" s="2" t="s">
        <v>223</v>
      </c>
      <c r="B216" s="1" t="s">
        <v>2152</v>
      </c>
      <c r="C216" s="6" t="s">
        <v>2367</v>
      </c>
      <c r="D216" s="6" t="s">
        <v>4538</v>
      </c>
      <c r="E216" s="20">
        <f t="shared" si="16"/>
        <v>0</v>
      </c>
      <c r="F216" s="20">
        <f t="shared" si="15"/>
        <v>1480.5</v>
      </c>
      <c r="G216" s="24" t="s">
        <v>6671</v>
      </c>
      <c r="H216" s="20">
        <f t="shared" si="17"/>
        <v>0</v>
      </c>
      <c r="I216" s="21">
        <v>60</v>
      </c>
      <c r="J216" s="21">
        <f t="shared" si="14"/>
        <v>0</v>
      </c>
    </row>
    <row r="217" spans="1:10" ht="27.6" x14ac:dyDescent="0.3">
      <c r="A217" s="2" t="s">
        <v>224</v>
      </c>
      <c r="B217" s="1" t="s">
        <v>2152</v>
      </c>
      <c r="C217" s="6" t="s">
        <v>2368</v>
      </c>
      <c r="D217" s="6" t="s">
        <v>4539</v>
      </c>
      <c r="E217" s="20">
        <f t="shared" si="16"/>
        <v>0</v>
      </c>
      <c r="F217" s="20">
        <f t="shared" si="15"/>
        <v>1480.5</v>
      </c>
      <c r="G217" s="24" t="s">
        <v>6672</v>
      </c>
      <c r="H217" s="20">
        <f t="shared" si="17"/>
        <v>0</v>
      </c>
      <c r="I217" s="21">
        <v>60</v>
      </c>
      <c r="J217" s="21">
        <f t="shared" si="14"/>
        <v>0</v>
      </c>
    </row>
    <row r="218" spans="1:10" ht="27.6" x14ac:dyDescent="0.3">
      <c r="A218" s="2" t="s">
        <v>225</v>
      </c>
      <c r="B218" s="1" t="s">
        <v>2152</v>
      </c>
      <c r="C218" s="6" t="s">
        <v>2369</v>
      </c>
      <c r="D218" s="6" t="s">
        <v>4540</v>
      </c>
      <c r="E218" s="20">
        <f t="shared" si="16"/>
        <v>0</v>
      </c>
      <c r="F218" s="20">
        <f t="shared" si="15"/>
        <v>1480.5</v>
      </c>
      <c r="G218" s="24" t="s">
        <v>6673</v>
      </c>
      <c r="H218" s="20">
        <f t="shared" si="17"/>
        <v>0</v>
      </c>
      <c r="I218" s="21">
        <v>60</v>
      </c>
      <c r="J218" s="21">
        <f t="shared" si="14"/>
        <v>0</v>
      </c>
    </row>
    <row r="219" spans="1:10" ht="27.6" x14ac:dyDescent="0.3">
      <c r="A219" s="2" t="s">
        <v>226</v>
      </c>
      <c r="B219" s="1" t="s">
        <v>2152</v>
      </c>
      <c r="C219" s="6" t="s">
        <v>2370</v>
      </c>
      <c r="D219" s="6" t="s">
        <v>4541</v>
      </c>
      <c r="E219" s="20">
        <f t="shared" si="16"/>
        <v>0</v>
      </c>
      <c r="F219" s="20">
        <f t="shared" si="15"/>
        <v>1480.5</v>
      </c>
      <c r="G219" s="24" t="s">
        <v>6674</v>
      </c>
      <c r="H219" s="20">
        <f t="shared" si="17"/>
        <v>0</v>
      </c>
      <c r="I219" s="21">
        <v>60</v>
      </c>
      <c r="J219" s="21">
        <f t="shared" si="14"/>
        <v>0</v>
      </c>
    </row>
    <row r="220" spans="1:10" ht="27.6" x14ac:dyDescent="0.3">
      <c r="A220" s="2" t="s">
        <v>227</v>
      </c>
      <c r="B220" s="1" t="s">
        <v>2152</v>
      </c>
      <c r="C220" s="6" t="s">
        <v>2371</v>
      </c>
      <c r="D220" s="6" t="s">
        <v>4542</v>
      </c>
      <c r="E220" s="20">
        <f t="shared" si="16"/>
        <v>0</v>
      </c>
      <c r="F220" s="20">
        <f t="shared" si="15"/>
        <v>1480.5</v>
      </c>
      <c r="G220" s="24" t="s">
        <v>6675</v>
      </c>
      <c r="H220" s="20">
        <f t="shared" si="17"/>
        <v>0</v>
      </c>
      <c r="I220" s="21">
        <v>60</v>
      </c>
      <c r="J220" s="21">
        <f t="shared" ref="J220:J229" si="18">X220</f>
        <v>0</v>
      </c>
    </row>
    <row r="221" spans="1:10" ht="27.6" x14ac:dyDescent="0.3">
      <c r="A221" s="2" t="s">
        <v>228</v>
      </c>
      <c r="B221" s="1" t="s">
        <v>2152</v>
      </c>
      <c r="C221" s="6" t="s">
        <v>2372</v>
      </c>
      <c r="D221" s="6" t="s">
        <v>4543</v>
      </c>
      <c r="E221" s="20">
        <f t="shared" si="16"/>
        <v>0</v>
      </c>
      <c r="F221" s="20">
        <f t="shared" si="15"/>
        <v>1480.5</v>
      </c>
      <c r="G221" s="24" t="s">
        <v>6676</v>
      </c>
      <c r="H221" s="20">
        <f t="shared" si="17"/>
        <v>0</v>
      </c>
      <c r="I221" s="21">
        <v>60</v>
      </c>
      <c r="J221" s="21">
        <f t="shared" si="18"/>
        <v>0</v>
      </c>
    </row>
    <row r="222" spans="1:10" ht="27.6" x14ac:dyDescent="0.3">
      <c r="A222" s="2" t="s">
        <v>229</v>
      </c>
      <c r="B222" s="1" t="s">
        <v>2152</v>
      </c>
      <c r="C222" s="6" t="s">
        <v>2373</v>
      </c>
      <c r="D222" s="6" t="s">
        <v>4544</v>
      </c>
      <c r="E222" s="20">
        <f t="shared" si="16"/>
        <v>0</v>
      </c>
      <c r="F222" s="20">
        <f t="shared" si="15"/>
        <v>1480.5</v>
      </c>
      <c r="G222" s="24" t="s">
        <v>6677</v>
      </c>
      <c r="H222" s="20">
        <f t="shared" si="17"/>
        <v>0</v>
      </c>
      <c r="I222" s="21">
        <v>60</v>
      </c>
      <c r="J222" s="21">
        <f t="shared" si="18"/>
        <v>0</v>
      </c>
    </row>
    <row r="223" spans="1:10" ht="27.6" x14ac:dyDescent="0.3">
      <c r="A223" s="2" t="s">
        <v>230</v>
      </c>
      <c r="B223" s="1" t="s">
        <v>2152</v>
      </c>
      <c r="C223" s="6" t="s">
        <v>2374</v>
      </c>
      <c r="D223" s="6" t="s">
        <v>4545</v>
      </c>
      <c r="E223" s="20">
        <f t="shared" si="16"/>
        <v>0</v>
      </c>
      <c r="F223" s="20">
        <f t="shared" si="15"/>
        <v>1480.5</v>
      </c>
      <c r="G223" s="24" t="s">
        <v>6678</v>
      </c>
      <c r="H223" s="20">
        <f t="shared" si="17"/>
        <v>0</v>
      </c>
      <c r="I223" s="21">
        <v>60</v>
      </c>
      <c r="J223" s="21">
        <f t="shared" si="18"/>
        <v>0</v>
      </c>
    </row>
    <row r="224" spans="1:10" ht="27.6" x14ac:dyDescent="0.3">
      <c r="A224" s="2" t="s">
        <v>231</v>
      </c>
      <c r="B224" s="1" t="s">
        <v>2152</v>
      </c>
      <c r="C224" s="6" t="s">
        <v>2375</v>
      </c>
      <c r="D224" s="6" t="s">
        <v>4546</v>
      </c>
      <c r="E224" s="20">
        <f t="shared" si="16"/>
        <v>0</v>
      </c>
      <c r="F224" s="20">
        <f t="shared" si="15"/>
        <v>1480.5</v>
      </c>
      <c r="G224" s="24" t="s">
        <v>6679</v>
      </c>
      <c r="H224" s="20">
        <f t="shared" si="17"/>
        <v>0</v>
      </c>
      <c r="I224" s="21">
        <v>60</v>
      </c>
      <c r="J224" s="21">
        <f t="shared" si="18"/>
        <v>0</v>
      </c>
    </row>
    <row r="225" spans="1:10" ht="27.6" x14ac:dyDescent="0.3">
      <c r="A225" s="2" t="s">
        <v>232</v>
      </c>
      <c r="B225" s="1" t="s">
        <v>2152</v>
      </c>
      <c r="C225" s="6" t="s">
        <v>2376</v>
      </c>
      <c r="D225" s="6" t="s">
        <v>4547</v>
      </c>
      <c r="E225" s="20">
        <f t="shared" si="16"/>
        <v>0</v>
      </c>
      <c r="F225" s="20">
        <f t="shared" si="15"/>
        <v>1480.5</v>
      </c>
      <c r="G225" s="24" t="s">
        <v>6680</v>
      </c>
      <c r="H225" s="20">
        <f t="shared" si="17"/>
        <v>0</v>
      </c>
      <c r="I225" s="21">
        <v>60</v>
      </c>
      <c r="J225" s="21">
        <f t="shared" si="18"/>
        <v>0</v>
      </c>
    </row>
    <row r="226" spans="1:10" ht="27.6" x14ac:dyDescent="0.3">
      <c r="A226" s="2" t="s">
        <v>233</v>
      </c>
      <c r="B226" s="1" t="s">
        <v>2152</v>
      </c>
      <c r="C226" s="6" t="s">
        <v>2377</v>
      </c>
      <c r="D226" s="6" t="s">
        <v>4548</v>
      </c>
      <c r="E226" s="20">
        <f t="shared" si="16"/>
        <v>0</v>
      </c>
      <c r="F226" s="20">
        <f t="shared" si="15"/>
        <v>1480.5</v>
      </c>
      <c r="G226" s="24" t="s">
        <v>6681</v>
      </c>
      <c r="H226" s="20">
        <f t="shared" si="17"/>
        <v>0</v>
      </c>
      <c r="I226" s="21">
        <v>60</v>
      </c>
      <c r="J226" s="21">
        <f t="shared" si="18"/>
        <v>0</v>
      </c>
    </row>
    <row r="227" spans="1:10" ht="27.6" x14ac:dyDescent="0.3">
      <c r="A227" s="2" t="s">
        <v>234</v>
      </c>
      <c r="B227" s="1" t="s">
        <v>2152</v>
      </c>
      <c r="C227" s="6" t="s">
        <v>2378</v>
      </c>
      <c r="D227" s="6" t="s">
        <v>4549</v>
      </c>
      <c r="E227" s="20">
        <f t="shared" si="16"/>
        <v>0</v>
      </c>
      <c r="F227" s="20">
        <f t="shared" si="15"/>
        <v>1480.5</v>
      </c>
      <c r="G227" s="24" t="s">
        <v>6682</v>
      </c>
      <c r="H227" s="20">
        <f t="shared" si="17"/>
        <v>0</v>
      </c>
      <c r="I227" s="21">
        <v>60</v>
      </c>
      <c r="J227" s="21">
        <f t="shared" si="18"/>
        <v>0</v>
      </c>
    </row>
    <row r="228" spans="1:10" x14ac:dyDescent="0.3">
      <c r="A228" s="2" t="s">
        <v>235</v>
      </c>
      <c r="B228" s="1" t="s">
        <v>2152</v>
      </c>
      <c r="C228" s="6" t="s">
        <v>2379</v>
      </c>
      <c r="D228" s="6" t="s">
        <v>4550</v>
      </c>
      <c r="E228" s="20">
        <f t="shared" si="16"/>
        <v>0</v>
      </c>
      <c r="F228" s="20">
        <f>17.5*42.3</f>
        <v>740.25</v>
      </c>
      <c r="G228" s="24" t="s">
        <v>6683</v>
      </c>
      <c r="H228" s="20">
        <f t="shared" si="17"/>
        <v>0</v>
      </c>
      <c r="I228" s="21">
        <v>30</v>
      </c>
      <c r="J228" s="21">
        <f t="shared" si="18"/>
        <v>0</v>
      </c>
    </row>
    <row r="229" spans="1:10" x14ac:dyDescent="0.3">
      <c r="A229" s="2" t="s">
        <v>236</v>
      </c>
      <c r="B229" s="1" t="s">
        <v>2152</v>
      </c>
      <c r="C229" s="6" t="s">
        <v>2380</v>
      </c>
      <c r="D229" s="6" t="s">
        <v>4551</v>
      </c>
      <c r="E229" s="20">
        <f t="shared" si="16"/>
        <v>0</v>
      </c>
      <c r="F229" s="20">
        <f>17.5*42.3</f>
        <v>740.25</v>
      </c>
      <c r="G229" s="24" t="s">
        <v>6684</v>
      </c>
      <c r="H229" s="20">
        <f t="shared" si="17"/>
        <v>0</v>
      </c>
      <c r="I229" s="21">
        <v>30</v>
      </c>
      <c r="J229" s="21">
        <f t="shared" si="18"/>
        <v>0</v>
      </c>
    </row>
    <row r="230" spans="1:10" ht="27.6" x14ac:dyDescent="0.3">
      <c r="A230" s="2" t="s">
        <v>237</v>
      </c>
      <c r="B230" s="1" t="s">
        <v>2152</v>
      </c>
      <c r="C230" s="6" t="s">
        <v>2381</v>
      </c>
      <c r="D230" s="6" t="s">
        <v>4552</v>
      </c>
      <c r="E230" s="20">
        <f t="shared" si="16"/>
        <v>0</v>
      </c>
      <c r="F230" s="20">
        <f>35*42.3</f>
        <v>1480.5</v>
      </c>
      <c r="G230" s="24" t="s">
        <v>6685</v>
      </c>
      <c r="H230" s="20">
        <f t="shared" si="17"/>
        <v>0</v>
      </c>
      <c r="I230" s="21">
        <v>60</v>
      </c>
      <c r="J230" s="21">
        <f>X230</f>
        <v>0</v>
      </c>
    </row>
    <row r="231" spans="1:10" ht="27.6" x14ac:dyDescent="0.3">
      <c r="A231" s="2" t="s">
        <v>238</v>
      </c>
      <c r="B231" s="1" t="s">
        <v>2152</v>
      </c>
      <c r="C231" s="6" t="s">
        <v>2382</v>
      </c>
      <c r="D231" s="6" t="s">
        <v>4553</v>
      </c>
      <c r="E231" s="20">
        <f t="shared" si="16"/>
        <v>0</v>
      </c>
      <c r="F231" s="20">
        <v>2072</v>
      </c>
      <c r="G231" s="24" t="s">
        <v>6686</v>
      </c>
      <c r="H231" s="20">
        <f t="shared" si="17"/>
        <v>0</v>
      </c>
      <c r="I231" s="21">
        <v>54</v>
      </c>
      <c r="J231" s="21">
        <f t="shared" ref="J231:J294" si="19">X231</f>
        <v>0</v>
      </c>
    </row>
    <row r="232" spans="1:10" ht="27.6" x14ac:dyDescent="0.3">
      <c r="A232" s="2" t="s">
        <v>239</v>
      </c>
      <c r="B232" s="1" t="s">
        <v>2152</v>
      </c>
      <c r="C232" s="6" t="s">
        <v>2383</v>
      </c>
      <c r="D232" s="6" t="s">
        <v>4554</v>
      </c>
      <c r="E232" s="20">
        <f t="shared" si="16"/>
        <v>0</v>
      </c>
      <c r="F232" s="20">
        <v>2072</v>
      </c>
      <c r="G232" s="24" t="s">
        <v>6687</v>
      </c>
      <c r="H232" s="20">
        <f t="shared" si="17"/>
        <v>0</v>
      </c>
      <c r="I232" s="21">
        <v>54</v>
      </c>
      <c r="J232" s="21">
        <f t="shared" si="19"/>
        <v>0</v>
      </c>
    </row>
    <row r="233" spans="1:10" ht="27.6" x14ac:dyDescent="0.3">
      <c r="A233" s="2" t="s">
        <v>240</v>
      </c>
      <c r="B233" s="1" t="s">
        <v>2152</v>
      </c>
      <c r="C233" s="6" t="s">
        <v>2384</v>
      </c>
      <c r="D233" s="6" t="s">
        <v>4555</v>
      </c>
      <c r="E233" s="20">
        <f t="shared" si="16"/>
        <v>0</v>
      </c>
      <c r="F233" s="20">
        <v>2072</v>
      </c>
      <c r="G233" s="24" t="s">
        <v>6688</v>
      </c>
      <c r="H233" s="20">
        <f t="shared" si="17"/>
        <v>0</v>
      </c>
      <c r="I233" s="21">
        <v>54</v>
      </c>
      <c r="J233" s="21">
        <f t="shared" si="19"/>
        <v>0</v>
      </c>
    </row>
    <row r="234" spans="1:10" ht="27.6" x14ac:dyDescent="0.3">
      <c r="A234" s="2" t="s">
        <v>241</v>
      </c>
      <c r="B234" s="1" t="s">
        <v>2152</v>
      </c>
      <c r="C234" s="6" t="s">
        <v>2385</v>
      </c>
      <c r="D234" s="6" t="s">
        <v>4556</v>
      </c>
      <c r="E234" s="20">
        <f t="shared" si="16"/>
        <v>0</v>
      </c>
      <c r="F234" s="20">
        <v>2072</v>
      </c>
      <c r="G234" s="24" t="s">
        <v>6689</v>
      </c>
      <c r="H234" s="20">
        <f t="shared" si="17"/>
        <v>0</v>
      </c>
      <c r="I234" s="21">
        <v>54</v>
      </c>
      <c r="J234" s="21">
        <f t="shared" si="19"/>
        <v>0</v>
      </c>
    </row>
    <row r="235" spans="1:10" ht="27.6" x14ac:dyDescent="0.3">
      <c r="A235" s="2" t="s">
        <v>242</v>
      </c>
      <c r="B235" s="1" t="s">
        <v>2152</v>
      </c>
      <c r="C235" s="6" t="s">
        <v>2386</v>
      </c>
      <c r="D235" s="6" t="s">
        <v>4557</v>
      </c>
      <c r="E235" s="20">
        <f t="shared" si="16"/>
        <v>0</v>
      </c>
      <c r="F235" s="20">
        <v>2072</v>
      </c>
      <c r="G235" s="24" t="s">
        <v>6690</v>
      </c>
      <c r="H235" s="20">
        <f t="shared" si="17"/>
        <v>0</v>
      </c>
      <c r="I235" s="21">
        <v>54</v>
      </c>
      <c r="J235" s="21">
        <f t="shared" si="19"/>
        <v>0</v>
      </c>
    </row>
    <row r="236" spans="1:10" ht="27.6" x14ac:dyDescent="0.3">
      <c r="A236" s="2" t="s">
        <v>243</v>
      </c>
      <c r="B236" s="1" t="s">
        <v>2152</v>
      </c>
      <c r="C236" s="6" t="s">
        <v>2387</v>
      </c>
      <c r="D236" s="6" t="s">
        <v>4558</v>
      </c>
      <c r="E236" s="20">
        <f t="shared" si="16"/>
        <v>0</v>
      </c>
      <c r="F236" s="20">
        <v>2072</v>
      </c>
      <c r="G236" s="24" t="s">
        <v>6691</v>
      </c>
      <c r="H236" s="20">
        <f t="shared" si="17"/>
        <v>0</v>
      </c>
      <c r="I236" s="21">
        <v>54</v>
      </c>
      <c r="J236" s="21">
        <f t="shared" si="19"/>
        <v>0</v>
      </c>
    </row>
    <row r="237" spans="1:10" ht="27.6" x14ac:dyDescent="0.3">
      <c r="A237" s="2" t="s">
        <v>244</v>
      </c>
      <c r="B237" s="1" t="s">
        <v>2152</v>
      </c>
      <c r="C237" s="6" t="s">
        <v>2388</v>
      </c>
      <c r="D237" s="6" t="s">
        <v>4559</v>
      </c>
      <c r="E237" s="20">
        <f t="shared" si="16"/>
        <v>0</v>
      </c>
      <c r="F237" s="20">
        <v>2072</v>
      </c>
      <c r="G237" s="24" t="s">
        <v>6692</v>
      </c>
      <c r="H237" s="20">
        <f t="shared" si="17"/>
        <v>0</v>
      </c>
      <c r="I237" s="21">
        <v>54</v>
      </c>
      <c r="J237" s="21">
        <f t="shared" si="19"/>
        <v>0</v>
      </c>
    </row>
    <row r="238" spans="1:10" ht="27.6" x14ac:dyDescent="0.3">
      <c r="A238" s="2" t="s">
        <v>245</v>
      </c>
      <c r="B238" s="1" t="s">
        <v>2152</v>
      </c>
      <c r="C238" s="6" t="s">
        <v>2389</v>
      </c>
      <c r="D238" s="6" t="s">
        <v>4560</v>
      </c>
      <c r="E238" s="20">
        <f t="shared" si="16"/>
        <v>0</v>
      </c>
      <c r="F238" s="20">
        <v>2072</v>
      </c>
      <c r="G238" s="24" t="s">
        <v>6693</v>
      </c>
      <c r="H238" s="20">
        <f t="shared" si="17"/>
        <v>0</v>
      </c>
      <c r="I238" s="21">
        <v>54</v>
      </c>
      <c r="J238" s="21">
        <f t="shared" si="19"/>
        <v>0</v>
      </c>
    </row>
    <row r="239" spans="1:10" ht="27.6" x14ac:dyDescent="0.3">
      <c r="A239" s="2" t="s">
        <v>246</v>
      </c>
      <c r="B239" s="1" t="s">
        <v>2152</v>
      </c>
      <c r="C239" s="6" t="s">
        <v>2390</v>
      </c>
      <c r="D239" s="6" t="s">
        <v>4561</v>
      </c>
      <c r="E239" s="20">
        <f t="shared" si="16"/>
        <v>0</v>
      </c>
      <c r="F239" s="20">
        <v>2072</v>
      </c>
      <c r="G239" s="24" t="s">
        <v>6694</v>
      </c>
      <c r="H239" s="20">
        <f t="shared" si="17"/>
        <v>0</v>
      </c>
      <c r="I239" s="21">
        <v>54</v>
      </c>
      <c r="J239" s="21">
        <f t="shared" si="19"/>
        <v>0</v>
      </c>
    </row>
    <row r="240" spans="1:10" ht="27.6" x14ac:dyDescent="0.3">
      <c r="A240" s="2" t="s">
        <v>247</v>
      </c>
      <c r="B240" s="1" t="s">
        <v>2152</v>
      </c>
      <c r="C240" s="6" t="s">
        <v>2391</v>
      </c>
      <c r="D240" s="6" t="s">
        <v>4562</v>
      </c>
      <c r="E240" s="20">
        <f t="shared" si="16"/>
        <v>0</v>
      </c>
      <c r="F240" s="20">
        <v>2072</v>
      </c>
      <c r="G240" s="24" t="s">
        <v>6695</v>
      </c>
      <c r="H240" s="20">
        <f t="shared" si="17"/>
        <v>0</v>
      </c>
      <c r="I240" s="21">
        <v>54</v>
      </c>
      <c r="J240" s="21">
        <f t="shared" si="19"/>
        <v>0</v>
      </c>
    </row>
    <row r="241" spans="1:10" ht="27.6" x14ac:dyDescent="0.3">
      <c r="A241" s="2" t="s">
        <v>248</v>
      </c>
      <c r="B241" s="1" t="s">
        <v>2152</v>
      </c>
      <c r="C241" s="6" t="s">
        <v>2392</v>
      </c>
      <c r="D241" s="6" t="s">
        <v>4563</v>
      </c>
      <c r="E241" s="20">
        <f t="shared" si="16"/>
        <v>0</v>
      </c>
      <c r="F241" s="20">
        <v>2072</v>
      </c>
      <c r="G241" s="24" t="s">
        <v>6696</v>
      </c>
      <c r="H241" s="20">
        <f t="shared" si="17"/>
        <v>0</v>
      </c>
      <c r="I241" s="21">
        <v>54</v>
      </c>
      <c r="J241" s="21">
        <f t="shared" si="19"/>
        <v>0</v>
      </c>
    </row>
    <row r="242" spans="1:10" ht="27.6" x14ac:dyDescent="0.3">
      <c r="A242" s="2" t="s">
        <v>249</v>
      </c>
      <c r="B242" s="1" t="s">
        <v>2152</v>
      </c>
      <c r="C242" s="6" t="s">
        <v>2393</v>
      </c>
      <c r="D242" s="6" t="s">
        <v>4564</v>
      </c>
      <c r="E242" s="20">
        <f t="shared" si="16"/>
        <v>0</v>
      </c>
      <c r="F242" s="20">
        <v>2072</v>
      </c>
      <c r="G242" s="24" t="s">
        <v>6697</v>
      </c>
      <c r="H242" s="20">
        <f t="shared" si="17"/>
        <v>0</v>
      </c>
      <c r="I242" s="21">
        <v>54</v>
      </c>
      <c r="J242" s="21">
        <f t="shared" si="19"/>
        <v>0</v>
      </c>
    </row>
    <row r="243" spans="1:10" ht="27.6" x14ac:dyDescent="0.3">
      <c r="A243" s="2" t="s">
        <v>250</v>
      </c>
      <c r="B243" s="1" t="s">
        <v>2152</v>
      </c>
      <c r="C243" s="6" t="s">
        <v>2394</v>
      </c>
      <c r="D243" s="6" t="s">
        <v>4565</v>
      </c>
      <c r="E243" s="20">
        <f t="shared" si="16"/>
        <v>0</v>
      </c>
      <c r="F243" s="20">
        <v>2072</v>
      </c>
      <c r="G243" s="24" t="s">
        <v>6698</v>
      </c>
      <c r="H243" s="20">
        <f t="shared" si="17"/>
        <v>0</v>
      </c>
      <c r="I243" s="21">
        <v>54</v>
      </c>
      <c r="J243" s="21">
        <f t="shared" si="19"/>
        <v>0</v>
      </c>
    </row>
    <row r="244" spans="1:10" ht="27.6" x14ac:dyDescent="0.3">
      <c r="A244" s="2" t="s">
        <v>251</v>
      </c>
      <c r="B244" s="1" t="s">
        <v>2152</v>
      </c>
      <c r="C244" s="6" t="s">
        <v>2395</v>
      </c>
      <c r="D244" s="6" t="s">
        <v>4566</v>
      </c>
      <c r="E244" s="20">
        <f t="shared" si="16"/>
        <v>0</v>
      </c>
      <c r="F244" s="20">
        <v>2072</v>
      </c>
      <c r="G244" s="24" t="s">
        <v>6699</v>
      </c>
      <c r="H244" s="20">
        <f t="shared" si="17"/>
        <v>0</v>
      </c>
      <c r="I244" s="21">
        <v>54</v>
      </c>
      <c r="J244" s="21">
        <f t="shared" si="19"/>
        <v>0</v>
      </c>
    </row>
    <row r="245" spans="1:10" ht="27.6" x14ac:dyDescent="0.3">
      <c r="A245" s="2" t="s">
        <v>252</v>
      </c>
      <c r="B245" s="1" t="s">
        <v>2152</v>
      </c>
      <c r="C245" s="6" t="s">
        <v>2396</v>
      </c>
      <c r="D245" s="6" t="s">
        <v>4567</v>
      </c>
      <c r="E245" s="20">
        <f t="shared" si="16"/>
        <v>0</v>
      </c>
      <c r="F245" s="20">
        <v>2072</v>
      </c>
      <c r="G245" s="24" t="s">
        <v>6700</v>
      </c>
      <c r="H245" s="20">
        <f t="shared" si="17"/>
        <v>0</v>
      </c>
      <c r="I245" s="21">
        <v>54</v>
      </c>
      <c r="J245" s="21">
        <f t="shared" si="19"/>
        <v>0</v>
      </c>
    </row>
    <row r="246" spans="1:10" ht="27.6" x14ac:dyDescent="0.3">
      <c r="A246" s="2" t="s">
        <v>253</v>
      </c>
      <c r="B246" s="1" t="s">
        <v>2152</v>
      </c>
      <c r="C246" s="6" t="s">
        <v>2397</v>
      </c>
      <c r="D246" s="6" t="s">
        <v>4568</v>
      </c>
      <c r="E246" s="20">
        <f t="shared" si="16"/>
        <v>0</v>
      </c>
      <c r="F246" s="20">
        <v>2072</v>
      </c>
      <c r="G246" s="24" t="s">
        <v>6701</v>
      </c>
      <c r="H246" s="20">
        <f t="shared" si="17"/>
        <v>0</v>
      </c>
      <c r="I246" s="21">
        <v>54</v>
      </c>
      <c r="J246" s="21">
        <f t="shared" si="19"/>
        <v>0</v>
      </c>
    </row>
    <row r="247" spans="1:10" ht="27.6" x14ac:dyDescent="0.3">
      <c r="A247" s="2" t="s">
        <v>254</v>
      </c>
      <c r="B247" s="1" t="s">
        <v>2152</v>
      </c>
      <c r="C247" s="6" t="s">
        <v>2398</v>
      </c>
      <c r="D247" s="6" t="s">
        <v>4569</v>
      </c>
      <c r="E247" s="20">
        <f t="shared" si="16"/>
        <v>0</v>
      </c>
      <c r="F247" s="20">
        <v>2072</v>
      </c>
      <c r="G247" s="24" t="s">
        <v>6702</v>
      </c>
      <c r="H247" s="20">
        <f t="shared" si="17"/>
        <v>0</v>
      </c>
      <c r="I247" s="21">
        <v>54</v>
      </c>
      <c r="J247" s="21">
        <f t="shared" si="19"/>
        <v>0</v>
      </c>
    </row>
    <row r="248" spans="1:10" ht="27.6" x14ac:dyDescent="0.3">
      <c r="A248" s="2" t="s">
        <v>255</v>
      </c>
      <c r="B248" s="1" t="s">
        <v>2152</v>
      </c>
      <c r="C248" s="6" t="s">
        <v>2399</v>
      </c>
      <c r="D248" s="6" t="s">
        <v>4570</v>
      </c>
      <c r="E248" s="20">
        <f t="shared" si="16"/>
        <v>0</v>
      </c>
      <c r="F248" s="20">
        <v>2072</v>
      </c>
      <c r="G248" s="24" t="s">
        <v>6703</v>
      </c>
      <c r="H248" s="20">
        <f t="shared" si="17"/>
        <v>0</v>
      </c>
      <c r="I248" s="21">
        <v>54</v>
      </c>
      <c r="J248" s="21">
        <f t="shared" si="19"/>
        <v>0</v>
      </c>
    </row>
    <row r="249" spans="1:10" ht="27.6" x14ac:dyDescent="0.3">
      <c r="A249" s="2" t="s">
        <v>256</v>
      </c>
      <c r="B249" s="1" t="s">
        <v>2152</v>
      </c>
      <c r="C249" s="6" t="s">
        <v>2400</v>
      </c>
      <c r="D249" s="6" t="s">
        <v>4571</v>
      </c>
      <c r="E249" s="20">
        <f t="shared" si="16"/>
        <v>0</v>
      </c>
      <c r="F249" s="20">
        <v>2072</v>
      </c>
      <c r="G249" s="24" t="s">
        <v>6704</v>
      </c>
      <c r="H249" s="20">
        <f t="shared" si="17"/>
        <v>0</v>
      </c>
      <c r="I249" s="21">
        <v>54</v>
      </c>
      <c r="J249" s="21">
        <f t="shared" si="19"/>
        <v>0</v>
      </c>
    </row>
    <row r="250" spans="1:10" ht="27.6" x14ac:dyDescent="0.3">
      <c r="A250" s="2" t="s">
        <v>257</v>
      </c>
      <c r="B250" s="1" t="s">
        <v>2152</v>
      </c>
      <c r="C250" s="6" t="s">
        <v>2401</v>
      </c>
      <c r="D250" s="6" t="s">
        <v>4572</v>
      </c>
      <c r="E250" s="20">
        <f t="shared" si="16"/>
        <v>0</v>
      </c>
      <c r="F250" s="20">
        <v>2072</v>
      </c>
      <c r="G250" s="24" t="s">
        <v>6705</v>
      </c>
      <c r="H250" s="20">
        <f t="shared" si="17"/>
        <v>0</v>
      </c>
      <c r="I250" s="21">
        <v>54</v>
      </c>
      <c r="J250" s="21">
        <f t="shared" si="19"/>
        <v>0</v>
      </c>
    </row>
    <row r="251" spans="1:10" ht="27.6" x14ac:dyDescent="0.3">
      <c r="A251" s="2" t="s">
        <v>258</v>
      </c>
      <c r="B251" s="1" t="s">
        <v>2152</v>
      </c>
      <c r="C251" s="6" t="s">
        <v>2402</v>
      </c>
      <c r="D251" s="6" t="s">
        <v>4573</v>
      </c>
      <c r="E251" s="20">
        <f t="shared" si="16"/>
        <v>0</v>
      </c>
      <c r="F251" s="20">
        <v>2072</v>
      </c>
      <c r="G251" s="24" t="s">
        <v>6706</v>
      </c>
      <c r="H251" s="20">
        <f t="shared" si="17"/>
        <v>0</v>
      </c>
      <c r="I251" s="21">
        <v>54</v>
      </c>
      <c r="J251" s="21">
        <f t="shared" si="19"/>
        <v>0</v>
      </c>
    </row>
    <row r="252" spans="1:10" ht="27.6" x14ac:dyDescent="0.3">
      <c r="A252" s="2" t="s">
        <v>259</v>
      </c>
      <c r="B252" s="1" t="s">
        <v>2152</v>
      </c>
      <c r="C252" s="6" t="s">
        <v>2403</v>
      </c>
      <c r="D252" s="6" t="s">
        <v>4574</v>
      </c>
      <c r="E252" s="20">
        <f t="shared" si="16"/>
        <v>0</v>
      </c>
      <c r="F252" s="20">
        <v>2072</v>
      </c>
      <c r="G252" s="24" t="s">
        <v>6707</v>
      </c>
      <c r="H252" s="20">
        <f t="shared" si="17"/>
        <v>0</v>
      </c>
      <c r="I252" s="21">
        <v>54</v>
      </c>
      <c r="J252" s="21">
        <f t="shared" si="19"/>
        <v>0</v>
      </c>
    </row>
    <row r="253" spans="1:10" ht="27.6" x14ac:dyDescent="0.3">
      <c r="A253" s="2" t="s">
        <v>260</v>
      </c>
      <c r="B253" s="1" t="s">
        <v>2152</v>
      </c>
      <c r="C253" s="6" t="s">
        <v>2404</v>
      </c>
      <c r="D253" s="6" t="s">
        <v>4575</v>
      </c>
      <c r="E253" s="20">
        <f t="shared" si="16"/>
        <v>0</v>
      </c>
      <c r="F253" s="20">
        <v>2072</v>
      </c>
      <c r="G253" s="24" t="s">
        <v>6708</v>
      </c>
      <c r="H253" s="20">
        <f t="shared" si="17"/>
        <v>0</v>
      </c>
      <c r="I253" s="21">
        <v>54</v>
      </c>
      <c r="J253" s="21">
        <f t="shared" si="19"/>
        <v>0</v>
      </c>
    </row>
    <row r="254" spans="1:10" ht="27.6" x14ac:dyDescent="0.3">
      <c r="A254" s="2" t="s">
        <v>261</v>
      </c>
      <c r="B254" s="1" t="s">
        <v>2152</v>
      </c>
      <c r="C254" s="6" t="s">
        <v>2405</v>
      </c>
      <c r="D254" s="6" t="s">
        <v>4576</v>
      </c>
      <c r="E254" s="20">
        <f t="shared" si="16"/>
        <v>0</v>
      </c>
      <c r="F254" s="20">
        <v>2072</v>
      </c>
      <c r="G254" s="24" t="s">
        <v>6709</v>
      </c>
      <c r="H254" s="20">
        <f t="shared" si="17"/>
        <v>0</v>
      </c>
      <c r="I254" s="21">
        <v>54</v>
      </c>
      <c r="J254" s="21">
        <f t="shared" si="19"/>
        <v>0</v>
      </c>
    </row>
    <row r="255" spans="1:10" ht="27.6" x14ac:dyDescent="0.3">
      <c r="A255" s="2" t="s">
        <v>262</v>
      </c>
      <c r="B255" s="1" t="s">
        <v>2152</v>
      </c>
      <c r="C255" s="6" t="s">
        <v>2406</v>
      </c>
      <c r="D255" s="6" t="s">
        <v>4577</v>
      </c>
      <c r="E255" s="20">
        <f t="shared" si="16"/>
        <v>0</v>
      </c>
      <c r="F255" s="20">
        <v>2072</v>
      </c>
      <c r="G255" s="24" t="s">
        <v>6710</v>
      </c>
      <c r="H255" s="20">
        <f t="shared" si="17"/>
        <v>0</v>
      </c>
      <c r="I255" s="21">
        <v>54</v>
      </c>
      <c r="J255" s="21">
        <f t="shared" si="19"/>
        <v>0</v>
      </c>
    </row>
    <row r="256" spans="1:10" ht="27.6" x14ac:dyDescent="0.3">
      <c r="A256" s="2" t="s">
        <v>263</v>
      </c>
      <c r="B256" s="1" t="s">
        <v>2152</v>
      </c>
      <c r="C256" s="6" t="s">
        <v>2407</v>
      </c>
      <c r="D256" s="6" t="s">
        <v>4578</v>
      </c>
      <c r="E256" s="20">
        <f t="shared" si="16"/>
        <v>0</v>
      </c>
      <c r="F256" s="20">
        <v>2072</v>
      </c>
      <c r="G256" s="24" t="s">
        <v>6711</v>
      </c>
      <c r="H256" s="20">
        <f t="shared" si="17"/>
        <v>0</v>
      </c>
      <c r="I256" s="21">
        <v>54</v>
      </c>
      <c r="J256" s="21">
        <f t="shared" si="19"/>
        <v>0</v>
      </c>
    </row>
    <row r="257" spans="1:10" ht="27.6" x14ac:dyDescent="0.3">
      <c r="A257" s="2" t="s">
        <v>264</v>
      </c>
      <c r="B257" s="1" t="s">
        <v>2152</v>
      </c>
      <c r="C257" s="6" t="s">
        <v>2408</v>
      </c>
      <c r="D257" s="6" t="s">
        <v>4579</v>
      </c>
      <c r="E257" s="20">
        <f t="shared" si="16"/>
        <v>0</v>
      </c>
      <c r="F257" s="20">
        <v>2072</v>
      </c>
      <c r="G257" s="24" t="s">
        <v>6712</v>
      </c>
      <c r="H257" s="20">
        <f t="shared" si="17"/>
        <v>0</v>
      </c>
      <c r="I257" s="21">
        <v>54</v>
      </c>
      <c r="J257" s="21">
        <f t="shared" si="19"/>
        <v>0</v>
      </c>
    </row>
    <row r="258" spans="1:10" ht="27.6" x14ac:dyDescent="0.3">
      <c r="A258" s="2" t="s">
        <v>265</v>
      </c>
      <c r="B258" s="1" t="s">
        <v>2152</v>
      </c>
      <c r="C258" s="6" t="s">
        <v>2409</v>
      </c>
      <c r="D258" s="6" t="s">
        <v>4580</v>
      </c>
      <c r="E258" s="20">
        <f t="shared" si="16"/>
        <v>0</v>
      </c>
      <c r="F258" s="20">
        <v>2072</v>
      </c>
      <c r="G258" s="24" t="s">
        <v>6713</v>
      </c>
      <c r="H258" s="20">
        <f t="shared" si="17"/>
        <v>0</v>
      </c>
      <c r="I258" s="21">
        <v>54</v>
      </c>
      <c r="J258" s="21">
        <f t="shared" si="19"/>
        <v>0</v>
      </c>
    </row>
    <row r="259" spans="1:10" ht="27.6" x14ac:dyDescent="0.3">
      <c r="A259" s="2" t="s">
        <v>266</v>
      </c>
      <c r="B259" s="1" t="s">
        <v>2152</v>
      </c>
      <c r="C259" s="6" t="s">
        <v>2410</v>
      </c>
      <c r="D259" s="6" t="s">
        <v>4581</v>
      </c>
      <c r="E259" s="20">
        <f t="shared" si="16"/>
        <v>0</v>
      </c>
      <c r="F259" s="20">
        <v>2072</v>
      </c>
      <c r="G259" s="24" t="s">
        <v>6714</v>
      </c>
      <c r="H259" s="20">
        <f t="shared" si="17"/>
        <v>0</v>
      </c>
      <c r="I259" s="21">
        <v>54</v>
      </c>
      <c r="J259" s="21">
        <f t="shared" si="19"/>
        <v>0</v>
      </c>
    </row>
    <row r="260" spans="1:10" ht="27.6" x14ac:dyDescent="0.3">
      <c r="A260" s="2" t="s">
        <v>267</v>
      </c>
      <c r="B260" s="1" t="s">
        <v>2152</v>
      </c>
      <c r="C260" s="6" t="s">
        <v>2411</v>
      </c>
      <c r="D260" s="6" t="s">
        <v>4582</v>
      </c>
      <c r="E260" s="20">
        <f t="shared" si="16"/>
        <v>0</v>
      </c>
      <c r="F260" s="20">
        <v>2072</v>
      </c>
      <c r="G260" s="24" t="s">
        <v>6715</v>
      </c>
      <c r="H260" s="20">
        <f t="shared" si="17"/>
        <v>0</v>
      </c>
      <c r="I260" s="21">
        <v>54</v>
      </c>
      <c r="J260" s="21">
        <f t="shared" si="19"/>
        <v>0</v>
      </c>
    </row>
    <row r="261" spans="1:10" ht="27.6" x14ac:dyDescent="0.3">
      <c r="A261" s="2" t="s">
        <v>268</v>
      </c>
      <c r="B261" s="1" t="s">
        <v>2152</v>
      </c>
      <c r="C261" s="6" t="s">
        <v>2412</v>
      </c>
      <c r="D261" s="6" t="s">
        <v>4583</v>
      </c>
      <c r="E261" s="20">
        <f t="shared" si="16"/>
        <v>0</v>
      </c>
      <c r="F261" s="20">
        <v>2072</v>
      </c>
      <c r="G261" s="24" t="s">
        <v>6716</v>
      </c>
      <c r="H261" s="20">
        <f t="shared" si="17"/>
        <v>0</v>
      </c>
      <c r="I261" s="21">
        <v>54</v>
      </c>
      <c r="J261" s="21">
        <f t="shared" si="19"/>
        <v>0</v>
      </c>
    </row>
    <row r="262" spans="1:10" ht="27.6" x14ac:dyDescent="0.3">
      <c r="A262" s="2" t="s">
        <v>269</v>
      </c>
      <c r="B262" s="1" t="s">
        <v>2152</v>
      </c>
      <c r="C262" s="6" t="s">
        <v>2413</v>
      </c>
      <c r="D262" s="6" t="s">
        <v>4584</v>
      </c>
      <c r="E262" s="20">
        <f t="shared" si="16"/>
        <v>0</v>
      </c>
      <c r="F262" s="20">
        <v>2072</v>
      </c>
      <c r="G262" s="24" t="s">
        <v>6717</v>
      </c>
      <c r="H262" s="20">
        <f t="shared" si="17"/>
        <v>0</v>
      </c>
      <c r="I262" s="21">
        <v>54</v>
      </c>
      <c r="J262" s="21">
        <f t="shared" si="19"/>
        <v>0</v>
      </c>
    </row>
    <row r="263" spans="1:10" ht="27.6" x14ac:dyDescent="0.3">
      <c r="A263" s="2" t="s">
        <v>270</v>
      </c>
      <c r="B263" s="1" t="s">
        <v>2152</v>
      </c>
      <c r="C263" s="6" t="s">
        <v>2414</v>
      </c>
      <c r="D263" s="6" t="s">
        <v>4585</v>
      </c>
      <c r="E263" s="20">
        <f t="shared" si="16"/>
        <v>0</v>
      </c>
      <c r="F263" s="20">
        <v>2072</v>
      </c>
      <c r="G263" s="24" t="s">
        <v>6718</v>
      </c>
      <c r="H263" s="20">
        <f t="shared" si="17"/>
        <v>0</v>
      </c>
      <c r="I263" s="21">
        <v>54</v>
      </c>
      <c r="J263" s="21">
        <f t="shared" si="19"/>
        <v>0</v>
      </c>
    </row>
    <row r="264" spans="1:10" ht="27.6" x14ac:dyDescent="0.3">
      <c r="A264" s="2" t="s">
        <v>271</v>
      </c>
      <c r="B264" s="1" t="s">
        <v>2152</v>
      </c>
      <c r="C264" s="6" t="s">
        <v>2415</v>
      </c>
      <c r="D264" s="6" t="s">
        <v>4586</v>
      </c>
      <c r="E264" s="20">
        <f t="shared" si="16"/>
        <v>0</v>
      </c>
      <c r="F264" s="20">
        <v>2072</v>
      </c>
      <c r="G264" s="24" t="s">
        <v>6719</v>
      </c>
      <c r="H264" s="20">
        <f t="shared" si="17"/>
        <v>0</v>
      </c>
      <c r="I264" s="21">
        <v>54</v>
      </c>
      <c r="J264" s="21">
        <f t="shared" si="19"/>
        <v>0</v>
      </c>
    </row>
    <row r="265" spans="1:10" ht="27.6" x14ac:dyDescent="0.3">
      <c r="A265" s="2" t="s">
        <v>272</v>
      </c>
      <c r="B265" s="1" t="s">
        <v>2152</v>
      </c>
      <c r="C265" s="6" t="s">
        <v>2416</v>
      </c>
      <c r="D265" s="6" t="s">
        <v>4587</v>
      </c>
      <c r="E265" s="20">
        <f t="shared" si="16"/>
        <v>0</v>
      </c>
      <c r="F265" s="20">
        <v>2072</v>
      </c>
      <c r="G265" s="24" t="s">
        <v>6720</v>
      </c>
      <c r="H265" s="20">
        <f t="shared" si="17"/>
        <v>0</v>
      </c>
      <c r="I265" s="21">
        <v>54</v>
      </c>
      <c r="J265" s="21">
        <f t="shared" si="19"/>
        <v>0</v>
      </c>
    </row>
    <row r="266" spans="1:10" ht="27.6" x14ac:dyDescent="0.3">
      <c r="A266" s="2" t="s">
        <v>273</v>
      </c>
      <c r="B266" s="1" t="s">
        <v>2152</v>
      </c>
      <c r="C266" s="6" t="s">
        <v>2417</v>
      </c>
      <c r="D266" s="6" t="s">
        <v>4588</v>
      </c>
      <c r="E266" s="20">
        <f t="shared" si="16"/>
        <v>0</v>
      </c>
      <c r="F266" s="20">
        <v>2072</v>
      </c>
      <c r="G266" s="24" t="s">
        <v>6721</v>
      </c>
      <c r="H266" s="20">
        <f t="shared" si="17"/>
        <v>0</v>
      </c>
      <c r="I266" s="21">
        <v>54</v>
      </c>
      <c r="J266" s="21">
        <f t="shared" si="19"/>
        <v>0</v>
      </c>
    </row>
    <row r="267" spans="1:10" ht="27.6" x14ac:dyDescent="0.3">
      <c r="A267" s="2" t="s">
        <v>274</v>
      </c>
      <c r="B267" s="1" t="s">
        <v>2152</v>
      </c>
      <c r="C267" s="6" t="s">
        <v>2418</v>
      </c>
      <c r="D267" s="6" t="s">
        <v>4589</v>
      </c>
      <c r="E267" s="20">
        <f t="shared" si="16"/>
        <v>0</v>
      </c>
      <c r="F267" s="20">
        <v>2072</v>
      </c>
      <c r="G267" s="24" t="s">
        <v>6722</v>
      </c>
      <c r="H267" s="20">
        <f t="shared" si="17"/>
        <v>0</v>
      </c>
      <c r="I267" s="21">
        <v>54</v>
      </c>
      <c r="J267" s="21">
        <f t="shared" si="19"/>
        <v>0</v>
      </c>
    </row>
    <row r="268" spans="1:10" ht="27.6" x14ac:dyDescent="0.3">
      <c r="A268" s="2" t="s">
        <v>275</v>
      </c>
      <c r="B268" s="1" t="s">
        <v>2152</v>
      </c>
      <c r="C268" s="6" t="s">
        <v>2419</v>
      </c>
      <c r="D268" s="6" t="s">
        <v>4590</v>
      </c>
      <c r="E268" s="20">
        <f t="shared" si="16"/>
        <v>0</v>
      </c>
      <c r="F268" s="20">
        <v>2072</v>
      </c>
      <c r="G268" s="24" t="s">
        <v>6723</v>
      </c>
      <c r="H268" s="20">
        <f t="shared" si="17"/>
        <v>0</v>
      </c>
      <c r="I268" s="21">
        <v>54</v>
      </c>
      <c r="J268" s="21">
        <f t="shared" si="19"/>
        <v>0</v>
      </c>
    </row>
    <row r="269" spans="1:10" ht="27.6" x14ac:dyDescent="0.3">
      <c r="A269" s="2" t="s">
        <v>276</v>
      </c>
      <c r="B269" s="1" t="s">
        <v>2152</v>
      </c>
      <c r="C269" s="6" t="s">
        <v>2420</v>
      </c>
      <c r="D269" s="6" t="s">
        <v>4591</v>
      </c>
      <c r="E269" s="20">
        <f t="shared" si="16"/>
        <v>0</v>
      </c>
      <c r="F269" s="20">
        <v>2072</v>
      </c>
      <c r="G269" s="24" t="s">
        <v>6724</v>
      </c>
      <c r="H269" s="20">
        <f t="shared" si="17"/>
        <v>0</v>
      </c>
      <c r="I269" s="21">
        <v>54</v>
      </c>
      <c r="J269" s="21">
        <f t="shared" si="19"/>
        <v>0</v>
      </c>
    </row>
    <row r="270" spans="1:10" ht="27.6" x14ac:dyDescent="0.3">
      <c r="A270" s="2" t="s">
        <v>277</v>
      </c>
      <c r="B270" s="1" t="s">
        <v>2152</v>
      </c>
      <c r="C270" s="6" t="s">
        <v>2421</v>
      </c>
      <c r="D270" s="6" t="s">
        <v>4592</v>
      </c>
      <c r="E270" s="20">
        <f t="shared" si="16"/>
        <v>0</v>
      </c>
      <c r="F270" s="20">
        <v>2072</v>
      </c>
      <c r="G270" s="24" t="s">
        <v>6725</v>
      </c>
      <c r="H270" s="20">
        <f t="shared" si="17"/>
        <v>0</v>
      </c>
      <c r="I270" s="21">
        <v>54</v>
      </c>
      <c r="J270" s="21">
        <f t="shared" si="19"/>
        <v>0</v>
      </c>
    </row>
    <row r="271" spans="1:10" ht="27.6" x14ac:dyDescent="0.3">
      <c r="A271" s="2" t="s">
        <v>278</v>
      </c>
      <c r="B271" s="1" t="s">
        <v>2152</v>
      </c>
      <c r="C271" s="6" t="s">
        <v>2422</v>
      </c>
      <c r="D271" s="6" t="s">
        <v>4593</v>
      </c>
      <c r="E271" s="20">
        <f t="shared" si="16"/>
        <v>0</v>
      </c>
      <c r="F271" s="20">
        <v>2072</v>
      </c>
      <c r="G271" s="24" t="s">
        <v>6726</v>
      </c>
      <c r="H271" s="20">
        <f t="shared" si="17"/>
        <v>0</v>
      </c>
      <c r="I271" s="21">
        <v>54</v>
      </c>
      <c r="J271" s="21">
        <f t="shared" si="19"/>
        <v>0</v>
      </c>
    </row>
    <row r="272" spans="1:10" ht="27.6" x14ac:dyDescent="0.3">
      <c r="A272" s="2" t="s">
        <v>279</v>
      </c>
      <c r="B272" s="1" t="s">
        <v>2152</v>
      </c>
      <c r="C272" s="6" t="s">
        <v>2423</v>
      </c>
      <c r="D272" s="6" t="s">
        <v>4594</v>
      </c>
      <c r="E272" s="20">
        <f t="shared" si="16"/>
        <v>0</v>
      </c>
      <c r="F272" s="20">
        <v>2072</v>
      </c>
      <c r="G272" s="24" t="s">
        <v>6727</v>
      </c>
      <c r="H272" s="20">
        <f t="shared" si="17"/>
        <v>0</v>
      </c>
      <c r="I272" s="21">
        <v>54</v>
      </c>
      <c r="J272" s="21">
        <f t="shared" si="19"/>
        <v>0</v>
      </c>
    </row>
    <row r="273" spans="1:10" ht="27.6" x14ac:dyDescent="0.3">
      <c r="A273" s="2" t="s">
        <v>280</v>
      </c>
      <c r="B273" s="1" t="s">
        <v>2152</v>
      </c>
      <c r="C273" s="6" t="s">
        <v>2424</v>
      </c>
      <c r="D273" s="6" t="s">
        <v>4595</v>
      </c>
      <c r="E273" s="20">
        <f t="shared" si="16"/>
        <v>0</v>
      </c>
      <c r="F273" s="20">
        <v>2072</v>
      </c>
      <c r="G273" s="24" t="s">
        <v>6728</v>
      </c>
      <c r="H273" s="20">
        <f t="shared" si="17"/>
        <v>0</v>
      </c>
      <c r="I273" s="21">
        <v>54</v>
      </c>
      <c r="J273" s="21">
        <f t="shared" si="19"/>
        <v>0</v>
      </c>
    </row>
    <row r="274" spans="1:10" ht="27.6" x14ac:dyDescent="0.3">
      <c r="A274" s="2" t="s">
        <v>281</v>
      </c>
      <c r="B274" s="1" t="s">
        <v>2152</v>
      </c>
      <c r="C274" s="6" t="s">
        <v>2425</v>
      </c>
      <c r="D274" s="6" t="s">
        <v>4596</v>
      </c>
      <c r="E274" s="20">
        <f t="shared" si="16"/>
        <v>0</v>
      </c>
      <c r="F274" s="20">
        <v>2072</v>
      </c>
      <c r="G274" s="24" t="s">
        <v>6729</v>
      </c>
      <c r="H274" s="20">
        <f t="shared" si="17"/>
        <v>0</v>
      </c>
      <c r="I274" s="21">
        <v>54</v>
      </c>
      <c r="J274" s="21">
        <f t="shared" si="19"/>
        <v>0</v>
      </c>
    </row>
    <row r="275" spans="1:10" ht="27.6" x14ac:dyDescent="0.3">
      <c r="A275" s="2" t="s">
        <v>282</v>
      </c>
      <c r="B275" s="1" t="s">
        <v>2152</v>
      </c>
      <c r="C275" s="6" t="s">
        <v>2426</v>
      </c>
      <c r="D275" s="6" t="s">
        <v>4597</v>
      </c>
      <c r="E275" s="20">
        <f t="shared" si="16"/>
        <v>0</v>
      </c>
      <c r="F275" s="20">
        <v>2072</v>
      </c>
      <c r="G275" s="24" t="s">
        <v>6730</v>
      </c>
      <c r="H275" s="20">
        <f t="shared" si="17"/>
        <v>0</v>
      </c>
      <c r="I275" s="21">
        <v>54</v>
      </c>
      <c r="J275" s="21">
        <f t="shared" si="19"/>
        <v>0</v>
      </c>
    </row>
    <row r="276" spans="1:10" ht="27.6" x14ac:dyDescent="0.3">
      <c r="A276" s="2" t="s">
        <v>283</v>
      </c>
      <c r="B276" s="1" t="s">
        <v>2152</v>
      </c>
      <c r="C276" s="6" t="s">
        <v>2427</v>
      </c>
      <c r="D276" s="6" t="s">
        <v>4598</v>
      </c>
      <c r="E276" s="20">
        <f t="shared" si="16"/>
        <v>0</v>
      </c>
      <c r="F276" s="20">
        <v>2072</v>
      </c>
      <c r="G276" s="24" t="s">
        <v>6731</v>
      </c>
      <c r="H276" s="20">
        <f t="shared" si="17"/>
        <v>0</v>
      </c>
      <c r="I276" s="21">
        <v>54</v>
      </c>
      <c r="J276" s="21">
        <f t="shared" si="19"/>
        <v>0</v>
      </c>
    </row>
    <row r="277" spans="1:10" ht="27.6" x14ac:dyDescent="0.3">
      <c r="A277" s="2" t="s">
        <v>284</v>
      </c>
      <c r="B277" s="1" t="s">
        <v>2152</v>
      </c>
      <c r="C277" s="6" t="s">
        <v>2428</v>
      </c>
      <c r="D277" s="6" t="s">
        <v>4599</v>
      </c>
      <c r="E277" s="20">
        <f t="shared" si="16"/>
        <v>0</v>
      </c>
      <c r="F277" s="20">
        <v>2072</v>
      </c>
      <c r="G277" s="24" t="s">
        <v>6732</v>
      </c>
      <c r="H277" s="20">
        <f t="shared" si="17"/>
        <v>0</v>
      </c>
      <c r="I277" s="21">
        <v>54</v>
      </c>
      <c r="J277" s="21">
        <f t="shared" si="19"/>
        <v>0</v>
      </c>
    </row>
    <row r="278" spans="1:10" ht="27.6" x14ac:dyDescent="0.3">
      <c r="A278" s="2" t="s">
        <v>285</v>
      </c>
      <c r="B278" s="1" t="s">
        <v>2152</v>
      </c>
      <c r="C278" s="6" t="s">
        <v>2429</v>
      </c>
      <c r="D278" s="6" t="s">
        <v>4600</v>
      </c>
      <c r="E278" s="20">
        <f t="shared" si="16"/>
        <v>0</v>
      </c>
      <c r="F278" s="20">
        <v>2072</v>
      </c>
      <c r="G278" s="24" t="s">
        <v>6733</v>
      </c>
      <c r="H278" s="20">
        <f t="shared" si="17"/>
        <v>0</v>
      </c>
      <c r="I278" s="21">
        <v>54</v>
      </c>
      <c r="J278" s="21">
        <f t="shared" si="19"/>
        <v>0</v>
      </c>
    </row>
    <row r="279" spans="1:10" ht="27.6" x14ac:dyDescent="0.3">
      <c r="A279" s="2" t="s">
        <v>286</v>
      </c>
      <c r="B279" s="1" t="s">
        <v>2152</v>
      </c>
      <c r="C279" s="6" t="s">
        <v>2430</v>
      </c>
      <c r="D279" s="6" t="s">
        <v>4601</v>
      </c>
      <c r="E279" s="20">
        <f t="shared" si="16"/>
        <v>0</v>
      </c>
      <c r="F279" s="20">
        <v>2072</v>
      </c>
      <c r="G279" s="24" t="s">
        <v>6734</v>
      </c>
      <c r="H279" s="20">
        <f t="shared" si="17"/>
        <v>0</v>
      </c>
      <c r="I279" s="21">
        <v>54</v>
      </c>
      <c r="J279" s="21">
        <f t="shared" si="19"/>
        <v>0</v>
      </c>
    </row>
    <row r="280" spans="1:10" ht="27.6" x14ac:dyDescent="0.3">
      <c r="A280" s="2" t="s">
        <v>287</v>
      </c>
      <c r="B280" s="1" t="s">
        <v>2152</v>
      </c>
      <c r="C280" s="6" t="s">
        <v>2431</v>
      </c>
      <c r="D280" s="6" t="s">
        <v>4602</v>
      </c>
      <c r="E280" s="20">
        <f t="shared" si="16"/>
        <v>0</v>
      </c>
      <c r="F280" s="20">
        <v>2072</v>
      </c>
      <c r="G280" s="24" t="s">
        <v>6735</v>
      </c>
      <c r="H280" s="20">
        <f t="shared" si="17"/>
        <v>0</v>
      </c>
      <c r="I280" s="21">
        <v>54</v>
      </c>
      <c r="J280" s="21">
        <f t="shared" si="19"/>
        <v>0</v>
      </c>
    </row>
    <row r="281" spans="1:10" ht="27.6" x14ac:dyDescent="0.3">
      <c r="A281" s="2" t="s">
        <v>288</v>
      </c>
      <c r="B281" s="1" t="s">
        <v>2152</v>
      </c>
      <c r="C281" s="6" t="s">
        <v>2432</v>
      </c>
      <c r="D281" s="6" t="s">
        <v>4603</v>
      </c>
      <c r="E281" s="20">
        <f t="shared" si="16"/>
        <v>0</v>
      </c>
      <c r="F281" s="20">
        <v>2072</v>
      </c>
      <c r="G281" s="24" t="s">
        <v>6736</v>
      </c>
      <c r="H281" s="20">
        <f t="shared" si="17"/>
        <v>0</v>
      </c>
      <c r="I281" s="21">
        <v>54</v>
      </c>
      <c r="J281" s="21">
        <f t="shared" si="19"/>
        <v>0</v>
      </c>
    </row>
    <row r="282" spans="1:10" ht="27.6" x14ac:dyDescent="0.3">
      <c r="A282" s="2" t="s">
        <v>289</v>
      </c>
      <c r="B282" s="1" t="s">
        <v>2152</v>
      </c>
      <c r="C282" s="6" t="s">
        <v>2433</v>
      </c>
      <c r="D282" s="6" t="s">
        <v>4604</v>
      </c>
      <c r="E282" s="20">
        <f t="shared" si="16"/>
        <v>0</v>
      </c>
      <c r="F282" s="20">
        <v>2072</v>
      </c>
      <c r="G282" s="24" t="s">
        <v>6737</v>
      </c>
      <c r="H282" s="20">
        <f t="shared" si="17"/>
        <v>0</v>
      </c>
      <c r="I282" s="21">
        <v>54</v>
      </c>
      <c r="J282" s="21">
        <f t="shared" si="19"/>
        <v>0</v>
      </c>
    </row>
    <row r="283" spans="1:10" ht="27.6" x14ac:dyDescent="0.3">
      <c r="A283" s="2" t="s">
        <v>290</v>
      </c>
      <c r="B283" s="1" t="s">
        <v>2152</v>
      </c>
      <c r="C283" s="6" t="s">
        <v>2434</v>
      </c>
      <c r="D283" s="6" t="s">
        <v>4605</v>
      </c>
      <c r="E283" s="20">
        <f t="shared" si="16"/>
        <v>0</v>
      </c>
      <c r="F283" s="20">
        <v>2072</v>
      </c>
      <c r="G283" s="24" t="s">
        <v>6738</v>
      </c>
      <c r="H283" s="20">
        <f t="shared" si="17"/>
        <v>0</v>
      </c>
      <c r="I283" s="21">
        <v>54</v>
      </c>
      <c r="J283" s="21">
        <f t="shared" si="19"/>
        <v>0</v>
      </c>
    </row>
    <row r="284" spans="1:10" ht="27.6" x14ac:dyDescent="0.3">
      <c r="A284" s="2" t="s">
        <v>291</v>
      </c>
      <c r="B284" s="1" t="s">
        <v>2152</v>
      </c>
      <c r="C284" s="6" t="s">
        <v>2435</v>
      </c>
      <c r="D284" s="6" t="s">
        <v>4606</v>
      </c>
      <c r="E284" s="20">
        <f t="shared" si="16"/>
        <v>0</v>
      </c>
      <c r="F284" s="20">
        <v>2072</v>
      </c>
      <c r="G284" s="24" t="s">
        <v>6739</v>
      </c>
      <c r="H284" s="20">
        <f t="shared" si="17"/>
        <v>0</v>
      </c>
      <c r="I284" s="21">
        <v>54</v>
      </c>
      <c r="J284" s="21">
        <f t="shared" si="19"/>
        <v>0</v>
      </c>
    </row>
    <row r="285" spans="1:10" ht="27.6" x14ac:dyDescent="0.3">
      <c r="A285" s="2" t="s">
        <v>292</v>
      </c>
      <c r="B285" s="1" t="s">
        <v>2152</v>
      </c>
      <c r="C285" s="6" t="s">
        <v>2436</v>
      </c>
      <c r="D285" s="6" t="s">
        <v>4607</v>
      </c>
      <c r="E285" s="20">
        <f t="shared" si="16"/>
        <v>0</v>
      </c>
      <c r="F285" s="20">
        <v>2072</v>
      </c>
      <c r="G285" s="24" t="s">
        <v>6740</v>
      </c>
      <c r="H285" s="20">
        <f t="shared" si="17"/>
        <v>0</v>
      </c>
      <c r="I285" s="21">
        <v>54</v>
      </c>
      <c r="J285" s="21">
        <f t="shared" si="19"/>
        <v>0</v>
      </c>
    </row>
    <row r="286" spans="1:10" ht="27.6" x14ac:dyDescent="0.3">
      <c r="A286" s="2" t="s">
        <v>293</v>
      </c>
      <c r="B286" s="1" t="s">
        <v>2152</v>
      </c>
      <c r="C286" s="6" t="s">
        <v>2437</v>
      </c>
      <c r="D286" s="6" t="s">
        <v>4608</v>
      </c>
      <c r="E286" s="20">
        <f t="shared" si="16"/>
        <v>0</v>
      </c>
      <c r="F286" s="20">
        <v>2072</v>
      </c>
      <c r="G286" s="24" t="s">
        <v>6741</v>
      </c>
      <c r="H286" s="20">
        <f t="shared" si="17"/>
        <v>0</v>
      </c>
      <c r="I286" s="21">
        <v>54</v>
      </c>
      <c r="J286" s="21">
        <f t="shared" si="19"/>
        <v>0</v>
      </c>
    </row>
    <row r="287" spans="1:10" ht="27.6" x14ac:dyDescent="0.3">
      <c r="A287" s="2" t="s">
        <v>294</v>
      </c>
      <c r="B287" s="1" t="s">
        <v>2152</v>
      </c>
      <c r="C287" s="6" t="s">
        <v>2438</v>
      </c>
      <c r="D287" s="6" t="s">
        <v>4609</v>
      </c>
      <c r="E287" s="20">
        <f t="shared" si="16"/>
        <v>0</v>
      </c>
      <c r="F287" s="20">
        <v>2072</v>
      </c>
      <c r="G287" s="24" t="s">
        <v>6742</v>
      </c>
      <c r="H287" s="20">
        <f t="shared" si="17"/>
        <v>0</v>
      </c>
      <c r="I287" s="21">
        <v>54</v>
      </c>
      <c r="J287" s="21">
        <f t="shared" si="19"/>
        <v>0</v>
      </c>
    </row>
    <row r="288" spans="1:10" ht="27.6" x14ac:dyDescent="0.3">
      <c r="A288" s="2" t="s">
        <v>295</v>
      </c>
      <c r="B288" s="1" t="s">
        <v>2152</v>
      </c>
      <c r="C288" s="6" t="s">
        <v>2439</v>
      </c>
      <c r="D288" s="6" t="s">
        <v>4610</v>
      </c>
      <c r="E288" s="20">
        <f t="shared" si="16"/>
        <v>0</v>
      </c>
      <c r="F288" s="20">
        <v>2072</v>
      </c>
      <c r="G288" s="24" t="s">
        <v>6743</v>
      </c>
      <c r="H288" s="20">
        <f t="shared" si="17"/>
        <v>0</v>
      </c>
      <c r="I288" s="21">
        <v>54</v>
      </c>
      <c r="J288" s="21">
        <f t="shared" si="19"/>
        <v>0</v>
      </c>
    </row>
    <row r="289" spans="1:10" ht="27.6" x14ac:dyDescent="0.3">
      <c r="A289" s="2" t="s">
        <v>296</v>
      </c>
      <c r="B289" s="1" t="s">
        <v>2152</v>
      </c>
      <c r="C289" s="6" t="s">
        <v>2440</v>
      </c>
      <c r="D289" s="6" t="s">
        <v>4611</v>
      </c>
      <c r="E289" s="20">
        <f t="shared" si="16"/>
        <v>0</v>
      </c>
      <c r="F289" s="20">
        <v>2072</v>
      </c>
      <c r="G289" s="24" t="s">
        <v>6744</v>
      </c>
      <c r="H289" s="20">
        <f t="shared" si="17"/>
        <v>0</v>
      </c>
      <c r="I289" s="21">
        <v>54</v>
      </c>
      <c r="J289" s="21">
        <f t="shared" si="19"/>
        <v>0</v>
      </c>
    </row>
    <row r="290" spans="1:10" ht="27.6" x14ac:dyDescent="0.3">
      <c r="A290" s="2" t="s">
        <v>297</v>
      </c>
      <c r="B290" s="1" t="s">
        <v>2152</v>
      </c>
      <c r="C290" s="6" t="s">
        <v>2441</v>
      </c>
      <c r="D290" s="6" t="s">
        <v>4612</v>
      </c>
      <c r="E290" s="20">
        <f t="shared" si="16"/>
        <v>0</v>
      </c>
      <c r="F290" s="20">
        <v>2072</v>
      </c>
      <c r="G290" s="24" t="s">
        <v>6745</v>
      </c>
      <c r="H290" s="20">
        <f t="shared" si="17"/>
        <v>0</v>
      </c>
      <c r="I290" s="21">
        <v>54</v>
      </c>
      <c r="J290" s="21">
        <f t="shared" si="19"/>
        <v>0</v>
      </c>
    </row>
    <row r="291" spans="1:10" ht="27.6" x14ac:dyDescent="0.3">
      <c r="A291" s="2" t="s">
        <v>298</v>
      </c>
      <c r="B291" s="1" t="s">
        <v>2152</v>
      </c>
      <c r="C291" s="6" t="s">
        <v>2442</v>
      </c>
      <c r="D291" s="6" t="s">
        <v>4613</v>
      </c>
      <c r="E291" s="20">
        <f t="shared" si="16"/>
        <v>0</v>
      </c>
      <c r="F291" s="20">
        <v>2072</v>
      </c>
      <c r="G291" s="24" t="s">
        <v>6746</v>
      </c>
      <c r="H291" s="20">
        <f t="shared" si="17"/>
        <v>0</v>
      </c>
      <c r="I291" s="21">
        <v>54</v>
      </c>
      <c r="J291" s="21">
        <f t="shared" si="19"/>
        <v>0</v>
      </c>
    </row>
    <row r="292" spans="1:10" ht="27.6" x14ac:dyDescent="0.3">
      <c r="A292" s="2" t="s">
        <v>299</v>
      </c>
      <c r="B292" s="1" t="s">
        <v>2152</v>
      </c>
      <c r="C292" s="9" t="s">
        <v>2443</v>
      </c>
      <c r="D292" s="6" t="s">
        <v>4614</v>
      </c>
      <c r="E292" s="20">
        <f t="shared" si="16"/>
        <v>0</v>
      </c>
      <c r="F292" s="20">
        <v>2072</v>
      </c>
      <c r="G292" s="24" t="s">
        <v>6747</v>
      </c>
      <c r="H292" s="20">
        <f t="shared" si="17"/>
        <v>0</v>
      </c>
      <c r="I292" s="21">
        <v>54</v>
      </c>
      <c r="J292" s="21">
        <f t="shared" si="19"/>
        <v>0</v>
      </c>
    </row>
    <row r="293" spans="1:10" ht="27.6" x14ac:dyDescent="0.3">
      <c r="A293" s="4" t="s">
        <v>300</v>
      </c>
      <c r="B293" s="1" t="s">
        <v>2152</v>
      </c>
      <c r="C293" s="10" t="s">
        <v>2444</v>
      </c>
      <c r="D293" s="6" t="s">
        <v>4615</v>
      </c>
      <c r="E293" s="20">
        <f t="shared" si="16"/>
        <v>0</v>
      </c>
      <c r="F293" s="20">
        <v>2072</v>
      </c>
      <c r="G293" s="24" t="s">
        <v>6748</v>
      </c>
      <c r="H293" s="20">
        <f t="shared" si="17"/>
        <v>0</v>
      </c>
      <c r="I293" s="21">
        <v>54</v>
      </c>
      <c r="J293" s="21">
        <f t="shared" si="19"/>
        <v>0</v>
      </c>
    </row>
    <row r="294" spans="1:10" ht="27.6" x14ac:dyDescent="0.3">
      <c r="A294" s="2" t="s">
        <v>301</v>
      </c>
      <c r="B294" s="1" t="s">
        <v>2152</v>
      </c>
      <c r="C294" s="11" t="s">
        <v>2445</v>
      </c>
      <c r="D294" s="6" t="s">
        <v>4616</v>
      </c>
      <c r="E294" s="20">
        <f t="shared" si="16"/>
        <v>0</v>
      </c>
      <c r="F294" s="20">
        <v>2072</v>
      </c>
      <c r="G294" s="24" t="s">
        <v>6749</v>
      </c>
      <c r="H294" s="20">
        <f t="shared" si="17"/>
        <v>0</v>
      </c>
      <c r="I294" s="21">
        <v>54</v>
      </c>
      <c r="J294" s="21">
        <f t="shared" si="19"/>
        <v>0</v>
      </c>
    </row>
    <row r="295" spans="1:10" ht="27.6" x14ac:dyDescent="0.3">
      <c r="A295" s="2" t="s">
        <v>302</v>
      </c>
      <c r="B295" s="1" t="s">
        <v>2152</v>
      </c>
      <c r="C295" s="6" t="s">
        <v>2446</v>
      </c>
      <c r="D295" s="6" t="s">
        <v>4617</v>
      </c>
      <c r="E295" s="20">
        <f t="shared" si="16"/>
        <v>0</v>
      </c>
      <c r="F295" s="20">
        <v>2072</v>
      </c>
      <c r="G295" s="24" t="s">
        <v>6750</v>
      </c>
      <c r="H295" s="20">
        <f t="shared" si="17"/>
        <v>0</v>
      </c>
      <c r="I295" s="21">
        <v>54</v>
      </c>
      <c r="J295" s="21">
        <f t="shared" ref="J295:J358" si="20">X295</f>
        <v>0</v>
      </c>
    </row>
    <row r="296" spans="1:10" ht="27.6" x14ac:dyDescent="0.3">
      <c r="A296" s="2" t="s">
        <v>303</v>
      </c>
      <c r="B296" s="1" t="s">
        <v>2152</v>
      </c>
      <c r="C296" s="6" t="s">
        <v>2447</v>
      </c>
      <c r="D296" s="6" t="s">
        <v>4618</v>
      </c>
      <c r="E296" s="20">
        <f t="shared" si="16"/>
        <v>0</v>
      </c>
      <c r="F296" s="20">
        <v>2072</v>
      </c>
      <c r="G296" s="24" t="s">
        <v>6751</v>
      </c>
      <c r="H296" s="20">
        <f t="shared" si="17"/>
        <v>0</v>
      </c>
      <c r="I296" s="21">
        <v>54</v>
      </c>
      <c r="J296" s="21">
        <f t="shared" si="20"/>
        <v>0</v>
      </c>
    </row>
    <row r="297" spans="1:10" ht="27.6" x14ac:dyDescent="0.3">
      <c r="A297" s="2" t="s">
        <v>304</v>
      </c>
      <c r="B297" s="1" t="s">
        <v>2152</v>
      </c>
      <c r="C297" s="6" t="s">
        <v>2448</v>
      </c>
      <c r="D297" s="6" t="s">
        <v>4619</v>
      </c>
      <c r="E297" s="20">
        <f t="shared" si="16"/>
        <v>0</v>
      </c>
      <c r="F297" s="20">
        <v>2072</v>
      </c>
      <c r="G297" s="24" t="s">
        <v>6752</v>
      </c>
      <c r="H297" s="20">
        <f t="shared" si="17"/>
        <v>0</v>
      </c>
      <c r="I297" s="21">
        <v>54</v>
      </c>
      <c r="J297" s="21">
        <f t="shared" si="20"/>
        <v>0</v>
      </c>
    </row>
    <row r="298" spans="1:10" ht="27.6" x14ac:dyDescent="0.3">
      <c r="A298" s="2" t="s">
        <v>305</v>
      </c>
      <c r="B298" s="1" t="s">
        <v>2152</v>
      </c>
      <c r="C298" s="6" t="s">
        <v>2449</v>
      </c>
      <c r="D298" s="6" t="s">
        <v>4620</v>
      </c>
      <c r="E298" s="20">
        <f t="shared" si="16"/>
        <v>0</v>
      </c>
      <c r="F298" s="20">
        <v>2072</v>
      </c>
      <c r="G298" s="24" t="s">
        <v>6753</v>
      </c>
      <c r="H298" s="20">
        <f t="shared" si="17"/>
        <v>0</v>
      </c>
      <c r="I298" s="21">
        <v>54</v>
      </c>
      <c r="J298" s="21">
        <f t="shared" si="20"/>
        <v>0</v>
      </c>
    </row>
    <row r="299" spans="1:10" ht="27.6" x14ac:dyDescent="0.3">
      <c r="A299" s="2" t="s">
        <v>306</v>
      </c>
      <c r="B299" s="1" t="s">
        <v>2152</v>
      </c>
      <c r="C299" s="6" t="s">
        <v>2450</v>
      </c>
      <c r="D299" s="6" t="s">
        <v>4621</v>
      </c>
      <c r="E299" s="20">
        <f t="shared" si="16"/>
        <v>0</v>
      </c>
      <c r="F299" s="20">
        <v>2072</v>
      </c>
      <c r="G299" s="24" t="s">
        <v>6754</v>
      </c>
      <c r="H299" s="20">
        <f t="shared" si="17"/>
        <v>0</v>
      </c>
      <c r="I299" s="21">
        <v>54</v>
      </c>
      <c r="J299" s="21">
        <f t="shared" si="20"/>
        <v>0</v>
      </c>
    </row>
    <row r="300" spans="1:10" ht="27.6" x14ac:dyDescent="0.3">
      <c r="A300" s="2" t="s">
        <v>307</v>
      </c>
      <c r="B300" s="1" t="s">
        <v>2152</v>
      </c>
      <c r="C300" s="6" t="s">
        <v>2451</v>
      </c>
      <c r="D300" s="6" t="s">
        <v>4622</v>
      </c>
      <c r="E300" s="20">
        <f t="shared" si="16"/>
        <v>0</v>
      </c>
      <c r="F300" s="20">
        <v>2072</v>
      </c>
      <c r="G300" s="24" t="s">
        <v>6755</v>
      </c>
      <c r="H300" s="20">
        <f t="shared" si="17"/>
        <v>0</v>
      </c>
      <c r="I300" s="21">
        <v>54</v>
      </c>
      <c r="J300" s="21">
        <f t="shared" si="20"/>
        <v>0</v>
      </c>
    </row>
    <row r="301" spans="1:10" ht="27.6" x14ac:dyDescent="0.3">
      <c r="A301" s="2" t="s">
        <v>308</v>
      </c>
      <c r="B301" s="1" t="s">
        <v>2152</v>
      </c>
      <c r="C301" s="6" t="s">
        <v>2452</v>
      </c>
      <c r="D301" s="6" t="s">
        <v>4623</v>
      </c>
      <c r="E301" s="20">
        <f t="shared" si="16"/>
        <v>0</v>
      </c>
      <c r="F301" s="20">
        <v>2072</v>
      </c>
      <c r="G301" s="24" t="s">
        <v>6756</v>
      </c>
      <c r="H301" s="20">
        <f t="shared" si="17"/>
        <v>0</v>
      </c>
      <c r="I301" s="21">
        <v>54</v>
      </c>
      <c r="J301" s="21">
        <f t="shared" si="20"/>
        <v>0</v>
      </c>
    </row>
    <row r="302" spans="1:10" ht="27.6" x14ac:dyDescent="0.3">
      <c r="A302" s="2" t="s">
        <v>309</v>
      </c>
      <c r="B302" s="1" t="s">
        <v>2152</v>
      </c>
      <c r="C302" s="6" t="s">
        <v>2453</v>
      </c>
      <c r="D302" s="6" t="s">
        <v>4624</v>
      </c>
      <c r="E302" s="20">
        <f t="shared" si="16"/>
        <v>0</v>
      </c>
      <c r="F302" s="20">
        <v>2072</v>
      </c>
      <c r="G302" s="24" t="s">
        <v>6757</v>
      </c>
      <c r="H302" s="20">
        <f t="shared" si="17"/>
        <v>0</v>
      </c>
      <c r="I302" s="21">
        <v>54</v>
      </c>
      <c r="J302" s="21">
        <f t="shared" si="20"/>
        <v>0</v>
      </c>
    </row>
    <row r="303" spans="1:10" ht="27.6" x14ac:dyDescent="0.3">
      <c r="A303" s="2" t="s">
        <v>310</v>
      </c>
      <c r="B303" s="1" t="s">
        <v>2152</v>
      </c>
      <c r="C303" s="6" t="s">
        <v>2454</v>
      </c>
      <c r="D303" s="6" t="s">
        <v>4625</v>
      </c>
      <c r="E303" s="20">
        <f t="shared" si="16"/>
        <v>0</v>
      </c>
      <c r="F303" s="20">
        <v>2072</v>
      </c>
      <c r="G303" s="24" t="s">
        <v>6758</v>
      </c>
      <c r="H303" s="20">
        <f t="shared" si="17"/>
        <v>0</v>
      </c>
      <c r="I303" s="21">
        <v>54</v>
      </c>
      <c r="J303" s="21">
        <f t="shared" si="20"/>
        <v>0</v>
      </c>
    </row>
    <row r="304" spans="1:10" x14ac:dyDescent="0.3">
      <c r="A304" s="2" t="s">
        <v>160</v>
      </c>
      <c r="B304" s="1" t="s">
        <v>2152</v>
      </c>
      <c r="C304" s="6" t="s">
        <v>2455</v>
      </c>
      <c r="D304" s="6" t="s">
        <v>4626</v>
      </c>
      <c r="E304" s="20">
        <f t="shared" si="16"/>
        <v>0</v>
      </c>
      <c r="F304" s="20">
        <v>1036</v>
      </c>
      <c r="G304" s="24" t="s">
        <v>6759</v>
      </c>
      <c r="H304" s="20">
        <f t="shared" si="17"/>
        <v>0</v>
      </c>
      <c r="I304" s="21">
        <v>27</v>
      </c>
      <c r="J304" s="21">
        <f t="shared" si="20"/>
        <v>0</v>
      </c>
    </row>
    <row r="305" spans="1:10" x14ac:dyDescent="0.3">
      <c r="A305" s="2" t="s">
        <v>161</v>
      </c>
      <c r="B305" s="1" t="s">
        <v>2152</v>
      </c>
      <c r="C305" s="6" t="s">
        <v>2456</v>
      </c>
      <c r="D305" s="6" t="s">
        <v>4627</v>
      </c>
      <c r="E305" s="20">
        <f t="shared" si="16"/>
        <v>0</v>
      </c>
      <c r="F305" s="20">
        <v>1036</v>
      </c>
      <c r="G305" s="24" t="s">
        <v>6760</v>
      </c>
      <c r="H305" s="20">
        <f t="shared" si="17"/>
        <v>0</v>
      </c>
      <c r="I305" s="21">
        <v>27</v>
      </c>
      <c r="J305" s="21">
        <f t="shared" si="20"/>
        <v>0</v>
      </c>
    </row>
    <row r="306" spans="1:10" ht="27.6" x14ac:dyDescent="0.3">
      <c r="A306" s="2" t="s">
        <v>311</v>
      </c>
      <c r="B306" s="1" t="s">
        <v>2152</v>
      </c>
      <c r="C306" s="6" t="s">
        <v>2457</v>
      </c>
      <c r="D306" s="6" t="s">
        <v>4628</v>
      </c>
      <c r="E306" s="20">
        <f t="shared" si="16"/>
        <v>0</v>
      </c>
      <c r="F306" s="20">
        <v>2369</v>
      </c>
      <c r="G306" s="24" t="s">
        <v>6761</v>
      </c>
      <c r="H306" s="20">
        <f t="shared" si="17"/>
        <v>0</v>
      </c>
      <c r="I306" s="21">
        <v>54</v>
      </c>
      <c r="J306" s="21">
        <f t="shared" si="20"/>
        <v>0</v>
      </c>
    </row>
    <row r="307" spans="1:10" ht="27.6" x14ac:dyDescent="0.3">
      <c r="A307" s="2" t="s">
        <v>312</v>
      </c>
      <c r="B307" s="1" t="s">
        <v>2152</v>
      </c>
      <c r="C307" s="6" t="s">
        <v>2458</v>
      </c>
      <c r="D307" s="6" t="s">
        <v>4629</v>
      </c>
      <c r="E307" s="20">
        <f t="shared" si="16"/>
        <v>0</v>
      </c>
      <c r="F307" s="20">
        <v>2369</v>
      </c>
      <c r="G307" s="24" t="s">
        <v>6762</v>
      </c>
      <c r="H307" s="20">
        <f t="shared" si="17"/>
        <v>0</v>
      </c>
      <c r="I307" s="21">
        <v>54</v>
      </c>
      <c r="J307" s="21">
        <f t="shared" si="20"/>
        <v>0</v>
      </c>
    </row>
    <row r="308" spans="1:10" ht="27.6" x14ac:dyDescent="0.3">
      <c r="A308" s="2" t="s">
        <v>313</v>
      </c>
      <c r="B308" s="1" t="s">
        <v>2152</v>
      </c>
      <c r="C308" s="6" t="s">
        <v>2459</v>
      </c>
      <c r="D308" s="6" t="s">
        <v>4630</v>
      </c>
      <c r="E308" s="20">
        <f t="shared" si="16"/>
        <v>0</v>
      </c>
      <c r="F308" s="20">
        <v>2369</v>
      </c>
      <c r="G308" s="24" t="s">
        <v>6763</v>
      </c>
      <c r="H308" s="20">
        <f t="shared" si="17"/>
        <v>0</v>
      </c>
      <c r="I308" s="21">
        <v>54</v>
      </c>
      <c r="J308" s="21">
        <f t="shared" si="20"/>
        <v>0</v>
      </c>
    </row>
    <row r="309" spans="1:10" ht="27.6" x14ac:dyDescent="0.3">
      <c r="A309" s="2" t="s">
        <v>314</v>
      </c>
      <c r="B309" s="1" t="s">
        <v>2152</v>
      </c>
      <c r="C309" s="6" t="s">
        <v>2460</v>
      </c>
      <c r="D309" s="6" t="s">
        <v>4631</v>
      </c>
      <c r="E309" s="20">
        <f t="shared" si="16"/>
        <v>0</v>
      </c>
      <c r="F309" s="20">
        <v>2369</v>
      </c>
      <c r="G309" s="24" t="s">
        <v>6764</v>
      </c>
      <c r="H309" s="20">
        <f t="shared" si="17"/>
        <v>0</v>
      </c>
      <c r="I309" s="21">
        <v>54</v>
      </c>
      <c r="J309" s="21">
        <f t="shared" si="20"/>
        <v>0</v>
      </c>
    </row>
    <row r="310" spans="1:10" ht="27.6" x14ac:dyDescent="0.3">
      <c r="A310" s="2" t="s">
        <v>315</v>
      </c>
      <c r="B310" s="1" t="s">
        <v>2152</v>
      </c>
      <c r="C310" s="6" t="s">
        <v>2461</v>
      </c>
      <c r="D310" s="6" t="s">
        <v>4632</v>
      </c>
      <c r="E310" s="20">
        <f t="shared" si="16"/>
        <v>0</v>
      </c>
      <c r="F310" s="20">
        <v>2369</v>
      </c>
      <c r="G310" s="24" t="s">
        <v>6765</v>
      </c>
      <c r="H310" s="20">
        <f t="shared" si="17"/>
        <v>0</v>
      </c>
      <c r="I310" s="21">
        <v>54</v>
      </c>
      <c r="J310" s="21">
        <f t="shared" si="20"/>
        <v>0</v>
      </c>
    </row>
    <row r="311" spans="1:10" ht="27.6" x14ac:dyDescent="0.3">
      <c r="A311" s="2" t="s">
        <v>316</v>
      </c>
      <c r="B311" s="1" t="s">
        <v>2152</v>
      </c>
      <c r="C311" s="6" t="s">
        <v>2462</v>
      </c>
      <c r="D311" s="6" t="s">
        <v>4633</v>
      </c>
      <c r="E311" s="20">
        <f t="shared" si="16"/>
        <v>0</v>
      </c>
      <c r="F311" s="20">
        <v>2369</v>
      </c>
      <c r="G311" s="24" t="s">
        <v>6766</v>
      </c>
      <c r="H311" s="20">
        <f t="shared" si="17"/>
        <v>0</v>
      </c>
      <c r="I311" s="21">
        <v>54</v>
      </c>
      <c r="J311" s="21">
        <f t="shared" si="20"/>
        <v>0</v>
      </c>
    </row>
    <row r="312" spans="1:10" ht="27.6" x14ac:dyDescent="0.3">
      <c r="A312" s="2" t="s">
        <v>317</v>
      </c>
      <c r="B312" s="1" t="s">
        <v>2152</v>
      </c>
      <c r="C312" s="6" t="s">
        <v>2463</v>
      </c>
      <c r="D312" s="6" t="s">
        <v>4634</v>
      </c>
      <c r="E312" s="20">
        <f t="shared" si="16"/>
        <v>0</v>
      </c>
      <c r="F312" s="20">
        <v>2369</v>
      </c>
      <c r="G312" s="24" t="s">
        <v>6767</v>
      </c>
      <c r="H312" s="20">
        <f t="shared" si="17"/>
        <v>0</v>
      </c>
      <c r="I312" s="21">
        <v>54</v>
      </c>
      <c r="J312" s="21">
        <f t="shared" si="20"/>
        <v>0</v>
      </c>
    </row>
    <row r="313" spans="1:10" ht="27.6" x14ac:dyDescent="0.3">
      <c r="A313" s="2" t="s">
        <v>318</v>
      </c>
      <c r="B313" s="1" t="s">
        <v>2152</v>
      </c>
      <c r="C313" s="6" t="s">
        <v>2464</v>
      </c>
      <c r="D313" s="6" t="s">
        <v>4635</v>
      </c>
      <c r="E313" s="20">
        <f t="shared" si="16"/>
        <v>0</v>
      </c>
      <c r="F313" s="20">
        <v>2369</v>
      </c>
      <c r="G313" s="24" t="s">
        <v>6768</v>
      </c>
      <c r="H313" s="20">
        <f t="shared" si="17"/>
        <v>0</v>
      </c>
      <c r="I313" s="21">
        <v>54</v>
      </c>
      <c r="J313" s="21">
        <f t="shared" si="20"/>
        <v>0</v>
      </c>
    </row>
    <row r="314" spans="1:10" ht="27.6" x14ac:dyDescent="0.3">
      <c r="A314" s="2" t="s">
        <v>319</v>
      </c>
      <c r="B314" s="1" t="s">
        <v>2152</v>
      </c>
      <c r="C314" s="6" t="s">
        <v>2465</v>
      </c>
      <c r="D314" s="6" t="s">
        <v>4636</v>
      </c>
      <c r="E314" s="20">
        <f t="shared" si="16"/>
        <v>0</v>
      </c>
      <c r="F314" s="20">
        <v>2369</v>
      </c>
      <c r="G314" s="24" t="s">
        <v>6769</v>
      </c>
      <c r="H314" s="20">
        <f t="shared" si="17"/>
        <v>0</v>
      </c>
      <c r="I314" s="21">
        <v>54</v>
      </c>
      <c r="J314" s="21">
        <f t="shared" si="20"/>
        <v>0</v>
      </c>
    </row>
    <row r="315" spans="1:10" ht="27.6" x14ac:dyDescent="0.3">
      <c r="A315" s="2" t="s">
        <v>320</v>
      </c>
      <c r="B315" s="1" t="s">
        <v>2152</v>
      </c>
      <c r="C315" s="6" t="s">
        <v>2466</v>
      </c>
      <c r="D315" s="6" t="s">
        <v>4637</v>
      </c>
      <c r="E315" s="20">
        <f t="shared" si="16"/>
        <v>0</v>
      </c>
      <c r="F315" s="20">
        <v>2369</v>
      </c>
      <c r="G315" s="24" t="s">
        <v>6770</v>
      </c>
      <c r="H315" s="20">
        <f t="shared" si="17"/>
        <v>0</v>
      </c>
      <c r="I315" s="21">
        <v>54</v>
      </c>
      <c r="J315" s="21">
        <f t="shared" si="20"/>
        <v>0</v>
      </c>
    </row>
    <row r="316" spans="1:10" ht="27.6" x14ac:dyDescent="0.3">
      <c r="A316" s="2" t="s">
        <v>321</v>
      </c>
      <c r="B316" s="1" t="s">
        <v>2152</v>
      </c>
      <c r="C316" s="6" t="s">
        <v>2467</v>
      </c>
      <c r="D316" s="6" t="s">
        <v>4638</v>
      </c>
      <c r="E316" s="20">
        <f t="shared" si="16"/>
        <v>0</v>
      </c>
      <c r="F316" s="20">
        <v>2369</v>
      </c>
      <c r="G316" s="24" t="s">
        <v>6771</v>
      </c>
      <c r="H316" s="20">
        <f t="shared" si="17"/>
        <v>0</v>
      </c>
      <c r="I316" s="21">
        <v>54</v>
      </c>
      <c r="J316" s="21">
        <f t="shared" si="20"/>
        <v>0</v>
      </c>
    </row>
    <row r="317" spans="1:10" ht="27.6" x14ac:dyDescent="0.3">
      <c r="A317" s="2" t="s">
        <v>322</v>
      </c>
      <c r="B317" s="1" t="s">
        <v>2152</v>
      </c>
      <c r="C317" s="6" t="s">
        <v>2468</v>
      </c>
      <c r="D317" s="6" t="s">
        <v>4639</v>
      </c>
      <c r="E317" s="20">
        <f t="shared" si="16"/>
        <v>0</v>
      </c>
      <c r="F317" s="20">
        <v>2369</v>
      </c>
      <c r="G317" s="24" t="s">
        <v>6772</v>
      </c>
      <c r="H317" s="20">
        <f t="shared" si="17"/>
        <v>0</v>
      </c>
      <c r="I317" s="21">
        <v>54</v>
      </c>
      <c r="J317" s="21">
        <f t="shared" si="20"/>
        <v>0</v>
      </c>
    </row>
    <row r="318" spans="1:10" ht="27.6" x14ac:dyDescent="0.3">
      <c r="A318" s="2" t="s">
        <v>323</v>
      </c>
      <c r="B318" s="1" t="s">
        <v>2152</v>
      </c>
      <c r="C318" s="6" t="s">
        <v>2469</v>
      </c>
      <c r="D318" s="6" t="s">
        <v>4640</v>
      </c>
      <c r="E318" s="20">
        <f t="shared" si="16"/>
        <v>0</v>
      </c>
      <c r="F318" s="20">
        <v>2369</v>
      </c>
      <c r="G318" s="24" t="s">
        <v>6773</v>
      </c>
      <c r="H318" s="20">
        <f t="shared" si="17"/>
        <v>0</v>
      </c>
      <c r="I318" s="21">
        <v>54</v>
      </c>
      <c r="J318" s="21">
        <f t="shared" si="20"/>
        <v>0</v>
      </c>
    </row>
    <row r="319" spans="1:10" ht="27.6" x14ac:dyDescent="0.3">
      <c r="A319" s="2" t="s">
        <v>324</v>
      </c>
      <c r="B319" s="1" t="s">
        <v>2152</v>
      </c>
      <c r="C319" s="6" t="s">
        <v>2470</v>
      </c>
      <c r="D319" s="6" t="s">
        <v>4641</v>
      </c>
      <c r="E319" s="20">
        <f t="shared" si="16"/>
        <v>0</v>
      </c>
      <c r="F319" s="20">
        <v>2369</v>
      </c>
      <c r="G319" s="24" t="s">
        <v>6774</v>
      </c>
      <c r="H319" s="20">
        <f t="shared" si="17"/>
        <v>0</v>
      </c>
      <c r="I319" s="21">
        <v>54</v>
      </c>
      <c r="J319" s="21">
        <f t="shared" si="20"/>
        <v>0</v>
      </c>
    </row>
    <row r="320" spans="1:10" ht="27.6" x14ac:dyDescent="0.3">
      <c r="A320" s="2" t="s">
        <v>325</v>
      </c>
      <c r="B320" s="1" t="s">
        <v>2152</v>
      </c>
      <c r="C320" s="6" t="s">
        <v>2471</v>
      </c>
      <c r="D320" s="6" t="s">
        <v>4642</v>
      </c>
      <c r="E320" s="20">
        <f t="shared" si="16"/>
        <v>0</v>
      </c>
      <c r="F320" s="20">
        <v>2369</v>
      </c>
      <c r="G320" s="24" t="s">
        <v>6775</v>
      </c>
      <c r="H320" s="20">
        <f t="shared" si="17"/>
        <v>0</v>
      </c>
      <c r="I320" s="21">
        <v>54</v>
      </c>
      <c r="J320" s="21">
        <f t="shared" si="20"/>
        <v>0</v>
      </c>
    </row>
    <row r="321" spans="1:10" ht="27.6" x14ac:dyDescent="0.3">
      <c r="A321" s="2" t="s">
        <v>326</v>
      </c>
      <c r="B321" s="1" t="s">
        <v>2152</v>
      </c>
      <c r="C321" s="6" t="s">
        <v>2472</v>
      </c>
      <c r="D321" s="6" t="s">
        <v>4643</v>
      </c>
      <c r="E321" s="20">
        <f t="shared" si="16"/>
        <v>0</v>
      </c>
      <c r="F321" s="20">
        <v>2369</v>
      </c>
      <c r="G321" s="24" t="s">
        <v>6776</v>
      </c>
      <c r="H321" s="20">
        <f t="shared" si="17"/>
        <v>0</v>
      </c>
      <c r="I321" s="21">
        <v>54</v>
      </c>
      <c r="J321" s="21">
        <f t="shared" si="20"/>
        <v>0</v>
      </c>
    </row>
    <row r="322" spans="1:10" ht="27.6" x14ac:dyDescent="0.3">
      <c r="A322" s="2" t="s">
        <v>327</v>
      </c>
      <c r="B322" s="1" t="s">
        <v>2152</v>
      </c>
      <c r="C322" s="6" t="s">
        <v>2473</v>
      </c>
      <c r="D322" s="6" t="s">
        <v>4644</v>
      </c>
      <c r="E322" s="20">
        <f t="shared" si="16"/>
        <v>0</v>
      </c>
      <c r="F322" s="20">
        <v>2369</v>
      </c>
      <c r="G322" s="24" t="s">
        <v>6777</v>
      </c>
      <c r="H322" s="20">
        <f t="shared" si="17"/>
        <v>0</v>
      </c>
      <c r="I322" s="21">
        <v>54</v>
      </c>
      <c r="J322" s="21">
        <f t="shared" si="20"/>
        <v>0</v>
      </c>
    </row>
    <row r="323" spans="1:10" ht="27.6" x14ac:dyDescent="0.3">
      <c r="A323" s="2" t="s">
        <v>328</v>
      </c>
      <c r="B323" s="1" t="s">
        <v>2152</v>
      </c>
      <c r="C323" s="6" t="s">
        <v>2474</v>
      </c>
      <c r="D323" s="6" t="s">
        <v>4645</v>
      </c>
      <c r="E323" s="20">
        <f t="shared" si="16"/>
        <v>0</v>
      </c>
      <c r="F323" s="20">
        <v>2369</v>
      </c>
      <c r="G323" s="24" t="s">
        <v>6778</v>
      </c>
      <c r="H323" s="20">
        <f t="shared" si="17"/>
        <v>0</v>
      </c>
      <c r="I323" s="21">
        <v>54</v>
      </c>
      <c r="J323" s="21">
        <f t="shared" si="20"/>
        <v>0</v>
      </c>
    </row>
    <row r="324" spans="1:10" ht="27.6" x14ac:dyDescent="0.3">
      <c r="A324" s="2" t="s">
        <v>329</v>
      </c>
      <c r="B324" s="1" t="s">
        <v>2152</v>
      </c>
      <c r="C324" s="6" t="s">
        <v>2475</v>
      </c>
      <c r="D324" s="6" t="s">
        <v>4646</v>
      </c>
      <c r="E324" s="20">
        <f t="shared" si="16"/>
        <v>0</v>
      </c>
      <c r="F324" s="20">
        <v>2369</v>
      </c>
      <c r="G324" s="24" t="s">
        <v>6779</v>
      </c>
      <c r="H324" s="20">
        <f t="shared" si="17"/>
        <v>0</v>
      </c>
      <c r="I324" s="21">
        <v>54</v>
      </c>
      <c r="J324" s="21">
        <f t="shared" si="20"/>
        <v>0</v>
      </c>
    </row>
    <row r="325" spans="1:10" ht="27.6" x14ac:dyDescent="0.3">
      <c r="A325" s="2" t="s">
        <v>330</v>
      </c>
      <c r="B325" s="1" t="s">
        <v>2152</v>
      </c>
      <c r="C325" s="6" t="s">
        <v>2476</v>
      </c>
      <c r="D325" s="6" t="s">
        <v>4647</v>
      </c>
      <c r="E325" s="20">
        <f t="shared" si="16"/>
        <v>0</v>
      </c>
      <c r="F325" s="20">
        <v>2369</v>
      </c>
      <c r="G325" s="24" t="s">
        <v>6780</v>
      </c>
      <c r="H325" s="20">
        <f t="shared" si="17"/>
        <v>0</v>
      </c>
      <c r="I325" s="21">
        <v>54</v>
      </c>
      <c r="J325" s="21">
        <f t="shared" si="20"/>
        <v>0</v>
      </c>
    </row>
    <row r="326" spans="1:10" ht="27.6" x14ac:dyDescent="0.3">
      <c r="A326" s="2" t="s">
        <v>331</v>
      </c>
      <c r="B326" s="1" t="s">
        <v>2152</v>
      </c>
      <c r="C326" s="6" t="s">
        <v>2477</v>
      </c>
      <c r="D326" s="6" t="s">
        <v>4648</v>
      </c>
      <c r="E326" s="20">
        <f t="shared" si="16"/>
        <v>0</v>
      </c>
      <c r="F326" s="20">
        <v>2369</v>
      </c>
      <c r="G326" s="24" t="s">
        <v>6781</v>
      </c>
      <c r="H326" s="20">
        <f t="shared" si="17"/>
        <v>0</v>
      </c>
      <c r="I326" s="21">
        <v>54</v>
      </c>
      <c r="J326" s="21">
        <f t="shared" si="20"/>
        <v>0</v>
      </c>
    </row>
    <row r="327" spans="1:10" ht="27.6" x14ac:dyDescent="0.3">
      <c r="A327" s="2" t="s">
        <v>332</v>
      </c>
      <c r="B327" s="1" t="s">
        <v>2152</v>
      </c>
      <c r="C327" s="6" t="s">
        <v>2478</v>
      </c>
      <c r="D327" s="6" t="s">
        <v>4649</v>
      </c>
      <c r="E327" s="20">
        <f t="shared" si="16"/>
        <v>0</v>
      </c>
      <c r="F327" s="20">
        <v>2369</v>
      </c>
      <c r="G327" s="24" t="s">
        <v>6782</v>
      </c>
      <c r="H327" s="20">
        <f t="shared" si="17"/>
        <v>0</v>
      </c>
      <c r="I327" s="21">
        <v>54</v>
      </c>
      <c r="J327" s="21">
        <f t="shared" si="20"/>
        <v>0</v>
      </c>
    </row>
    <row r="328" spans="1:10" ht="27.6" x14ac:dyDescent="0.3">
      <c r="A328" s="2" t="s">
        <v>333</v>
      </c>
      <c r="B328" s="1" t="s">
        <v>2152</v>
      </c>
      <c r="C328" s="6" t="s">
        <v>2479</v>
      </c>
      <c r="D328" s="6" t="s">
        <v>4650</v>
      </c>
      <c r="E328" s="20">
        <f t="shared" si="16"/>
        <v>0</v>
      </c>
      <c r="F328" s="20">
        <v>2369</v>
      </c>
      <c r="G328" s="24" t="s">
        <v>6783</v>
      </c>
      <c r="H328" s="20">
        <f t="shared" si="17"/>
        <v>0</v>
      </c>
      <c r="I328" s="21">
        <v>54</v>
      </c>
      <c r="J328" s="21">
        <f t="shared" si="20"/>
        <v>0</v>
      </c>
    </row>
    <row r="329" spans="1:10" ht="27.6" x14ac:dyDescent="0.3">
      <c r="A329" s="2" t="s">
        <v>334</v>
      </c>
      <c r="B329" s="1" t="s">
        <v>2152</v>
      </c>
      <c r="C329" s="6" t="s">
        <v>2480</v>
      </c>
      <c r="D329" s="6" t="s">
        <v>4651</v>
      </c>
      <c r="E329" s="20">
        <f t="shared" si="16"/>
        <v>0</v>
      </c>
      <c r="F329" s="20">
        <v>2369</v>
      </c>
      <c r="G329" s="24" t="s">
        <v>6784</v>
      </c>
      <c r="H329" s="20">
        <f t="shared" si="17"/>
        <v>0</v>
      </c>
      <c r="I329" s="21">
        <v>54</v>
      </c>
      <c r="J329" s="21">
        <f t="shared" si="20"/>
        <v>0</v>
      </c>
    </row>
    <row r="330" spans="1:10" ht="27.6" x14ac:dyDescent="0.3">
      <c r="A330" s="2" t="s">
        <v>335</v>
      </c>
      <c r="B330" s="1" t="s">
        <v>2152</v>
      </c>
      <c r="C330" s="6" t="s">
        <v>2481</v>
      </c>
      <c r="D330" s="6" t="s">
        <v>4652</v>
      </c>
      <c r="E330" s="20">
        <f t="shared" si="16"/>
        <v>0</v>
      </c>
      <c r="F330" s="20">
        <v>2369</v>
      </c>
      <c r="G330" s="24" t="s">
        <v>6785</v>
      </c>
      <c r="H330" s="20">
        <f t="shared" si="17"/>
        <v>0</v>
      </c>
      <c r="I330" s="21">
        <v>54</v>
      </c>
      <c r="J330" s="21">
        <f t="shared" si="20"/>
        <v>0</v>
      </c>
    </row>
    <row r="331" spans="1:10" ht="27.6" x14ac:dyDescent="0.3">
      <c r="A331" s="2" t="s">
        <v>336</v>
      </c>
      <c r="B331" s="1" t="s">
        <v>2152</v>
      </c>
      <c r="C331" s="6" t="s">
        <v>2482</v>
      </c>
      <c r="D331" s="6" t="s">
        <v>4653</v>
      </c>
      <c r="E331" s="20">
        <f t="shared" si="16"/>
        <v>0</v>
      </c>
      <c r="F331" s="20">
        <v>2369</v>
      </c>
      <c r="G331" s="24" t="s">
        <v>6786</v>
      </c>
      <c r="H331" s="20">
        <f t="shared" si="17"/>
        <v>0</v>
      </c>
      <c r="I331" s="21">
        <v>54</v>
      </c>
      <c r="J331" s="21">
        <f t="shared" si="20"/>
        <v>0</v>
      </c>
    </row>
    <row r="332" spans="1:10" ht="27.6" x14ac:dyDescent="0.3">
      <c r="A332" s="2" t="s">
        <v>337</v>
      </c>
      <c r="B332" s="1" t="s">
        <v>2152</v>
      </c>
      <c r="C332" s="6" t="s">
        <v>2483</v>
      </c>
      <c r="D332" s="6" t="s">
        <v>4654</v>
      </c>
      <c r="E332" s="20">
        <f t="shared" si="16"/>
        <v>0</v>
      </c>
      <c r="F332" s="20">
        <v>2369</v>
      </c>
      <c r="G332" s="24" t="s">
        <v>6787</v>
      </c>
      <c r="H332" s="20">
        <f t="shared" si="17"/>
        <v>0</v>
      </c>
      <c r="I332" s="21">
        <v>54</v>
      </c>
      <c r="J332" s="21">
        <f t="shared" si="20"/>
        <v>0</v>
      </c>
    </row>
    <row r="333" spans="1:10" ht="27.6" x14ac:dyDescent="0.3">
      <c r="A333" s="2" t="s">
        <v>338</v>
      </c>
      <c r="B333" s="1" t="s">
        <v>2152</v>
      </c>
      <c r="C333" s="6" t="s">
        <v>2484</v>
      </c>
      <c r="D333" s="6" t="s">
        <v>4655</v>
      </c>
      <c r="E333" s="20">
        <f t="shared" si="16"/>
        <v>0</v>
      </c>
      <c r="F333" s="20">
        <v>2369</v>
      </c>
      <c r="G333" s="24" t="s">
        <v>6788</v>
      </c>
      <c r="H333" s="20">
        <f t="shared" si="17"/>
        <v>0</v>
      </c>
      <c r="I333" s="21">
        <v>54</v>
      </c>
      <c r="J333" s="21">
        <f t="shared" si="20"/>
        <v>0</v>
      </c>
    </row>
    <row r="334" spans="1:10" ht="27.6" x14ac:dyDescent="0.3">
      <c r="A334" s="2" t="s">
        <v>339</v>
      </c>
      <c r="B334" s="1" t="s">
        <v>2152</v>
      </c>
      <c r="C334" s="6" t="s">
        <v>2485</v>
      </c>
      <c r="D334" s="6" t="s">
        <v>4656</v>
      </c>
      <c r="E334" s="20">
        <f t="shared" si="16"/>
        <v>0</v>
      </c>
      <c r="F334" s="20">
        <v>2369</v>
      </c>
      <c r="G334" s="24" t="s">
        <v>6789</v>
      </c>
      <c r="H334" s="20">
        <f t="shared" si="17"/>
        <v>0</v>
      </c>
      <c r="I334" s="21">
        <v>54</v>
      </c>
      <c r="J334" s="21">
        <f t="shared" si="20"/>
        <v>0</v>
      </c>
    </row>
    <row r="335" spans="1:10" ht="27.6" x14ac:dyDescent="0.3">
      <c r="A335" s="2" t="s">
        <v>340</v>
      </c>
      <c r="B335" s="1" t="s">
        <v>2152</v>
      </c>
      <c r="C335" s="6" t="s">
        <v>2486</v>
      </c>
      <c r="D335" s="6" t="s">
        <v>4657</v>
      </c>
      <c r="E335" s="20">
        <f t="shared" si="16"/>
        <v>0</v>
      </c>
      <c r="F335" s="20">
        <v>2369</v>
      </c>
      <c r="G335" s="24" t="s">
        <v>6790</v>
      </c>
      <c r="H335" s="20">
        <f t="shared" si="17"/>
        <v>0</v>
      </c>
      <c r="I335" s="21">
        <v>54</v>
      </c>
      <c r="J335" s="21">
        <f t="shared" si="20"/>
        <v>0</v>
      </c>
    </row>
    <row r="336" spans="1:10" ht="27.6" x14ac:dyDescent="0.3">
      <c r="A336" s="2" t="s">
        <v>341</v>
      </c>
      <c r="B336" s="1" t="s">
        <v>2152</v>
      </c>
      <c r="C336" s="6" t="s">
        <v>2487</v>
      </c>
      <c r="D336" s="6" t="s">
        <v>4658</v>
      </c>
      <c r="E336" s="20">
        <f t="shared" si="16"/>
        <v>0</v>
      </c>
      <c r="F336" s="20">
        <v>2369</v>
      </c>
      <c r="G336" s="24" t="s">
        <v>6791</v>
      </c>
      <c r="H336" s="20">
        <f t="shared" si="17"/>
        <v>0</v>
      </c>
      <c r="I336" s="21">
        <v>54</v>
      </c>
      <c r="J336" s="21">
        <f t="shared" si="20"/>
        <v>0</v>
      </c>
    </row>
    <row r="337" spans="1:10" ht="27.6" x14ac:dyDescent="0.3">
      <c r="A337" s="2" t="s">
        <v>342</v>
      </c>
      <c r="B337" s="1" t="s">
        <v>2152</v>
      </c>
      <c r="C337" s="6" t="s">
        <v>2488</v>
      </c>
      <c r="D337" s="6" t="s">
        <v>4659</v>
      </c>
      <c r="E337" s="20">
        <f t="shared" si="16"/>
        <v>0</v>
      </c>
      <c r="F337" s="20">
        <v>2369</v>
      </c>
      <c r="G337" s="24" t="s">
        <v>6792</v>
      </c>
      <c r="H337" s="20">
        <f t="shared" si="17"/>
        <v>0</v>
      </c>
      <c r="I337" s="21">
        <v>54</v>
      </c>
      <c r="J337" s="21">
        <f t="shared" si="20"/>
        <v>0</v>
      </c>
    </row>
    <row r="338" spans="1:10" ht="27.6" x14ac:dyDescent="0.3">
      <c r="A338" s="2" t="s">
        <v>343</v>
      </c>
      <c r="B338" s="1" t="s">
        <v>2152</v>
      </c>
      <c r="C338" s="6" t="s">
        <v>2489</v>
      </c>
      <c r="D338" s="6" t="s">
        <v>4660</v>
      </c>
      <c r="E338" s="20">
        <f t="shared" si="16"/>
        <v>0</v>
      </c>
      <c r="F338" s="20">
        <v>2369</v>
      </c>
      <c r="G338" s="24" t="s">
        <v>6793</v>
      </c>
      <c r="H338" s="20">
        <f t="shared" si="17"/>
        <v>0</v>
      </c>
      <c r="I338" s="21">
        <v>54</v>
      </c>
      <c r="J338" s="21">
        <f t="shared" si="20"/>
        <v>0</v>
      </c>
    </row>
    <row r="339" spans="1:10" ht="27.6" x14ac:dyDescent="0.3">
      <c r="A339" s="2" t="s">
        <v>344</v>
      </c>
      <c r="B339" s="1" t="s">
        <v>2152</v>
      </c>
      <c r="C339" s="6" t="s">
        <v>2490</v>
      </c>
      <c r="D339" s="6" t="s">
        <v>4661</v>
      </c>
      <c r="E339" s="20">
        <f t="shared" si="16"/>
        <v>0</v>
      </c>
      <c r="F339" s="20">
        <v>2369</v>
      </c>
      <c r="G339" s="24" t="s">
        <v>6794</v>
      </c>
      <c r="H339" s="20">
        <f t="shared" si="17"/>
        <v>0</v>
      </c>
      <c r="I339" s="21">
        <v>54</v>
      </c>
      <c r="J339" s="21">
        <f t="shared" si="20"/>
        <v>0</v>
      </c>
    </row>
    <row r="340" spans="1:10" ht="27.6" x14ac:dyDescent="0.3">
      <c r="A340" s="2" t="s">
        <v>345</v>
      </c>
      <c r="B340" s="1" t="s">
        <v>2152</v>
      </c>
      <c r="C340" s="6" t="s">
        <v>2491</v>
      </c>
      <c r="D340" s="6" t="s">
        <v>4662</v>
      </c>
      <c r="E340" s="20">
        <f t="shared" si="16"/>
        <v>0</v>
      </c>
      <c r="F340" s="20">
        <v>2369</v>
      </c>
      <c r="G340" s="24" t="s">
        <v>6795</v>
      </c>
      <c r="H340" s="20">
        <f t="shared" si="17"/>
        <v>0</v>
      </c>
      <c r="I340" s="21">
        <v>54</v>
      </c>
      <c r="J340" s="21">
        <f t="shared" si="20"/>
        <v>0</v>
      </c>
    </row>
    <row r="341" spans="1:10" ht="27.6" x14ac:dyDescent="0.3">
      <c r="A341" s="2" t="s">
        <v>346</v>
      </c>
      <c r="B341" s="1" t="s">
        <v>2152</v>
      </c>
      <c r="C341" s="6" t="s">
        <v>2492</v>
      </c>
      <c r="D341" s="6" t="s">
        <v>4663</v>
      </c>
      <c r="E341" s="20">
        <f t="shared" si="16"/>
        <v>0</v>
      </c>
      <c r="F341" s="20">
        <v>2369</v>
      </c>
      <c r="G341" s="24" t="s">
        <v>6796</v>
      </c>
      <c r="H341" s="20">
        <f t="shared" si="17"/>
        <v>0</v>
      </c>
      <c r="I341" s="21">
        <v>54</v>
      </c>
      <c r="J341" s="21">
        <f t="shared" si="20"/>
        <v>0</v>
      </c>
    </row>
    <row r="342" spans="1:10" ht="27.6" x14ac:dyDescent="0.3">
      <c r="A342" s="2" t="s">
        <v>347</v>
      </c>
      <c r="B342" s="1" t="s">
        <v>2152</v>
      </c>
      <c r="C342" s="6" t="s">
        <v>2493</v>
      </c>
      <c r="D342" s="6" t="s">
        <v>4664</v>
      </c>
      <c r="E342" s="20">
        <f t="shared" si="16"/>
        <v>0</v>
      </c>
      <c r="F342" s="20">
        <v>2369</v>
      </c>
      <c r="G342" s="24" t="s">
        <v>6797</v>
      </c>
      <c r="H342" s="20">
        <f t="shared" si="17"/>
        <v>0</v>
      </c>
      <c r="I342" s="21">
        <v>54</v>
      </c>
      <c r="J342" s="21">
        <f t="shared" si="20"/>
        <v>0</v>
      </c>
    </row>
    <row r="343" spans="1:10" ht="27.6" x14ac:dyDescent="0.3">
      <c r="A343" s="2" t="s">
        <v>348</v>
      </c>
      <c r="B343" s="1" t="s">
        <v>2152</v>
      </c>
      <c r="C343" s="6" t="s">
        <v>2494</v>
      </c>
      <c r="D343" s="6" t="s">
        <v>4665</v>
      </c>
      <c r="E343" s="20">
        <f t="shared" si="16"/>
        <v>0</v>
      </c>
      <c r="F343" s="20">
        <v>2369</v>
      </c>
      <c r="G343" s="24" t="s">
        <v>6798</v>
      </c>
      <c r="H343" s="20">
        <f t="shared" si="17"/>
        <v>0</v>
      </c>
      <c r="I343" s="21">
        <v>54</v>
      </c>
      <c r="J343" s="21">
        <f t="shared" si="20"/>
        <v>0</v>
      </c>
    </row>
    <row r="344" spans="1:10" ht="27.6" x14ac:dyDescent="0.3">
      <c r="A344" s="2" t="s">
        <v>349</v>
      </c>
      <c r="B344" s="1" t="s">
        <v>2152</v>
      </c>
      <c r="C344" s="6" t="s">
        <v>2495</v>
      </c>
      <c r="D344" s="6" t="s">
        <v>4666</v>
      </c>
      <c r="E344" s="20">
        <f t="shared" si="16"/>
        <v>0</v>
      </c>
      <c r="F344" s="20">
        <v>2369</v>
      </c>
      <c r="G344" s="24" t="s">
        <v>6799</v>
      </c>
      <c r="H344" s="20">
        <f t="shared" si="17"/>
        <v>0</v>
      </c>
      <c r="I344" s="21">
        <v>54</v>
      </c>
      <c r="J344" s="21">
        <f t="shared" si="20"/>
        <v>0</v>
      </c>
    </row>
    <row r="345" spans="1:10" ht="27.6" x14ac:dyDescent="0.3">
      <c r="A345" s="2" t="s">
        <v>350</v>
      </c>
      <c r="B345" s="1" t="s">
        <v>2152</v>
      </c>
      <c r="C345" s="6" t="s">
        <v>2496</v>
      </c>
      <c r="D345" s="6" t="s">
        <v>4667</v>
      </c>
      <c r="E345" s="20">
        <f t="shared" si="16"/>
        <v>0</v>
      </c>
      <c r="F345" s="20">
        <v>2369</v>
      </c>
      <c r="G345" s="24" t="s">
        <v>6800</v>
      </c>
      <c r="H345" s="20">
        <f t="shared" si="17"/>
        <v>0</v>
      </c>
      <c r="I345" s="21">
        <v>54</v>
      </c>
      <c r="J345" s="21">
        <f t="shared" si="20"/>
        <v>0</v>
      </c>
    </row>
    <row r="346" spans="1:10" ht="27.6" x14ac:dyDescent="0.3">
      <c r="A346" s="2" t="s">
        <v>351</v>
      </c>
      <c r="B346" s="1" t="s">
        <v>2152</v>
      </c>
      <c r="C346" s="6" t="s">
        <v>2497</v>
      </c>
      <c r="D346" s="6" t="s">
        <v>4668</v>
      </c>
      <c r="E346" s="20">
        <f t="shared" si="16"/>
        <v>0</v>
      </c>
      <c r="F346" s="20">
        <v>2369</v>
      </c>
      <c r="G346" s="24" t="s">
        <v>6801</v>
      </c>
      <c r="H346" s="20">
        <f t="shared" si="17"/>
        <v>0</v>
      </c>
      <c r="I346" s="21">
        <v>54</v>
      </c>
      <c r="J346" s="21">
        <f t="shared" si="20"/>
        <v>0</v>
      </c>
    </row>
    <row r="347" spans="1:10" ht="27.6" x14ac:dyDescent="0.3">
      <c r="A347" s="2" t="s">
        <v>352</v>
      </c>
      <c r="B347" s="1" t="s">
        <v>2152</v>
      </c>
      <c r="C347" s="6" t="s">
        <v>2498</v>
      </c>
      <c r="D347" s="6" t="s">
        <v>4669</v>
      </c>
      <c r="E347" s="20">
        <f t="shared" si="16"/>
        <v>0</v>
      </c>
      <c r="F347" s="20">
        <v>2369</v>
      </c>
      <c r="G347" s="24" t="s">
        <v>6802</v>
      </c>
      <c r="H347" s="20">
        <f t="shared" si="17"/>
        <v>0</v>
      </c>
      <c r="I347" s="21">
        <v>54</v>
      </c>
      <c r="J347" s="21">
        <f t="shared" si="20"/>
        <v>0</v>
      </c>
    </row>
    <row r="348" spans="1:10" ht="27.6" x14ac:dyDescent="0.3">
      <c r="A348" s="2" t="s">
        <v>353</v>
      </c>
      <c r="B348" s="1" t="s">
        <v>2152</v>
      </c>
      <c r="C348" s="6" t="s">
        <v>2499</v>
      </c>
      <c r="D348" s="6" t="s">
        <v>4670</v>
      </c>
      <c r="E348" s="20">
        <f t="shared" si="16"/>
        <v>0</v>
      </c>
      <c r="F348" s="20">
        <v>2369</v>
      </c>
      <c r="G348" s="24" t="s">
        <v>6803</v>
      </c>
      <c r="H348" s="20">
        <f t="shared" si="17"/>
        <v>0</v>
      </c>
      <c r="I348" s="21">
        <v>54</v>
      </c>
      <c r="J348" s="21">
        <f t="shared" si="20"/>
        <v>0</v>
      </c>
    </row>
    <row r="349" spans="1:10" ht="27.6" x14ac:dyDescent="0.3">
      <c r="A349" s="2" t="s">
        <v>354</v>
      </c>
      <c r="B349" s="1" t="s">
        <v>2152</v>
      </c>
      <c r="C349" s="6" t="s">
        <v>2500</v>
      </c>
      <c r="D349" s="6" t="s">
        <v>4671</v>
      </c>
      <c r="E349" s="20">
        <f t="shared" si="16"/>
        <v>0</v>
      </c>
      <c r="F349" s="20">
        <v>2369</v>
      </c>
      <c r="G349" s="24" t="s">
        <v>6804</v>
      </c>
      <c r="H349" s="20">
        <f t="shared" si="17"/>
        <v>0</v>
      </c>
      <c r="I349" s="21">
        <v>54</v>
      </c>
      <c r="J349" s="21">
        <f t="shared" si="20"/>
        <v>0</v>
      </c>
    </row>
    <row r="350" spans="1:10" ht="27.6" x14ac:dyDescent="0.3">
      <c r="A350" s="2" t="s">
        <v>355</v>
      </c>
      <c r="B350" s="1" t="s">
        <v>2152</v>
      </c>
      <c r="C350" s="6" t="s">
        <v>2501</v>
      </c>
      <c r="D350" s="6" t="s">
        <v>4672</v>
      </c>
      <c r="E350" s="20">
        <f t="shared" si="16"/>
        <v>0</v>
      </c>
      <c r="F350" s="20">
        <v>2369</v>
      </c>
      <c r="G350" s="24" t="s">
        <v>6805</v>
      </c>
      <c r="H350" s="20">
        <f t="shared" si="17"/>
        <v>0</v>
      </c>
      <c r="I350" s="21">
        <v>54</v>
      </c>
      <c r="J350" s="21">
        <f t="shared" si="20"/>
        <v>0</v>
      </c>
    </row>
    <row r="351" spans="1:10" ht="27.6" x14ac:dyDescent="0.3">
      <c r="A351" s="2" t="s">
        <v>356</v>
      </c>
      <c r="B351" s="1" t="s">
        <v>2152</v>
      </c>
      <c r="C351" s="6" t="s">
        <v>2502</v>
      </c>
      <c r="D351" s="6" t="s">
        <v>4673</v>
      </c>
      <c r="E351" s="20">
        <f t="shared" si="16"/>
        <v>0</v>
      </c>
      <c r="F351" s="20">
        <v>2369</v>
      </c>
      <c r="G351" s="24" t="s">
        <v>6806</v>
      </c>
      <c r="H351" s="20">
        <f t="shared" si="17"/>
        <v>0</v>
      </c>
      <c r="I351" s="21">
        <v>54</v>
      </c>
      <c r="J351" s="21">
        <f t="shared" si="20"/>
        <v>0</v>
      </c>
    </row>
    <row r="352" spans="1:10" ht="27.6" x14ac:dyDescent="0.3">
      <c r="A352" s="2" t="s">
        <v>357</v>
      </c>
      <c r="B352" s="1" t="s">
        <v>2152</v>
      </c>
      <c r="C352" s="6" t="s">
        <v>2503</v>
      </c>
      <c r="D352" s="6" t="s">
        <v>4674</v>
      </c>
      <c r="E352" s="20">
        <f t="shared" si="16"/>
        <v>0</v>
      </c>
      <c r="F352" s="20">
        <v>2369</v>
      </c>
      <c r="G352" s="24" t="s">
        <v>6807</v>
      </c>
      <c r="H352" s="20">
        <f t="shared" si="17"/>
        <v>0</v>
      </c>
      <c r="I352" s="21">
        <v>54</v>
      </c>
      <c r="J352" s="21">
        <f t="shared" si="20"/>
        <v>0</v>
      </c>
    </row>
    <row r="353" spans="1:10" ht="27.6" x14ac:dyDescent="0.3">
      <c r="A353" s="2" t="s">
        <v>358</v>
      </c>
      <c r="B353" s="1" t="s">
        <v>2152</v>
      </c>
      <c r="C353" s="6" t="s">
        <v>2504</v>
      </c>
      <c r="D353" s="6" t="s">
        <v>4675</v>
      </c>
      <c r="E353" s="20">
        <f t="shared" si="16"/>
        <v>0</v>
      </c>
      <c r="F353" s="20">
        <v>2369</v>
      </c>
      <c r="G353" s="24" t="s">
        <v>6808</v>
      </c>
      <c r="H353" s="20">
        <f t="shared" si="17"/>
        <v>0</v>
      </c>
      <c r="I353" s="21">
        <v>54</v>
      </c>
      <c r="J353" s="21">
        <f t="shared" si="20"/>
        <v>0</v>
      </c>
    </row>
    <row r="354" spans="1:10" ht="27.6" x14ac:dyDescent="0.3">
      <c r="A354" s="2" t="s">
        <v>359</v>
      </c>
      <c r="B354" s="1" t="s">
        <v>2152</v>
      </c>
      <c r="C354" s="6" t="s">
        <v>2505</v>
      </c>
      <c r="D354" s="6" t="s">
        <v>4676</v>
      </c>
      <c r="E354" s="20">
        <f t="shared" si="16"/>
        <v>0</v>
      </c>
      <c r="F354" s="20">
        <v>2369</v>
      </c>
      <c r="G354" s="24" t="s">
        <v>6809</v>
      </c>
      <c r="H354" s="20">
        <f t="shared" si="17"/>
        <v>0</v>
      </c>
      <c r="I354" s="21">
        <v>54</v>
      </c>
      <c r="J354" s="21">
        <f t="shared" si="20"/>
        <v>0</v>
      </c>
    </row>
    <row r="355" spans="1:10" ht="27.6" x14ac:dyDescent="0.3">
      <c r="A355" s="2" t="s">
        <v>360</v>
      </c>
      <c r="B355" s="1" t="s">
        <v>2152</v>
      </c>
      <c r="C355" s="6" t="s">
        <v>2506</v>
      </c>
      <c r="D355" s="6" t="s">
        <v>4677</v>
      </c>
      <c r="E355" s="20">
        <f t="shared" si="16"/>
        <v>0</v>
      </c>
      <c r="F355" s="20">
        <v>2369</v>
      </c>
      <c r="G355" s="24" t="s">
        <v>6810</v>
      </c>
      <c r="H355" s="20">
        <f t="shared" si="17"/>
        <v>0</v>
      </c>
      <c r="I355" s="21">
        <v>54</v>
      </c>
      <c r="J355" s="21">
        <f t="shared" si="20"/>
        <v>0</v>
      </c>
    </row>
    <row r="356" spans="1:10" ht="27.6" x14ac:dyDescent="0.3">
      <c r="A356" s="2" t="s">
        <v>361</v>
      </c>
      <c r="B356" s="1" t="s">
        <v>2152</v>
      </c>
      <c r="C356" s="6" t="s">
        <v>2507</v>
      </c>
      <c r="D356" s="6" t="s">
        <v>4678</v>
      </c>
      <c r="E356" s="20">
        <f t="shared" si="16"/>
        <v>0</v>
      </c>
      <c r="F356" s="20">
        <v>2369</v>
      </c>
      <c r="G356" s="24" t="s">
        <v>6811</v>
      </c>
      <c r="H356" s="20">
        <f t="shared" si="17"/>
        <v>0</v>
      </c>
      <c r="I356" s="21">
        <v>54</v>
      </c>
      <c r="J356" s="21">
        <f t="shared" si="20"/>
        <v>0</v>
      </c>
    </row>
    <row r="357" spans="1:10" ht="27.6" x14ac:dyDescent="0.3">
      <c r="A357" s="2" t="s">
        <v>362</v>
      </c>
      <c r="B357" s="1" t="s">
        <v>2152</v>
      </c>
      <c r="C357" s="6" t="s">
        <v>2508</v>
      </c>
      <c r="D357" s="6" t="s">
        <v>4679</v>
      </c>
      <c r="E357" s="20">
        <f t="shared" si="16"/>
        <v>0</v>
      </c>
      <c r="F357" s="20">
        <v>2369</v>
      </c>
      <c r="G357" s="24" t="s">
        <v>6812</v>
      </c>
      <c r="H357" s="20">
        <f t="shared" si="17"/>
        <v>0</v>
      </c>
      <c r="I357" s="21">
        <v>54</v>
      </c>
      <c r="J357" s="21">
        <f t="shared" si="20"/>
        <v>0</v>
      </c>
    </row>
    <row r="358" spans="1:10" ht="27.6" x14ac:dyDescent="0.3">
      <c r="A358" s="2" t="s">
        <v>363</v>
      </c>
      <c r="B358" s="1" t="s">
        <v>2152</v>
      </c>
      <c r="C358" s="6" t="s">
        <v>2509</v>
      </c>
      <c r="D358" s="6" t="s">
        <v>4680</v>
      </c>
      <c r="E358" s="20">
        <f t="shared" si="16"/>
        <v>0</v>
      </c>
      <c r="F358" s="20">
        <v>2369</v>
      </c>
      <c r="G358" s="24" t="s">
        <v>6813</v>
      </c>
      <c r="H358" s="20">
        <f t="shared" si="17"/>
        <v>0</v>
      </c>
      <c r="I358" s="21">
        <v>54</v>
      </c>
      <c r="J358" s="21">
        <f t="shared" si="20"/>
        <v>0</v>
      </c>
    </row>
    <row r="359" spans="1:10" ht="27.6" x14ac:dyDescent="0.3">
      <c r="A359" s="2" t="s">
        <v>364</v>
      </c>
      <c r="B359" s="1" t="s">
        <v>2152</v>
      </c>
      <c r="C359" s="6" t="s">
        <v>2510</v>
      </c>
      <c r="D359" s="6" t="s">
        <v>4681</v>
      </c>
      <c r="E359" s="20">
        <f t="shared" si="16"/>
        <v>0</v>
      </c>
      <c r="F359" s="20">
        <v>2369</v>
      </c>
      <c r="G359" s="24" t="s">
        <v>6814</v>
      </c>
      <c r="H359" s="20">
        <f t="shared" si="17"/>
        <v>0</v>
      </c>
      <c r="I359" s="21">
        <v>54</v>
      </c>
      <c r="J359" s="21">
        <f t="shared" ref="J359:J417" si="21">X359</f>
        <v>0</v>
      </c>
    </row>
    <row r="360" spans="1:10" ht="27.6" x14ac:dyDescent="0.3">
      <c r="A360" s="2" t="s">
        <v>365</v>
      </c>
      <c r="B360" s="1" t="s">
        <v>2152</v>
      </c>
      <c r="C360" s="6" t="s">
        <v>2511</v>
      </c>
      <c r="D360" s="6" t="s">
        <v>4682</v>
      </c>
      <c r="E360" s="20">
        <f t="shared" si="16"/>
        <v>0</v>
      </c>
      <c r="F360" s="20">
        <v>2369</v>
      </c>
      <c r="G360" s="24" t="s">
        <v>6815</v>
      </c>
      <c r="H360" s="20">
        <f t="shared" si="17"/>
        <v>0</v>
      </c>
      <c r="I360" s="21">
        <v>54</v>
      </c>
      <c r="J360" s="21">
        <f t="shared" si="21"/>
        <v>0</v>
      </c>
    </row>
    <row r="361" spans="1:10" ht="27.6" x14ac:dyDescent="0.3">
      <c r="A361" s="2" t="s">
        <v>366</v>
      </c>
      <c r="B361" s="1" t="s">
        <v>2152</v>
      </c>
      <c r="C361" s="6" t="s">
        <v>2512</v>
      </c>
      <c r="D361" s="6" t="s">
        <v>4683</v>
      </c>
      <c r="E361" s="20">
        <f t="shared" si="16"/>
        <v>0</v>
      </c>
      <c r="F361" s="20">
        <v>2369</v>
      </c>
      <c r="G361" s="24" t="s">
        <v>6816</v>
      </c>
      <c r="H361" s="20">
        <f t="shared" si="17"/>
        <v>0</v>
      </c>
      <c r="I361" s="21">
        <v>54</v>
      </c>
      <c r="J361" s="21">
        <f t="shared" si="21"/>
        <v>0</v>
      </c>
    </row>
    <row r="362" spans="1:10" ht="27.6" x14ac:dyDescent="0.3">
      <c r="A362" s="2" t="s">
        <v>367</v>
      </c>
      <c r="B362" s="1" t="s">
        <v>2152</v>
      </c>
      <c r="C362" s="6" t="s">
        <v>2513</v>
      </c>
      <c r="D362" s="6" t="s">
        <v>4684</v>
      </c>
      <c r="E362" s="20">
        <f t="shared" si="16"/>
        <v>0</v>
      </c>
      <c r="F362" s="20">
        <v>2369</v>
      </c>
      <c r="G362" s="24" t="s">
        <v>6817</v>
      </c>
      <c r="H362" s="20">
        <f t="shared" si="17"/>
        <v>0</v>
      </c>
      <c r="I362" s="21">
        <v>54</v>
      </c>
      <c r="J362" s="21">
        <f t="shared" si="21"/>
        <v>0</v>
      </c>
    </row>
    <row r="363" spans="1:10" ht="27.6" x14ac:dyDescent="0.3">
      <c r="A363" s="2" t="s">
        <v>368</v>
      </c>
      <c r="B363" s="1" t="s">
        <v>2152</v>
      </c>
      <c r="C363" s="6" t="s">
        <v>2514</v>
      </c>
      <c r="D363" s="6" t="s">
        <v>4685</v>
      </c>
      <c r="E363" s="20">
        <f t="shared" si="16"/>
        <v>0</v>
      </c>
      <c r="F363" s="20">
        <v>2369</v>
      </c>
      <c r="G363" s="24" t="s">
        <v>6818</v>
      </c>
      <c r="H363" s="20">
        <f t="shared" si="17"/>
        <v>0</v>
      </c>
      <c r="I363" s="21">
        <v>54</v>
      </c>
      <c r="J363" s="21">
        <f t="shared" si="21"/>
        <v>0</v>
      </c>
    </row>
    <row r="364" spans="1:10" ht="27.6" x14ac:dyDescent="0.3">
      <c r="A364" s="2" t="s">
        <v>369</v>
      </c>
      <c r="B364" s="1" t="s">
        <v>2152</v>
      </c>
      <c r="C364" s="6" t="s">
        <v>2515</v>
      </c>
      <c r="D364" s="6" t="s">
        <v>4686</v>
      </c>
      <c r="E364" s="20">
        <f t="shared" si="16"/>
        <v>0</v>
      </c>
      <c r="F364" s="20">
        <v>2369</v>
      </c>
      <c r="G364" s="24" t="s">
        <v>6819</v>
      </c>
      <c r="H364" s="20">
        <f t="shared" si="17"/>
        <v>0</v>
      </c>
      <c r="I364" s="21">
        <v>54</v>
      </c>
      <c r="J364" s="21">
        <f t="shared" si="21"/>
        <v>0</v>
      </c>
    </row>
    <row r="365" spans="1:10" ht="27.6" x14ac:dyDescent="0.3">
      <c r="A365" s="2" t="s">
        <v>370</v>
      </c>
      <c r="B365" s="1" t="s">
        <v>2152</v>
      </c>
      <c r="C365" s="6" t="s">
        <v>2516</v>
      </c>
      <c r="D365" s="6" t="s">
        <v>4687</v>
      </c>
      <c r="E365" s="20">
        <f t="shared" si="16"/>
        <v>0</v>
      </c>
      <c r="F365" s="20">
        <v>2369</v>
      </c>
      <c r="G365" s="24" t="s">
        <v>6820</v>
      </c>
      <c r="H365" s="20">
        <f t="shared" si="17"/>
        <v>0</v>
      </c>
      <c r="I365" s="21">
        <v>54</v>
      </c>
      <c r="J365" s="21">
        <f t="shared" si="21"/>
        <v>0</v>
      </c>
    </row>
    <row r="366" spans="1:10" ht="27.6" x14ac:dyDescent="0.3">
      <c r="A366" s="2" t="s">
        <v>371</v>
      </c>
      <c r="B366" s="1" t="s">
        <v>2152</v>
      </c>
      <c r="C366" s="6" t="s">
        <v>2517</v>
      </c>
      <c r="D366" s="6" t="s">
        <v>4688</v>
      </c>
      <c r="E366" s="20">
        <f t="shared" si="16"/>
        <v>0</v>
      </c>
      <c r="F366" s="20">
        <v>2369</v>
      </c>
      <c r="G366" s="24" t="s">
        <v>6821</v>
      </c>
      <c r="H366" s="20">
        <f t="shared" si="17"/>
        <v>0</v>
      </c>
      <c r="I366" s="21">
        <v>54</v>
      </c>
      <c r="J366" s="21">
        <f t="shared" si="21"/>
        <v>0</v>
      </c>
    </row>
    <row r="367" spans="1:10" ht="27.6" x14ac:dyDescent="0.3">
      <c r="A367" s="2" t="s">
        <v>372</v>
      </c>
      <c r="B367" s="1" t="s">
        <v>2152</v>
      </c>
      <c r="C367" s="9" t="s">
        <v>2518</v>
      </c>
      <c r="D367" s="6" t="s">
        <v>4689</v>
      </c>
      <c r="E367" s="20">
        <f t="shared" si="16"/>
        <v>0</v>
      </c>
      <c r="F367" s="20">
        <v>2369</v>
      </c>
      <c r="G367" s="24" t="s">
        <v>6822</v>
      </c>
      <c r="H367" s="20">
        <f t="shared" si="17"/>
        <v>0</v>
      </c>
      <c r="I367" s="21">
        <v>54</v>
      </c>
      <c r="J367" s="21">
        <f t="shared" si="21"/>
        <v>0</v>
      </c>
    </row>
    <row r="368" spans="1:10" ht="27.6" x14ac:dyDescent="0.3">
      <c r="A368" s="4" t="s">
        <v>373</v>
      </c>
      <c r="B368" s="1" t="s">
        <v>2152</v>
      </c>
      <c r="C368" s="10" t="s">
        <v>2519</v>
      </c>
      <c r="D368" s="6" t="s">
        <v>4690</v>
      </c>
      <c r="E368" s="20">
        <f t="shared" si="16"/>
        <v>0</v>
      </c>
      <c r="F368" s="20">
        <v>2369</v>
      </c>
      <c r="G368" s="24" t="s">
        <v>6823</v>
      </c>
      <c r="H368" s="20">
        <f t="shared" si="17"/>
        <v>0</v>
      </c>
      <c r="I368" s="21">
        <v>54</v>
      </c>
      <c r="J368" s="21">
        <f t="shared" si="21"/>
        <v>0</v>
      </c>
    </row>
    <row r="369" spans="1:10" ht="27.6" x14ac:dyDescent="0.3">
      <c r="A369" s="2" t="s">
        <v>374</v>
      </c>
      <c r="B369" s="1" t="s">
        <v>2152</v>
      </c>
      <c r="C369" s="11" t="s">
        <v>2520</v>
      </c>
      <c r="D369" s="6" t="s">
        <v>4691</v>
      </c>
      <c r="E369" s="20">
        <f t="shared" si="16"/>
        <v>0</v>
      </c>
      <c r="F369" s="20">
        <v>2369</v>
      </c>
      <c r="G369" s="24" t="s">
        <v>6824</v>
      </c>
      <c r="H369" s="20">
        <f t="shared" si="17"/>
        <v>0</v>
      </c>
      <c r="I369" s="21">
        <v>54</v>
      </c>
      <c r="J369" s="21">
        <f t="shared" si="21"/>
        <v>0</v>
      </c>
    </row>
    <row r="370" spans="1:10" ht="27.6" x14ac:dyDescent="0.3">
      <c r="A370" s="2" t="s">
        <v>375</v>
      </c>
      <c r="B370" s="1" t="s">
        <v>2152</v>
      </c>
      <c r="C370" s="6" t="s">
        <v>2521</v>
      </c>
      <c r="D370" s="6" t="s">
        <v>4692</v>
      </c>
      <c r="E370" s="20">
        <f t="shared" si="16"/>
        <v>0</v>
      </c>
      <c r="F370" s="20">
        <v>2369</v>
      </c>
      <c r="G370" s="24" t="s">
        <v>6825</v>
      </c>
      <c r="H370" s="20">
        <f t="shared" si="17"/>
        <v>0</v>
      </c>
      <c r="I370" s="21">
        <v>54</v>
      </c>
      <c r="J370" s="21">
        <f t="shared" si="21"/>
        <v>0</v>
      </c>
    </row>
    <row r="371" spans="1:10" ht="27.6" x14ac:dyDescent="0.3">
      <c r="A371" s="2" t="s">
        <v>376</v>
      </c>
      <c r="B371" s="1" t="s">
        <v>2152</v>
      </c>
      <c r="C371" s="6" t="s">
        <v>2522</v>
      </c>
      <c r="D371" s="6" t="s">
        <v>4693</v>
      </c>
      <c r="E371" s="20">
        <f t="shared" si="16"/>
        <v>0</v>
      </c>
      <c r="F371" s="20">
        <v>2369</v>
      </c>
      <c r="G371" s="24" t="s">
        <v>6826</v>
      </c>
      <c r="H371" s="20">
        <f t="shared" si="17"/>
        <v>0</v>
      </c>
      <c r="I371" s="21">
        <v>54</v>
      </c>
      <c r="J371" s="21">
        <f t="shared" si="21"/>
        <v>0</v>
      </c>
    </row>
    <row r="372" spans="1:10" ht="27.6" x14ac:dyDescent="0.3">
      <c r="A372" s="2" t="s">
        <v>377</v>
      </c>
      <c r="B372" s="1" t="s">
        <v>2152</v>
      </c>
      <c r="C372" s="6" t="s">
        <v>2523</v>
      </c>
      <c r="D372" s="6" t="s">
        <v>4694</v>
      </c>
      <c r="E372" s="20">
        <f t="shared" si="16"/>
        <v>0</v>
      </c>
      <c r="F372" s="20">
        <v>2369</v>
      </c>
      <c r="G372" s="24" t="s">
        <v>6827</v>
      </c>
      <c r="H372" s="20">
        <f t="shared" si="17"/>
        <v>0</v>
      </c>
      <c r="I372" s="21">
        <v>54</v>
      </c>
      <c r="J372" s="21">
        <f t="shared" si="21"/>
        <v>0</v>
      </c>
    </row>
    <row r="373" spans="1:10" ht="27.6" x14ac:dyDescent="0.3">
      <c r="A373" s="2" t="s">
        <v>378</v>
      </c>
      <c r="B373" s="1" t="s">
        <v>2152</v>
      </c>
      <c r="C373" s="6" t="s">
        <v>2524</v>
      </c>
      <c r="D373" s="6" t="s">
        <v>4695</v>
      </c>
      <c r="E373" s="20">
        <f t="shared" si="16"/>
        <v>0</v>
      </c>
      <c r="F373" s="20">
        <v>2369</v>
      </c>
      <c r="G373" s="24" t="s">
        <v>6828</v>
      </c>
      <c r="H373" s="20">
        <f t="shared" si="17"/>
        <v>0</v>
      </c>
      <c r="I373" s="21">
        <v>54</v>
      </c>
      <c r="J373" s="21">
        <f t="shared" si="21"/>
        <v>0</v>
      </c>
    </row>
    <row r="374" spans="1:10" ht="27.6" x14ac:dyDescent="0.3">
      <c r="A374" s="2" t="s">
        <v>379</v>
      </c>
      <c r="B374" s="1" t="s">
        <v>2152</v>
      </c>
      <c r="C374" s="6" t="s">
        <v>2525</v>
      </c>
      <c r="D374" s="6" t="s">
        <v>4696</v>
      </c>
      <c r="E374" s="20">
        <f t="shared" si="16"/>
        <v>0</v>
      </c>
      <c r="F374" s="20">
        <v>2369</v>
      </c>
      <c r="G374" s="24" t="s">
        <v>6829</v>
      </c>
      <c r="H374" s="20">
        <f t="shared" si="17"/>
        <v>0</v>
      </c>
      <c r="I374" s="21">
        <v>54</v>
      </c>
      <c r="J374" s="21">
        <f t="shared" si="21"/>
        <v>0</v>
      </c>
    </row>
    <row r="375" spans="1:10" ht="27.6" x14ac:dyDescent="0.3">
      <c r="A375" s="2" t="s">
        <v>380</v>
      </c>
      <c r="B375" s="1" t="s">
        <v>2152</v>
      </c>
      <c r="C375" s="6" t="s">
        <v>2526</v>
      </c>
      <c r="D375" s="6" t="s">
        <v>4697</v>
      </c>
      <c r="E375" s="20">
        <f t="shared" si="16"/>
        <v>0</v>
      </c>
      <c r="F375" s="20">
        <v>2369</v>
      </c>
      <c r="G375" s="24" t="s">
        <v>6830</v>
      </c>
      <c r="H375" s="20">
        <f t="shared" si="17"/>
        <v>0</v>
      </c>
      <c r="I375" s="21">
        <v>54</v>
      </c>
      <c r="J375" s="21">
        <f t="shared" si="21"/>
        <v>0</v>
      </c>
    </row>
    <row r="376" spans="1:10" ht="27.6" x14ac:dyDescent="0.3">
      <c r="A376" s="2" t="s">
        <v>381</v>
      </c>
      <c r="B376" s="1" t="s">
        <v>2152</v>
      </c>
      <c r="C376" s="6" t="s">
        <v>2527</v>
      </c>
      <c r="D376" s="6" t="s">
        <v>4698</v>
      </c>
      <c r="E376" s="20">
        <f t="shared" si="16"/>
        <v>0</v>
      </c>
      <c r="F376" s="20">
        <v>2369</v>
      </c>
      <c r="G376" s="24" t="s">
        <v>6831</v>
      </c>
      <c r="H376" s="20">
        <f t="shared" si="17"/>
        <v>0</v>
      </c>
      <c r="I376" s="21">
        <v>54</v>
      </c>
      <c r="J376" s="21">
        <f t="shared" si="21"/>
        <v>0</v>
      </c>
    </row>
    <row r="377" spans="1:10" ht="27.6" x14ac:dyDescent="0.3">
      <c r="A377" s="2" t="s">
        <v>382</v>
      </c>
      <c r="B377" s="1" t="s">
        <v>2152</v>
      </c>
      <c r="C377" s="6" t="s">
        <v>2528</v>
      </c>
      <c r="D377" s="6" t="s">
        <v>4699</v>
      </c>
      <c r="E377" s="20">
        <f t="shared" si="16"/>
        <v>0</v>
      </c>
      <c r="F377" s="20">
        <v>2369</v>
      </c>
      <c r="G377" s="24" t="s">
        <v>6832</v>
      </c>
      <c r="H377" s="20">
        <f t="shared" si="17"/>
        <v>0</v>
      </c>
      <c r="I377" s="21">
        <v>54</v>
      </c>
      <c r="J377" s="21">
        <f t="shared" si="21"/>
        <v>0</v>
      </c>
    </row>
    <row r="378" spans="1:10" ht="27.6" x14ac:dyDescent="0.3">
      <c r="A378" s="2" t="s">
        <v>383</v>
      </c>
      <c r="B378" s="1" t="s">
        <v>2152</v>
      </c>
      <c r="C378" s="6" t="s">
        <v>2529</v>
      </c>
      <c r="D378" s="6" t="s">
        <v>4700</v>
      </c>
      <c r="E378" s="20">
        <f t="shared" si="16"/>
        <v>0</v>
      </c>
      <c r="F378" s="20">
        <v>2369</v>
      </c>
      <c r="G378" s="24" t="s">
        <v>6833</v>
      </c>
      <c r="H378" s="20">
        <f t="shared" si="17"/>
        <v>0</v>
      </c>
      <c r="I378" s="21">
        <v>54</v>
      </c>
      <c r="J378" s="21">
        <f t="shared" si="21"/>
        <v>0</v>
      </c>
    </row>
    <row r="379" spans="1:10" x14ac:dyDescent="0.3">
      <c r="A379" s="2" t="s">
        <v>160</v>
      </c>
      <c r="B379" s="1" t="s">
        <v>2152</v>
      </c>
      <c r="C379" s="6" t="s">
        <v>2530</v>
      </c>
      <c r="D379" s="6" t="s">
        <v>4701</v>
      </c>
      <c r="E379" s="20">
        <f t="shared" si="16"/>
        <v>0</v>
      </c>
      <c r="F379" s="20">
        <v>1184</v>
      </c>
      <c r="G379" s="24" t="s">
        <v>6834</v>
      </c>
      <c r="H379" s="20">
        <f t="shared" si="17"/>
        <v>0</v>
      </c>
      <c r="I379" s="21">
        <v>27</v>
      </c>
      <c r="J379" s="21">
        <f t="shared" si="21"/>
        <v>0</v>
      </c>
    </row>
    <row r="380" spans="1:10" x14ac:dyDescent="0.3">
      <c r="A380" s="2" t="s">
        <v>161</v>
      </c>
      <c r="B380" s="1" t="s">
        <v>2152</v>
      </c>
      <c r="C380" s="6" t="s">
        <v>2531</v>
      </c>
      <c r="D380" s="6" t="s">
        <v>4702</v>
      </c>
      <c r="E380" s="20">
        <f t="shared" si="16"/>
        <v>0</v>
      </c>
      <c r="F380" s="20">
        <v>1184</v>
      </c>
      <c r="G380" s="24" t="s">
        <v>6835</v>
      </c>
      <c r="H380" s="20">
        <f t="shared" si="17"/>
        <v>0</v>
      </c>
      <c r="I380" s="21">
        <v>27</v>
      </c>
      <c r="J380" s="21">
        <f t="shared" si="21"/>
        <v>0</v>
      </c>
    </row>
    <row r="381" spans="1:10" ht="69" x14ac:dyDescent="0.3">
      <c r="A381" s="2" t="s">
        <v>384</v>
      </c>
      <c r="B381" s="1" t="s">
        <v>2152</v>
      </c>
      <c r="C381" s="6" t="s">
        <v>2532</v>
      </c>
      <c r="D381" s="6" t="s">
        <v>4703</v>
      </c>
      <c r="E381" s="20">
        <f t="shared" si="16"/>
        <v>0</v>
      </c>
      <c r="F381" s="20">
        <v>14504</v>
      </c>
      <c r="G381" s="24" t="s">
        <v>6836</v>
      </c>
      <c r="H381" s="20">
        <f t="shared" si="17"/>
        <v>0</v>
      </c>
      <c r="I381" s="21">
        <v>54</v>
      </c>
      <c r="J381" s="21">
        <f t="shared" si="21"/>
        <v>0</v>
      </c>
    </row>
    <row r="382" spans="1:10" ht="69" x14ac:dyDescent="0.3">
      <c r="A382" s="2" t="s">
        <v>385</v>
      </c>
      <c r="B382" s="1" t="s">
        <v>2152</v>
      </c>
      <c r="C382" s="6" t="s">
        <v>2533</v>
      </c>
      <c r="D382" s="6" t="s">
        <v>4704</v>
      </c>
      <c r="E382" s="20">
        <f t="shared" si="16"/>
        <v>0</v>
      </c>
      <c r="F382" s="20">
        <v>14504</v>
      </c>
      <c r="G382" s="24" t="s">
        <v>6837</v>
      </c>
      <c r="H382" s="20">
        <f t="shared" si="17"/>
        <v>0</v>
      </c>
      <c r="I382" s="21">
        <v>54</v>
      </c>
      <c r="J382" s="21">
        <f t="shared" si="21"/>
        <v>0</v>
      </c>
    </row>
    <row r="383" spans="1:10" ht="69" x14ac:dyDescent="0.3">
      <c r="A383" s="2" t="s">
        <v>386</v>
      </c>
      <c r="B383" s="1" t="s">
        <v>2152</v>
      </c>
      <c r="C383" s="6" t="s">
        <v>2534</v>
      </c>
      <c r="D383" s="6" t="s">
        <v>4705</v>
      </c>
      <c r="E383" s="20">
        <f t="shared" si="16"/>
        <v>0</v>
      </c>
      <c r="F383" s="20">
        <v>14504</v>
      </c>
      <c r="G383" s="24" t="s">
        <v>6838</v>
      </c>
      <c r="H383" s="20">
        <f t="shared" si="17"/>
        <v>0</v>
      </c>
      <c r="I383" s="21">
        <v>54</v>
      </c>
      <c r="J383" s="21">
        <f t="shared" si="21"/>
        <v>0</v>
      </c>
    </row>
    <row r="384" spans="1:10" ht="69" x14ac:dyDescent="0.3">
      <c r="A384" s="2" t="s">
        <v>387</v>
      </c>
      <c r="B384" s="1" t="s">
        <v>2152</v>
      </c>
      <c r="C384" s="6" t="s">
        <v>2535</v>
      </c>
      <c r="D384" s="6" t="s">
        <v>4706</v>
      </c>
      <c r="E384" s="20">
        <f t="shared" si="16"/>
        <v>0</v>
      </c>
      <c r="F384" s="20">
        <v>20720</v>
      </c>
      <c r="G384" s="24" t="s">
        <v>6839</v>
      </c>
      <c r="H384" s="20">
        <f t="shared" si="17"/>
        <v>0</v>
      </c>
      <c r="I384" s="21">
        <v>60</v>
      </c>
      <c r="J384" s="21">
        <f t="shared" si="21"/>
        <v>0</v>
      </c>
    </row>
    <row r="385" spans="1:10" ht="69" x14ac:dyDescent="0.3">
      <c r="A385" s="2" t="s">
        <v>388</v>
      </c>
      <c r="B385" s="1" t="s">
        <v>2152</v>
      </c>
      <c r="C385" s="6" t="s">
        <v>2536</v>
      </c>
      <c r="D385" s="6" t="s">
        <v>4707</v>
      </c>
      <c r="E385" s="20">
        <f t="shared" si="16"/>
        <v>0</v>
      </c>
      <c r="F385" s="20">
        <v>20720</v>
      </c>
      <c r="G385" s="24" t="s">
        <v>6840</v>
      </c>
      <c r="H385" s="20">
        <f t="shared" si="17"/>
        <v>0</v>
      </c>
      <c r="I385" s="21">
        <v>60</v>
      </c>
      <c r="J385" s="21">
        <f t="shared" si="21"/>
        <v>0</v>
      </c>
    </row>
    <row r="386" spans="1:10" ht="82.8" x14ac:dyDescent="0.3">
      <c r="A386" s="2" t="s">
        <v>389</v>
      </c>
      <c r="B386" s="1" t="s">
        <v>2152</v>
      </c>
      <c r="C386" s="6" t="s">
        <v>2537</v>
      </c>
      <c r="D386" s="6" t="s">
        <v>4708</v>
      </c>
      <c r="E386" s="20">
        <f t="shared" si="16"/>
        <v>0</v>
      </c>
      <c r="F386" s="20">
        <v>20720</v>
      </c>
      <c r="G386" s="24" t="s">
        <v>6841</v>
      </c>
      <c r="H386" s="20">
        <f t="shared" si="17"/>
        <v>0</v>
      </c>
      <c r="I386" s="21">
        <v>60</v>
      </c>
      <c r="J386" s="21">
        <f t="shared" si="21"/>
        <v>0</v>
      </c>
    </row>
    <row r="387" spans="1:10" x14ac:dyDescent="0.3">
      <c r="A387" s="2" t="s">
        <v>390</v>
      </c>
      <c r="B387" s="1" t="s">
        <v>2152</v>
      </c>
      <c r="C387" s="6" t="s">
        <v>2538</v>
      </c>
      <c r="D387" s="6" t="s">
        <v>4709</v>
      </c>
      <c r="E387" s="20">
        <f>H387*1.8*1.4</f>
        <v>0</v>
      </c>
      <c r="F387" s="20">
        <v>5100</v>
      </c>
      <c r="G387" s="24" t="s">
        <v>6842</v>
      </c>
      <c r="H387" s="20">
        <f>K387*1.8*1.4</f>
        <v>0</v>
      </c>
      <c r="I387" s="21">
        <v>165</v>
      </c>
      <c r="J387" s="21">
        <f t="shared" si="21"/>
        <v>0</v>
      </c>
    </row>
    <row r="388" spans="1:10" x14ac:dyDescent="0.3">
      <c r="A388" s="2" t="s">
        <v>391</v>
      </c>
      <c r="B388" s="1" t="s">
        <v>2152</v>
      </c>
      <c r="C388" s="6" t="s">
        <v>2539</v>
      </c>
      <c r="D388" s="6" t="s">
        <v>4710</v>
      </c>
      <c r="E388" s="20">
        <f t="shared" si="16"/>
        <v>0</v>
      </c>
      <c r="F388" s="20">
        <v>5100</v>
      </c>
      <c r="G388" s="24" t="s">
        <v>6843</v>
      </c>
      <c r="H388" s="20">
        <f t="shared" si="17"/>
        <v>0</v>
      </c>
      <c r="I388" s="21">
        <v>165</v>
      </c>
      <c r="J388" s="21">
        <f t="shared" si="21"/>
        <v>0</v>
      </c>
    </row>
    <row r="389" spans="1:10" x14ac:dyDescent="0.3">
      <c r="A389" s="2" t="s">
        <v>392</v>
      </c>
      <c r="B389" s="1" t="s">
        <v>2152</v>
      </c>
      <c r="C389" s="6" t="s">
        <v>2540</v>
      </c>
      <c r="D389" s="6" t="s">
        <v>4711</v>
      </c>
      <c r="E389" s="20">
        <f t="shared" si="16"/>
        <v>0</v>
      </c>
      <c r="F389" s="20">
        <v>5100</v>
      </c>
      <c r="G389" s="24" t="s">
        <v>6844</v>
      </c>
      <c r="H389" s="20">
        <f t="shared" si="17"/>
        <v>0</v>
      </c>
      <c r="I389" s="21">
        <v>165</v>
      </c>
      <c r="J389" s="21">
        <f t="shared" si="21"/>
        <v>0</v>
      </c>
    </row>
    <row r="390" spans="1:10" x14ac:dyDescent="0.3">
      <c r="A390" s="2" t="s">
        <v>393</v>
      </c>
      <c r="B390" s="1" t="s">
        <v>2152</v>
      </c>
      <c r="C390" s="6" t="s">
        <v>2541</v>
      </c>
      <c r="D390" s="6" t="s">
        <v>4712</v>
      </c>
      <c r="E390" s="20">
        <f t="shared" si="16"/>
        <v>0</v>
      </c>
      <c r="F390" s="20">
        <v>5100</v>
      </c>
      <c r="G390" s="24" t="s">
        <v>6845</v>
      </c>
      <c r="H390" s="20">
        <f t="shared" si="17"/>
        <v>0</v>
      </c>
      <c r="I390" s="21">
        <v>165</v>
      </c>
      <c r="J390" s="21">
        <f t="shared" si="21"/>
        <v>0</v>
      </c>
    </row>
    <row r="391" spans="1:10" x14ac:dyDescent="0.3">
      <c r="A391" s="2" t="s">
        <v>394</v>
      </c>
      <c r="B391" s="1" t="s">
        <v>2152</v>
      </c>
      <c r="C391" s="6" t="s">
        <v>2542</v>
      </c>
      <c r="D391" s="6" t="s">
        <v>4713</v>
      </c>
      <c r="E391" s="20">
        <f t="shared" si="16"/>
        <v>0</v>
      </c>
      <c r="F391" s="20">
        <v>5100</v>
      </c>
      <c r="G391" s="24" t="s">
        <v>6846</v>
      </c>
      <c r="H391" s="20">
        <f t="shared" si="17"/>
        <v>0</v>
      </c>
      <c r="I391" s="21">
        <v>165</v>
      </c>
      <c r="J391" s="21">
        <f t="shared" si="21"/>
        <v>0</v>
      </c>
    </row>
    <row r="392" spans="1:10" x14ac:dyDescent="0.3">
      <c r="A392" s="2" t="s">
        <v>395</v>
      </c>
      <c r="B392" s="1" t="s">
        <v>2152</v>
      </c>
      <c r="C392" s="6" t="s">
        <v>2543</v>
      </c>
      <c r="D392" s="6" t="s">
        <v>4714</v>
      </c>
      <c r="E392" s="20">
        <f t="shared" si="16"/>
        <v>0</v>
      </c>
      <c r="F392" s="20">
        <v>5100</v>
      </c>
      <c r="G392" s="24" t="s">
        <v>6847</v>
      </c>
      <c r="H392" s="20">
        <f t="shared" si="17"/>
        <v>0</v>
      </c>
      <c r="I392" s="21">
        <v>165</v>
      </c>
      <c r="J392" s="21">
        <f t="shared" si="21"/>
        <v>0</v>
      </c>
    </row>
    <row r="393" spans="1:10" x14ac:dyDescent="0.3">
      <c r="A393" s="2" t="s">
        <v>396</v>
      </c>
      <c r="B393" s="1" t="s">
        <v>2152</v>
      </c>
      <c r="C393" s="6" t="s">
        <v>2544</v>
      </c>
      <c r="D393" s="6" t="s">
        <v>4715</v>
      </c>
      <c r="E393" s="20">
        <f t="shared" si="16"/>
        <v>0</v>
      </c>
      <c r="F393" s="20">
        <v>5100</v>
      </c>
      <c r="G393" s="24" t="s">
        <v>6848</v>
      </c>
      <c r="H393" s="20">
        <f t="shared" si="17"/>
        <v>0</v>
      </c>
      <c r="I393" s="21">
        <v>165</v>
      </c>
      <c r="J393" s="21">
        <f t="shared" si="21"/>
        <v>0</v>
      </c>
    </row>
    <row r="394" spans="1:10" x14ac:dyDescent="0.3">
      <c r="A394" s="2" t="s">
        <v>397</v>
      </c>
      <c r="B394" s="1" t="s">
        <v>2152</v>
      </c>
      <c r="C394" s="6" t="s">
        <v>2545</v>
      </c>
      <c r="D394" s="6" t="s">
        <v>4716</v>
      </c>
      <c r="E394" s="20">
        <f t="shared" si="16"/>
        <v>0</v>
      </c>
      <c r="F394" s="20">
        <v>5100</v>
      </c>
      <c r="G394" s="24" t="s">
        <v>6849</v>
      </c>
      <c r="H394" s="20">
        <f t="shared" si="17"/>
        <v>0</v>
      </c>
      <c r="I394" s="21">
        <v>165</v>
      </c>
      <c r="J394" s="21">
        <f t="shared" si="21"/>
        <v>0</v>
      </c>
    </row>
    <row r="395" spans="1:10" x14ac:dyDescent="0.3">
      <c r="A395" s="2" t="s">
        <v>398</v>
      </c>
      <c r="B395" s="1" t="s">
        <v>2152</v>
      </c>
      <c r="C395" s="6" t="s">
        <v>2546</v>
      </c>
      <c r="D395" s="6" t="s">
        <v>4717</v>
      </c>
      <c r="E395" s="20">
        <f t="shared" si="16"/>
        <v>0</v>
      </c>
      <c r="F395" s="20">
        <v>5100</v>
      </c>
      <c r="G395" s="24" t="s">
        <v>6850</v>
      </c>
      <c r="H395" s="20">
        <f t="shared" si="17"/>
        <v>0</v>
      </c>
      <c r="I395" s="21">
        <v>165</v>
      </c>
      <c r="J395" s="21">
        <f t="shared" si="21"/>
        <v>0</v>
      </c>
    </row>
    <row r="396" spans="1:10" x14ac:dyDescent="0.3">
      <c r="A396" s="2" t="s">
        <v>399</v>
      </c>
      <c r="B396" s="1" t="s">
        <v>2152</v>
      </c>
      <c r="C396" s="6" t="s">
        <v>2547</v>
      </c>
      <c r="D396" s="6" t="s">
        <v>4718</v>
      </c>
      <c r="E396" s="20">
        <f t="shared" si="16"/>
        <v>0</v>
      </c>
      <c r="F396" s="20">
        <v>5100</v>
      </c>
      <c r="G396" s="24" t="s">
        <v>6851</v>
      </c>
      <c r="H396" s="20">
        <f t="shared" si="17"/>
        <v>0</v>
      </c>
      <c r="I396" s="21">
        <v>165</v>
      </c>
      <c r="J396" s="21">
        <f t="shared" si="21"/>
        <v>0</v>
      </c>
    </row>
    <row r="397" spans="1:10" x14ac:dyDescent="0.3">
      <c r="A397" s="2" t="s">
        <v>400</v>
      </c>
      <c r="B397" s="1" t="s">
        <v>2152</v>
      </c>
      <c r="C397" s="6" t="s">
        <v>2548</v>
      </c>
      <c r="D397" s="6" t="s">
        <v>4719</v>
      </c>
      <c r="E397" s="20">
        <f t="shared" si="16"/>
        <v>0</v>
      </c>
      <c r="F397" s="20">
        <v>5100</v>
      </c>
      <c r="G397" s="24" t="s">
        <v>6852</v>
      </c>
      <c r="H397" s="20">
        <f t="shared" si="17"/>
        <v>0</v>
      </c>
      <c r="I397" s="21">
        <v>165</v>
      </c>
      <c r="J397" s="21">
        <f t="shared" si="21"/>
        <v>0</v>
      </c>
    </row>
    <row r="398" spans="1:10" x14ac:dyDescent="0.3">
      <c r="A398" s="2" t="s">
        <v>401</v>
      </c>
      <c r="B398" s="1" t="s">
        <v>2152</v>
      </c>
      <c r="C398" s="6" t="s">
        <v>2549</v>
      </c>
      <c r="D398" s="6" t="s">
        <v>4720</v>
      </c>
      <c r="E398" s="20">
        <f t="shared" si="16"/>
        <v>0</v>
      </c>
      <c r="F398" s="20">
        <v>5100</v>
      </c>
      <c r="G398" s="24" t="s">
        <v>6853</v>
      </c>
      <c r="H398" s="20">
        <f t="shared" si="17"/>
        <v>0</v>
      </c>
      <c r="I398" s="21">
        <v>165</v>
      </c>
      <c r="J398" s="21">
        <f t="shared" si="21"/>
        <v>0</v>
      </c>
    </row>
    <row r="399" spans="1:10" x14ac:dyDescent="0.3">
      <c r="A399" s="2" t="s">
        <v>402</v>
      </c>
      <c r="B399" s="1" t="s">
        <v>2152</v>
      </c>
      <c r="C399" s="6" t="s">
        <v>2550</v>
      </c>
      <c r="D399" s="6" t="s">
        <v>4721</v>
      </c>
      <c r="E399" s="20">
        <f t="shared" si="16"/>
        <v>0</v>
      </c>
      <c r="F399" s="20">
        <v>5100</v>
      </c>
      <c r="G399" s="24" t="s">
        <v>6854</v>
      </c>
      <c r="H399" s="20">
        <f t="shared" si="17"/>
        <v>0</v>
      </c>
      <c r="I399" s="21">
        <v>165</v>
      </c>
      <c r="J399" s="21">
        <f t="shared" si="21"/>
        <v>0</v>
      </c>
    </row>
    <row r="400" spans="1:10" x14ac:dyDescent="0.3">
      <c r="A400" s="2" t="s">
        <v>403</v>
      </c>
      <c r="B400" s="1" t="s">
        <v>2152</v>
      </c>
      <c r="C400" s="6" t="s">
        <v>2551</v>
      </c>
      <c r="D400" s="6" t="s">
        <v>4722</v>
      </c>
      <c r="E400" s="20">
        <f t="shared" si="16"/>
        <v>0</v>
      </c>
      <c r="F400" s="20">
        <v>5100</v>
      </c>
      <c r="G400" s="24" t="s">
        <v>6855</v>
      </c>
      <c r="H400" s="20">
        <f t="shared" si="17"/>
        <v>0</v>
      </c>
      <c r="I400" s="21">
        <v>165</v>
      </c>
      <c r="J400" s="21">
        <f t="shared" si="21"/>
        <v>0</v>
      </c>
    </row>
    <row r="401" spans="1:10" x14ac:dyDescent="0.3">
      <c r="A401" s="2" t="s">
        <v>404</v>
      </c>
      <c r="B401" s="1" t="s">
        <v>2152</v>
      </c>
      <c r="C401" s="6" t="s">
        <v>2552</v>
      </c>
      <c r="D401" s="6" t="s">
        <v>4723</v>
      </c>
      <c r="E401" s="20">
        <f t="shared" si="16"/>
        <v>0</v>
      </c>
      <c r="F401" s="20">
        <v>5100</v>
      </c>
      <c r="G401" s="24" t="s">
        <v>6856</v>
      </c>
      <c r="H401" s="20">
        <f t="shared" si="17"/>
        <v>0</v>
      </c>
      <c r="I401" s="21">
        <v>165</v>
      </c>
      <c r="J401" s="21">
        <f t="shared" si="21"/>
        <v>0</v>
      </c>
    </row>
    <row r="402" spans="1:10" x14ac:dyDescent="0.3">
      <c r="A402" s="2" t="s">
        <v>405</v>
      </c>
      <c r="B402" s="1" t="s">
        <v>2152</v>
      </c>
      <c r="C402" s="6" t="s">
        <v>2553</v>
      </c>
      <c r="D402" s="6" t="s">
        <v>4724</v>
      </c>
      <c r="E402" s="20">
        <f t="shared" si="16"/>
        <v>0</v>
      </c>
      <c r="F402" s="20">
        <v>5100</v>
      </c>
      <c r="G402" s="24" t="s">
        <v>6857</v>
      </c>
      <c r="H402" s="20">
        <f t="shared" si="17"/>
        <v>0</v>
      </c>
      <c r="I402" s="21">
        <v>165</v>
      </c>
      <c r="J402" s="21">
        <f t="shared" si="21"/>
        <v>0</v>
      </c>
    </row>
    <row r="403" spans="1:10" x14ac:dyDescent="0.3">
      <c r="A403" s="2" t="s">
        <v>406</v>
      </c>
      <c r="B403" s="1" t="s">
        <v>2152</v>
      </c>
      <c r="C403" s="6" t="s">
        <v>2554</v>
      </c>
      <c r="D403" s="6" t="s">
        <v>4725</v>
      </c>
      <c r="E403" s="20">
        <f t="shared" si="16"/>
        <v>0</v>
      </c>
      <c r="F403" s="20">
        <v>5100</v>
      </c>
      <c r="G403" s="24" t="s">
        <v>6858</v>
      </c>
      <c r="H403" s="20">
        <f t="shared" si="17"/>
        <v>0</v>
      </c>
      <c r="I403" s="21">
        <v>165</v>
      </c>
      <c r="J403" s="21">
        <f t="shared" si="21"/>
        <v>0</v>
      </c>
    </row>
    <row r="404" spans="1:10" x14ac:dyDescent="0.3">
      <c r="A404" s="2" t="s">
        <v>407</v>
      </c>
      <c r="B404" s="1" t="s">
        <v>2152</v>
      </c>
      <c r="C404" s="6" t="s">
        <v>2555</v>
      </c>
      <c r="D404" s="6" t="s">
        <v>4726</v>
      </c>
      <c r="E404" s="20">
        <f t="shared" si="16"/>
        <v>0</v>
      </c>
      <c r="F404" s="20">
        <v>5100</v>
      </c>
      <c r="G404" s="24" t="s">
        <v>6859</v>
      </c>
      <c r="H404" s="20">
        <f t="shared" si="17"/>
        <v>0</v>
      </c>
      <c r="I404" s="21">
        <v>165</v>
      </c>
      <c r="J404" s="21">
        <f t="shared" si="21"/>
        <v>0</v>
      </c>
    </row>
    <row r="405" spans="1:10" x14ac:dyDescent="0.3">
      <c r="A405" s="2" t="s">
        <v>408</v>
      </c>
      <c r="B405" s="1" t="s">
        <v>2152</v>
      </c>
      <c r="C405" s="6" t="s">
        <v>2556</v>
      </c>
      <c r="D405" s="6" t="s">
        <v>4727</v>
      </c>
      <c r="E405" s="20">
        <f t="shared" si="16"/>
        <v>0</v>
      </c>
      <c r="F405" s="20">
        <v>5100</v>
      </c>
      <c r="G405" s="24" t="s">
        <v>6860</v>
      </c>
      <c r="H405" s="20">
        <f t="shared" si="17"/>
        <v>0</v>
      </c>
      <c r="I405" s="21">
        <v>165</v>
      </c>
      <c r="J405" s="21">
        <f t="shared" si="21"/>
        <v>0</v>
      </c>
    </row>
    <row r="406" spans="1:10" x14ac:dyDescent="0.3">
      <c r="A406" s="2" t="s">
        <v>409</v>
      </c>
      <c r="B406" s="1" t="s">
        <v>2152</v>
      </c>
      <c r="C406" s="6" t="s">
        <v>2557</v>
      </c>
      <c r="D406" s="6" t="s">
        <v>4728</v>
      </c>
      <c r="E406" s="20">
        <f t="shared" si="16"/>
        <v>0</v>
      </c>
      <c r="F406" s="20">
        <v>5100</v>
      </c>
      <c r="G406" s="24" t="s">
        <v>6861</v>
      </c>
      <c r="H406" s="20">
        <f t="shared" si="17"/>
        <v>0</v>
      </c>
      <c r="I406" s="21">
        <v>165</v>
      </c>
      <c r="J406" s="21">
        <f t="shared" si="21"/>
        <v>0</v>
      </c>
    </row>
    <row r="407" spans="1:10" x14ac:dyDescent="0.3">
      <c r="A407" s="2" t="s">
        <v>410</v>
      </c>
      <c r="B407" s="1" t="s">
        <v>2152</v>
      </c>
      <c r="C407" s="6" t="s">
        <v>2558</v>
      </c>
      <c r="D407" s="6" t="s">
        <v>4729</v>
      </c>
      <c r="E407" s="20">
        <f t="shared" si="16"/>
        <v>0</v>
      </c>
      <c r="F407" s="20">
        <v>5100</v>
      </c>
      <c r="G407" s="24" t="s">
        <v>6862</v>
      </c>
      <c r="H407" s="20">
        <f t="shared" si="17"/>
        <v>0</v>
      </c>
      <c r="I407" s="21">
        <v>165</v>
      </c>
      <c r="J407" s="21">
        <f t="shared" si="21"/>
        <v>0</v>
      </c>
    </row>
    <row r="408" spans="1:10" x14ac:dyDescent="0.3">
      <c r="A408" s="2" t="s">
        <v>411</v>
      </c>
      <c r="B408" s="1" t="s">
        <v>2152</v>
      </c>
      <c r="C408" s="6" t="s">
        <v>2559</v>
      </c>
      <c r="D408" s="6" t="s">
        <v>4730</v>
      </c>
      <c r="E408" s="20">
        <f t="shared" si="16"/>
        <v>0</v>
      </c>
      <c r="F408" s="20">
        <v>5100</v>
      </c>
      <c r="G408" s="24" t="s">
        <v>6863</v>
      </c>
      <c r="H408" s="20">
        <f t="shared" si="17"/>
        <v>0</v>
      </c>
      <c r="I408" s="21">
        <v>165</v>
      </c>
      <c r="J408" s="21">
        <f t="shared" si="21"/>
        <v>0</v>
      </c>
    </row>
    <row r="409" spans="1:10" x14ac:dyDescent="0.3">
      <c r="A409" s="2" t="s">
        <v>412</v>
      </c>
      <c r="B409" s="1" t="s">
        <v>2152</v>
      </c>
      <c r="C409" s="6" t="s">
        <v>2560</v>
      </c>
      <c r="D409" s="6" t="s">
        <v>4731</v>
      </c>
      <c r="E409" s="20">
        <f t="shared" si="16"/>
        <v>0</v>
      </c>
      <c r="F409" s="20">
        <v>5100</v>
      </c>
      <c r="G409" s="24" t="s">
        <v>6864</v>
      </c>
      <c r="H409" s="20">
        <f t="shared" si="17"/>
        <v>0</v>
      </c>
      <c r="I409" s="21">
        <v>165</v>
      </c>
      <c r="J409" s="21">
        <f t="shared" si="21"/>
        <v>0</v>
      </c>
    </row>
    <row r="410" spans="1:10" x14ac:dyDescent="0.3">
      <c r="A410" s="2" t="s">
        <v>413</v>
      </c>
      <c r="B410" s="1" t="s">
        <v>2152</v>
      </c>
      <c r="C410" s="6" t="s">
        <v>2561</v>
      </c>
      <c r="D410" s="6" t="s">
        <v>4732</v>
      </c>
      <c r="E410" s="20">
        <f t="shared" si="16"/>
        <v>0</v>
      </c>
      <c r="F410" s="20">
        <v>5100</v>
      </c>
      <c r="G410" s="24" t="s">
        <v>6865</v>
      </c>
      <c r="H410" s="20">
        <f t="shared" si="17"/>
        <v>0</v>
      </c>
      <c r="I410" s="21">
        <v>165</v>
      </c>
      <c r="J410" s="21">
        <f t="shared" si="21"/>
        <v>0</v>
      </c>
    </row>
    <row r="411" spans="1:10" x14ac:dyDescent="0.3">
      <c r="A411" s="2" t="s">
        <v>414</v>
      </c>
      <c r="B411" s="1" t="s">
        <v>2152</v>
      </c>
      <c r="C411" s="6" t="s">
        <v>2562</v>
      </c>
      <c r="D411" s="6" t="s">
        <v>4733</v>
      </c>
      <c r="E411" s="20">
        <f t="shared" ref="E411:E450" si="22">H411*1.8*1.4</f>
        <v>0</v>
      </c>
      <c r="F411" s="20">
        <v>5100</v>
      </c>
      <c r="G411" s="24" t="s">
        <v>6866</v>
      </c>
      <c r="H411" s="20">
        <f t="shared" ref="H411:H450" si="23">K411*1.8*1.4</f>
        <v>0</v>
      </c>
      <c r="I411" s="21">
        <v>165</v>
      </c>
      <c r="J411" s="21">
        <f t="shared" si="21"/>
        <v>0</v>
      </c>
    </row>
    <row r="412" spans="1:10" x14ac:dyDescent="0.3">
      <c r="A412" s="2" t="s">
        <v>415</v>
      </c>
      <c r="B412" s="1" t="s">
        <v>2152</v>
      </c>
      <c r="C412" s="6" t="s">
        <v>2563</v>
      </c>
      <c r="D412" s="6" t="s">
        <v>4734</v>
      </c>
      <c r="E412" s="20">
        <f t="shared" si="22"/>
        <v>0</v>
      </c>
      <c r="F412" s="20">
        <v>5100</v>
      </c>
      <c r="G412" s="24" t="s">
        <v>6867</v>
      </c>
      <c r="H412" s="20">
        <f t="shared" si="23"/>
        <v>0</v>
      </c>
      <c r="I412" s="21">
        <v>165</v>
      </c>
      <c r="J412" s="21">
        <f t="shared" si="21"/>
        <v>0</v>
      </c>
    </row>
    <row r="413" spans="1:10" x14ac:dyDescent="0.3">
      <c r="A413" s="2" t="s">
        <v>416</v>
      </c>
      <c r="B413" s="1" t="s">
        <v>2152</v>
      </c>
      <c r="C413" s="6" t="s">
        <v>2564</v>
      </c>
      <c r="D413" s="6" t="s">
        <v>4735</v>
      </c>
      <c r="E413" s="20">
        <f t="shared" si="22"/>
        <v>0</v>
      </c>
      <c r="F413" s="20">
        <v>5100</v>
      </c>
      <c r="G413" s="24" t="s">
        <v>6868</v>
      </c>
      <c r="H413" s="20">
        <f t="shared" si="23"/>
        <v>0</v>
      </c>
      <c r="I413" s="21">
        <v>165</v>
      </c>
      <c r="J413" s="21">
        <f t="shared" si="21"/>
        <v>0</v>
      </c>
    </row>
    <row r="414" spans="1:10" x14ac:dyDescent="0.3">
      <c r="A414" s="2" t="s">
        <v>417</v>
      </c>
      <c r="B414" s="1" t="s">
        <v>2152</v>
      </c>
      <c r="C414" s="6" t="s">
        <v>2565</v>
      </c>
      <c r="D414" s="6" t="s">
        <v>4736</v>
      </c>
      <c r="E414" s="20">
        <f t="shared" si="22"/>
        <v>0</v>
      </c>
      <c r="F414" s="20">
        <v>5100</v>
      </c>
      <c r="G414" s="24" t="s">
        <v>6869</v>
      </c>
      <c r="H414" s="20">
        <f t="shared" si="23"/>
        <v>0</v>
      </c>
      <c r="I414" s="21">
        <v>165</v>
      </c>
      <c r="J414" s="21">
        <f t="shared" si="21"/>
        <v>0</v>
      </c>
    </row>
    <row r="415" spans="1:10" x14ac:dyDescent="0.3">
      <c r="A415" s="2" t="s">
        <v>418</v>
      </c>
      <c r="B415" s="1" t="s">
        <v>2152</v>
      </c>
      <c r="C415" s="6" t="s">
        <v>2566</v>
      </c>
      <c r="D415" s="6" t="s">
        <v>4737</v>
      </c>
      <c r="E415" s="20">
        <f t="shared" si="22"/>
        <v>0</v>
      </c>
      <c r="F415" s="20">
        <v>5100</v>
      </c>
      <c r="G415" s="24" t="s">
        <v>6870</v>
      </c>
      <c r="H415" s="20">
        <f t="shared" si="23"/>
        <v>0</v>
      </c>
      <c r="I415" s="21">
        <v>165</v>
      </c>
      <c r="J415" s="21">
        <f t="shared" si="21"/>
        <v>0</v>
      </c>
    </row>
    <row r="416" spans="1:10" x14ac:dyDescent="0.3">
      <c r="A416" s="2" t="s">
        <v>419</v>
      </c>
      <c r="B416" s="1" t="s">
        <v>2152</v>
      </c>
      <c r="C416" s="6" t="s">
        <v>2567</v>
      </c>
      <c r="D416" s="6" t="s">
        <v>4738</v>
      </c>
      <c r="E416" s="20">
        <f t="shared" si="22"/>
        <v>0</v>
      </c>
      <c r="F416" s="20">
        <v>5100</v>
      </c>
      <c r="G416" s="24" t="s">
        <v>6871</v>
      </c>
      <c r="H416" s="20">
        <f t="shared" si="23"/>
        <v>0</v>
      </c>
      <c r="I416" s="21">
        <v>165</v>
      </c>
      <c r="J416" s="21">
        <f t="shared" si="21"/>
        <v>0</v>
      </c>
    </row>
    <row r="417" spans="1:10" x14ac:dyDescent="0.3">
      <c r="A417" s="2" t="s">
        <v>420</v>
      </c>
      <c r="B417" s="1" t="s">
        <v>2152</v>
      </c>
      <c r="C417" s="6" t="s">
        <v>2568</v>
      </c>
      <c r="D417" s="6" t="s">
        <v>4739</v>
      </c>
      <c r="E417" s="20">
        <f t="shared" si="22"/>
        <v>0</v>
      </c>
      <c r="F417" s="20">
        <v>5100</v>
      </c>
      <c r="G417" s="24" t="s">
        <v>6872</v>
      </c>
      <c r="H417" s="20">
        <f t="shared" si="23"/>
        <v>0</v>
      </c>
      <c r="I417" s="21">
        <v>165</v>
      </c>
      <c r="J417" s="21">
        <f t="shared" si="21"/>
        <v>0</v>
      </c>
    </row>
    <row r="418" spans="1:10" ht="41.4" x14ac:dyDescent="0.3">
      <c r="A418" s="2" t="s">
        <v>421</v>
      </c>
      <c r="B418" s="1" t="s">
        <v>2152</v>
      </c>
      <c r="C418" s="6" t="s">
        <v>2569</v>
      </c>
      <c r="D418" s="6" t="s">
        <v>4740</v>
      </c>
      <c r="E418" s="20">
        <f>H418*1.8*1.4</f>
        <v>0</v>
      </c>
      <c r="F418" s="20">
        <f>'[3]ELEK SALLAMA'!$L$2</f>
        <v>13342.68</v>
      </c>
      <c r="G418" s="24" t="s">
        <v>6873</v>
      </c>
      <c r="H418" s="20">
        <f>K418*1.8*1.4</f>
        <v>0</v>
      </c>
      <c r="I418" s="21">
        <v>650</v>
      </c>
      <c r="J418" s="21">
        <f>X418</f>
        <v>0</v>
      </c>
    </row>
    <row r="419" spans="1:10" ht="55.2" x14ac:dyDescent="0.3">
      <c r="A419" s="2" t="s">
        <v>422</v>
      </c>
      <c r="B419" s="1" t="s">
        <v>2152</v>
      </c>
      <c r="C419" s="6" t="s">
        <v>2570</v>
      </c>
      <c r="D419" s="6" t="s">
        <v>4741</v>
      </c>
      <c r="E419" s="20">
        <f t="shared" si="22"/>
        <v>0</v>
      </c>
      <c r="F419" s="20">
        <v>0</v>
      </c>
      <c r="G419" s="24" t="s">
        <v>6874</v>
      </c>
      <c r="H419" s="20">
        <f t="shared" si="23"/>
        <v>0</v>
      </c>
      <c r="I419" s="21">
        <v>1038</v>
      </c>
      <c r="J419" s="21">
        <f>X419</f>
        <v>0</v>
      </c>
    </row>
    <row r="420" spans="1:10" ht="82.8" x14ac:dyDescent="0.3">
      <c r="A420" s="2" t="s">
        <v>423</v>
      </c>
      <c r="B420" s="1" t="s">
        <v>2152</v>
      </c>
      <c r="C420" s="6" t="s">
        <v>2571</v>
      </c>
      <c r="D420" s="6" t="s">
        <v>4742</v>
      </c>
      <c r="E420" s="20">
        <f t="shared" si="22"/>
        <v>0</v>
      </c>
      <c r="F420" s="20">
        <f>'[3]YÜKSEK KAPASİTE ELEK SALLAMA'!$L$3</f>
        <v>23006</v>
      </c>
      <c r="G420" s="24" t="s">
        <v>6875</v>
      </c>
      <c r="H420" s="20">
        <f t="shared" si="23"/>
        <v>0</v>
      </c>
      <c r="I420" s="21">
        <v>5100</v>
      </c>
      <c r="J420" s="21">
        <f>X420</f>
        <v>0</v>
      </c>
    </row>
    <row r="421" spans="1:10" ht="96.6" x14ac:dyDescent="0.3">
      <c r="A421" s="2" t="s">
        <v>424</v>
      </c>
      <c r="B421" s="1" t="s">
        <v>2152</v>
      </c>
      <c r="C421" s="6" t="s">
        <v>2572</v>
      </c>
      <c r="D421" s="6" t="s">
        <v>4743</v>
      </c>
      <c r="E421" s="20">
        <f t="shared" si="22"/>
        <v>0</v>
      </c>
      <c r="F421" s="20">
        <v>0</v>
      </c>
      <c r="G421" s="24" t="s">
        <v>6876</v>
      </c>
      <c r="H421" s="20">
        <f t="shared" si="23"/>
        <v>0</v>
      </c>
      <c r="I421" s="21">
        <v>5750</v>
      </c>
      <c r="J421" s="21">
        <v>0</v>
      </c>
    </row>
    <row r="422" spans="1:10" ht="96.6" x14ac:dyDescent="0.3">
      <c r="A422" s="2" t="s">
        <v>425</v>
      </c>
      <c r="B422" s="1" t="s">
        <v>2152</v>
      </c>
      <c r="C422" s="6" t="s">
        <v>2573</v>
      </c>
      <c r="D422" s="6" t="s">
        <v>4744</v>
      </c>
      <c r="E422" s="20">
        <f t="shared" si="22"/>
        <v>0</v>
      </c>
      <c r="F422" s="20">
        <v>0</v>
      </c>
      <c r="G422" s="24" t="s">
        <v>6877</v>
      </c>
      <c r="H422" s="20">
        <f t="shared" si="23"/>
        <v>0</v>
      </c>
      <c r="I422" s="21">
        <v>6500</v>
      </c>
      <c r="J422" s="21">
        <v>0</v>
      </c>
    </row>
    <row r="423" spans="1:10" ht="96.6" x14ac:dyDescent="0.3">
      <c r="A423" s="2" t="s">
        <v>426</v>
      </c>
      <c r="B423" s="1" t="s">
        <v>2152</v>
      </c>
      <c r="C423" s="6" t="s">
        <v>2574</v>
      </c>
      <c r="D423" s="6" t="s">
        <v>4745</v>
      </c>
      <c r="E423" s="20">
        <f t="shared" si="22"/>
        <v>0</v>
      </c>
      <c r="F423" s="20">
        <v>0</v>
      </c>
      <c r="G423" s="24" t="s">
        <v>6878</v>
      </c>
      <c r="H423" s="20">
        <f t="shared" si="23"/>
        <v>0</v>
      </c>
      <c r="I423" s="21">
        <v>6750</v>
      </c>
      <c r="J423" s="21">
        <v>0</v>
      </c>
    </row>
    <row r="424" spans="1:10" x14ac:dyDescent="0.3">
      <c r="A424" s="2" t="s">
        <v>427</v>
      </c>
      <c r="B424" s="1" t="s">
        <v>2152</v>
      </c>
      <c r="C424" s="6" t="s">
        <v>2575</v>
      </c>
      <c r="D424" s="6" t="s">
        <v>4746</v>
      </c>
      <c r="E424" s="20">
        <f t="shared" si="22"/>
        <v>0</v>
      </c>
      <c r="F424" s="20">
        <f>'[4]ELEK KASNAĞI'!$L$2</f>
        <v>210</v>
      </c>
      <c r="G424" s="24" t="s">
        <v>6879</v>
      </c>
      <c r="H424" s="20">
        <f t="shared" si="23"/>
        <v>0</v>
      </c>
      <c r="I424" s="21">
        <v>165</v>
      </c>
      <c r="J424" s="21">
        <v>0</v>
      </c>
    </row>
    <row r="425" spans="1:10" x14ac:dyDescent="0.3">
      <c r="A425" s="2" t="s">
        <v>428</v>
      </c>
      <c r="B425" s="1" t="s">
        <v>2152</v>
      </c>
      <c r="C425" s="6" t="s">
        <v>2576</v>
      </c>
      <c r="D425" s="6" t="s">
        <v>4747</v>
      </c>
      <c r="E425" s="20">
        <f t="shared" si="22"/>
        <v>0</v>
      </c>
      <c r="F425" s="20">
        <v>90000</v>
      </c>
      <c r="G425" s="24" t="s">
        <v>6880</v>
      </c>
      <c r="H425" s="20">
        <f t="shared" si="23"/>
        <v>0</v>
      </c>
      <c r="J425" s="21">
        <v>0</v>
      </c>
    </row>
    <row r="426" spans="1:10" ht="151.80000000000001" x14ac:dyDescent="0.3">
      <c r="A426" s="2" t="s">
        <v>429</v>
      </c>
      <c r="B426" s="1" t="s">
        <v>2152</v>
      </c>
      <c r="C426" s="6" t="s">
        <v>2577</v>
      </c>
      <c r="D426" s="6" t="s">
        <v>4748</v>
      </c>
      <c r="E426" s="20">
        <f t="shared" si="22"/>
        <v>0</v>
      </c>
      <c r="F426" s="20">
        <v>0</v>
      </c>
      <c r="G426" s="24" t="s">
        <v>6881</v>
      </c>
      <c r="H426" s="20">
        <f t="shared" si="23"/>
        <v>0</v>
      </c>
      <c r="I426" s="21">
        <v>0</v>
      </c>
      <c r="J426" s="21">
        <v>0</v>
      </c>
    </row>
    <row r="427" spans="1:10" x14ac:dyDescent="0.3">
      <c r="A427" s="2" t="s">
        <v>430</v>
      </c>
      <c r="B427" s="1" t="s">
        <v>2152</v>
      </c>
      <c r="C427" s="6" t="s">
        <v>2578</v>
      </c>
      <c r="D427" s="6" t="s">
        <v>4749</v>
      </c>
      <c r="E427" s="20">
        <f t="shared" si="22"/>
        <v>0</v>
      </c>
      <c r="F427" s="20">
        <v>0</v>
      </c>
      <c r="G427" s="24" t="s">
        <v>6882</v>
      </c>
      <c r="H427" s="20">
        <f t="shared" si="23"/>
        <v>0</v>
      </c>
      <c r="I427" s="21">
        <v>0</v>
      </c>
      <c r="J427" s="21">
        <v>0</v>
      </c>
    </row>
    <row r="428" spans="1:10" x14ac:dyDescent="0.3">
      <c r="A428" s="2" t="s">
        <v>431</v>
      </c>
      <c r="B428" s="1" t="s">
        <v>2152</v>
      </c>
      <c r="C428" s="6" t="s">
        <v>2579</v>
      </c>
      <c r="D428" s="6" t="s">
        <v>4750</v>
      </c>
      <c r="E428" s="20">
        <f t="shared" si="22"/>
        <v>0</v>
      </c>
      <c r="F428" s="20">
        <v>0</v>
      </c>
      <c r="G428" s="24" t="s">
        <v>6883</v>
      </c>
      <c r="H428" s="20">
        <f t="shared" si="23"/>
        <v>0</v>
      </c>
      <c r="I428" s="21">
        <v>5750</v>
      </c>
      <c r="J428" s="21">
        <v>0</v>
      </c>
    </row>
    <row r="429" spans="1:10" ht="27.6" x14ac:dyDescent="0.3">
      <c r="A429" s="2" t="s">
        <v>432</v>
      </c>
      <c r="B429" s="1" t="s">
        <v>2152</v>
      </c>
      <c r="C429" s="6" t="s">
        <v>2580</v>
      </c>
      <c r="D429" s="6" t="s">
        <v>4751</v>
      </c>
      <c r="E429" s="20">
        <f t="shared" si="22"/>
        <v>0</v>
      </c>
      <c r="F429" s="20">
        <f>[5]Bölgeçler!$G$3</f>
        <v>3600</v>
      </c>
      <c r="G429" s="24" t="s">
        <v>6884</v>
      </c>
      <c r="H429" s="20">
        <f t="shared" si="23"/>
        <v>0</v>
      </c>
      <c r="I429" s="21">
        <v>106</v>
      </c>
      <c r="J429" s="21">
        <f t="shared" ref="J429:J441" si="24">X429</f>
        <v>0</v>
      </c>
    </row>
    <row r="430" spans="1:10" ht="27.6" x14ac:dyDescent="0.3">
      <c r="A430" s="2" t="s">
        <v>433</v>
      </c>
      <c r="B430" s="1" t="s">
        <v>2152</v>
      </c>
      <c r="C430" s="6" t="s">
        <v>2581</v>
      </c>
      <c r="D430" s="6" t="s">
        <v>4752</v>
      </c>
      <c r="E430" s="20">
        <f t="shared" si="22"/>
        <v>0</v>
      </c>
      <c r="F430" s="20">
        <f>[5]Bölgeçler!$G$4</f>
        <v>4640</v>
      </c>
      <c r="G430" s="24" t="s">
        <v>6885</v>
      </c>
      <c r="H430" s="20">
        <f t="shared" si="23"/>
        <v>0</v>
      </c>
      <c r="I430" s="21">
        <v>118</v>
      </c>
      <c r="J430" s="21">
        <f t="shared" si="24"/>
        <v>0</v>
      </c>
    </row>
    <row r="431" spans="1:10" ht="27.6" x14ac:dyDescent="0.3">
      <c r="A431" s="2" t="s">
        <v>434</v>
      </c>
      <c r="B431" s="1" t="s">
        <v>2152</v>
      </c>
      <c r="C431" s="6" t="s">
        <v>2582</v>
      </c>
      <c r="D431" s="6" t="s">
        <v>4753</v>
      </c>
      <c r="E431" s="20">
        <f t="shared" si="22"/>
        <v>0</v>
      </c>
      <c r="F431" s="20">
        <f>[5]Bölgeçler!$G$5</f>
        <v>4760</v>
      </c>
      <c r="G431" s="24" t="s">
        <v>6886</v>
      </c>
      <c r="H431" s="20">
        <f t="shared" si="23"/>
        <v>0</v>
      </c>
      <c r="I431" s="21">
        <v>121</v>
      </c>
      <c r="J431" s="21">
        <f t="shared" si="24"/>
        <v>0</v>
      </c>
    </row>
    <row r="432" spans="1:10" ht="27.6" x14ac:dyDescent="0.3">
      <c r="A432" s="2" t="s">
        <v>435</v>
      </c>
      <c r="B432" s="1" t="s">
        <v>2152</v>
      </c>
      <c r="C432" s="6" t="s">
        <v>2583</v>
      </c>
      <c r="D432" s="6" t="s">
        <v>4754</v>
      </c>
      <c r="E432" s="20">
        <f t="shared" si="22"/>
        <v>0</v>
      </c>
      <c r="F432" s="20">
        <f>[5]Bölgeçler!$G$6</f>
        <v>5120</v>
      </c>
      <c r="G432" s="24" t="s">
        <v>6887</v>
      </c>
      <c r="H432" s="20">
        <f t="shared" si="23"/>
        <v>0</v>
      </c>
      <c r="I432" s="21">
        <v>127</v>
      </c>
      <c r="J432" s="21">
        <f t="shared" si="24"/>
        <v>0</v>
      </c>
    </row>
    <row r="433" spans="1:10" ht="27.6" x14ac:dyDescent="0.3">
      <c r="A433" s="2" t="s">
        <v>436</v>
      </c>
      <c r="B433" s="1" t="s">
        <v>2152</v>
      </c>
      <c r="C433" s="6" t="s">
        <v>2584</v>
      </c>
      <c r="D433" s="6" t="s">
        <v>4755</v>
      </c>
      <c r="E433" s="20">
        <f t="shared" si="22"/>
        <v>0</v>
      </c>
      <c r="F433" s="20">
        <f>[5]Bölgeçler!$G$7</f>
        <v>5280</v>
      </c>
      <c r="G433" s="24" t="s">
        <v>6888</v>
      </c>
      <c r="H433" s="20">
        <f t="shared" si="23"/>
        <v>0</v>
      </c>
      <c r="I433" s="21">
        <v>139</v>
      </c>
      <c r="J433" s="21">
        <f t="shared" si="24"/>
        <v>0</v>
      </c>
    </row>
    <row r="434" spans="1:10" ht="27.6" x14ac:dyDescent="0.3">
      <c r="A434" s="2" t="s">
        <v>437</v>
      </c>
      <c r="B434" s="1" t="s">
        <v>2152</v>
      </c>
      <c r="C434" s="6" t="s">
        <v>2585</v>
      </c>
      <c r="D434" s="6" t="s">
        <v>4756</v>
      </c>
      <c r="E434" s="20">
        <f t="shared" si="22"/>
        <v>0</v>
      </c>
      <c r="F434" s="20">
        <v>4250</v>
      </c>
      <c r="G434" s="24" t="s">
        <v>6889</v>
      </c>
      <c r="H434" s="20">
        <f t="shared" si="23"/>
        <v>0</v>
      </c>
      <c r="I434" s="21">
        <v>145</v>
      </c>
      <c r="J434" s="21">
        <f t="shared" si="24"/>
        <v>0</v>
      </c>
    </row>
    <row r="435" spans="1:10" ht="27.6" x14ac:dyDescent="0.3">
      <c r="A435" s="2" t="s">
        <v>438</v>
      </c>
      <c r="B435" s="1" t="s">
        <v>2152</v>
      </c>
      <c r="C435" s="6" t="s">
        <v>2586</v>
      </c>
      <c r="D435" s="6" t="s">
        <v>4757</v>
      </c>
      <c r="E435" s="20">
        <f t="shared" si="22"/>
        <v>0</v>
      </c>
      <c r="F435" s="20">
        <f>[5]Bölgeçler!$G$8</f>
        <v>5360</v>
      </c>
      <c r="G435" s="24" t="s">
        <v>6890</v>
      </c>
      <c r="H435" s="20">
        <f t="shared" si="23"/>
        <v>0</v>
      </c>
      <c r="I435" s="21">
        <v>151</v>
      </c>
      <c r="J435" s="21">
        <f t="shared" si="24"/>
        <v>0</v>
      </c>
    </row>
    <row r="436" spans="1:10" ht="27.6" x14ac:dyDescent="0.3">
      <c r="A436" s="2" t="s">
        <v>439</v>
      </c>
      <c r="B436" s="1" t="s">
        <v>2152</v>
      </c>
      <c r="C436" s="6" t="s">
        <v>2587</v>
      </c>
      <c r="D436" s="6" t="s">
        <v>4758</v>
      </c>
      <c r="E436" s="20">
        <f t="shared" si="22"/>
        <v>0</v>
      </c>
      <c r="F436" s="20">
        <f>[5]Bölgeçler!$G$9</f>
        <v>5480</v>
      </c>
      <c r="G436" s="24" t="s">
        <v>6891</v>
      </c>
      <c r="H436" s="20">
        <f t="shared" si="23"/>
        <v>0</v>
      </c>
      <c r="I436" s="21">
        <v>157</v>
      </c>
      <c r="J436" s="21">
        <f t="shared" si="24"/>
        <v>0</v>
      </c>
    </row>
    <row r="437" spans="1:10" ht="27.6" x14ac:dyDescent="0.3">
      <c r="A437" s="2" t="s">
        <v>440</v>
      </c>
      <c r="B437" s="1" t="s">
        <v>2152</v>
      </c>
      <c r="C437" s="6" t="s">
        <v>2588</v>
      </c>
      <c r="D437" s="6" t="s">
        <v>4759</v>
      </c>
      <c r="E437" s="20">
        <f t="shared" si="22"/>
        <v>0</v>
      </c>
      <c r="F437" s="20">
        <f>[5]Bölgeçler!$G$10</f>
        <v>5720</v>
      </c>
      <c r="G437" s="24" t="s">
        <v>6892</v>
      </c>
      <c r="H437" s="20">
        <f t="shared" si="23"/>
        <v>0</v>
      </c>
      <c r="I437" s="21">
        <v>163</v>
      </c>
      <c r="J437" s="21">
        <f t="shared" si="24"/>
        <v>0</v>
      </c>
    </row>
    <row r="438" spans="1:10" ht="27.6" x14ac:dyDescent="0.3">
      <c r="A438" s="2" t="s">
        <v>441</v>
      </c>
      <c r="B438" s="1" t="s">
        <v>2152</v>
      </c>
      <c r="C438" s="6" t="s">
        <v>2589</v>
      </c>
      <c r="D438" s="6" t="s">
        <v>4760</v>
      </c>
      <c r="E438" s="20">
        <f t="shared" si="22"/>
        <v>0</v>
      </c>
      <c r="F438" s="20">
        <f>[5]Bölgeçler!$G$11</f>
        <v>6000</v>
      </c>
      <c r="G438" s="24" t="s">
        <v>6893</v>
      </c>
      <c r="H438" s="20">
        <f t="shared" si="23"/>
        <v>0</v>
      </c>
      <c r="I438" s="21">
        <v>178</v>
      </c>
      <c r="J438" s="21">
        <f t="shared" si="24"/>
        <v>0</v>
      </c>
    </row>
    <row r="439" spans="1:10" ht="27.6" x14ac:dyDescent="0.3">
      <c r="A439" s="2" t="s">
        <v>442</v>
      </c>
      <c r="B439" s="1" t="s">
        <v>2152</v>
      </c>
      <c r="C439" s="6" t="s">
        <v>2590</v>
      </c>
      <c r="D439" s="6" t="s">
        <v>4761</v>
      </c>
      <c r="E439" s="20">
        <f t="shared" si="22"/>
        <v>0</v>
      </c>
      <c r="F439" s="20">
        <f>[5]Bölgeçler!$G$12</f>
        <v>6120</v>
      </c>
      <c r="G439" s="24" t="s">
        <v>6894</v>
      </c>
      <c r="H439" s="20">
        <f t="shared" si="23"/>
        <v>0</v>
      </c>
      <c r="I439" s="21">
        <v>184</v>
      </c>
      <c r="J439" s="21">
        <f t="shared" si="24"/>
        <v>0</v>
      </c>
    </row>
    <row r="440" spans="1:10" ht="27.6" x14ac:dyDescent="0.3">
      <c r="A440" s="2" t="s">
        <v>443</v>
      </c>
      <c r="B440" s="1" t="s">
        <v>2152</v>
      </c>
      <c r="C440" s="6" t="s">
        <v>2591</v>
      </c>
      <c r="D440" s="6" t="s">
        <v>4762</v>
      </c>
      <c r="E440" s="20">
        <f t="shared" si="22"/>
        <v>0</v>
      </c>
      <c r="F440" s="20">
        <f>[5]Bölgeçler!$G$13</f>
        <v>7360</v>
      </c>
      <c r="G440" s="24" t="s">
        <v>6895</v>
      </c>
      <c r="H440" s="20">
        <f t="shared" si="23"/>
        <v>0</v>
      </c>
      <c r="I440" s="21">
        <v>214</v>
      </c>
      <c r="J440" s="21">
        <f t="shared" si="24"/>
        <v>0</v>
      </c>
    </row>
    <row r="441" spans="1:10" ht="27.6" x14ac:dyDescent="0.3">
      <c r="A441" s="2" t="s">
        <v>444</v>
      </c>
      <c r="B441" s="1" t="s">
        <v>2152</v>
      </c>
      <c r="C441" s="6" t="s">
        <v>2592</v>
      </c>
      <c r="D441" s="6" t="s">
        <v>4763</v>
      </c>
      <c r="E441" s="20">
        <f t="shared" si="22"/>
        <v>0</v>
      </c>
      <c r="F441" s="20">
        <f>[5]Bölgeçler!$G$14</f>
        <v>7440</v>
      </c>
      <c r="G441" s="24" t="s">
        <v>6896</v>
      </c>
      <c r="H441" s="20">
        <f t="shared" si="23"/>
        <v>0</v>
      </c>
      <c r="I441" s="21">
        <v>250</v>
      </c>
      <c r="J441" s="21">
        <f t="shared" si="24"/>
        <v>0</v>
      </c>
    </row>
    <row r="442" spans="1:10" x14ac:dyDescent="0.3">
      <c r="A442" s="2" t="s">
        <v>445</v>
      </c>
      <c r="B442" s="1" t="s">
        <v>2152</v>
      </c>
      <c r="C442" s="6" t="s">
        <v>2593</v>
      </c>
      <c r="D442" s="6" t="s">
        <v>4764</v>
      </c>
      <c r="E442" s="20">
        <f t="shared" si="22"/>
        <v>0</v>
      </c>
      <c r="F442" s="20">
        <v>7500</v>
      </c>
      <c r="G442" s="24" t="s">
        <v>6897</v>
      </c>
      <c r="H442" s="20">
        <f t="shared" si="23"/>
        <v>0</v>
      </c>
      <c r="I442" s="21">
        <v>950</v>
      </c>
      <c r="J442" s="21">
        <v>850</v>
      </c>
    </row>
    <row r="443" spans="1:10" x14ac:dyDescent="0.3">
      <c r="A443" s="2" t="s">
        <v>446</v>
      </c>
      <c r="B443" s="1" t="s">
        <v>2152</v>
      </c>
      <c r="C443" s="6" t="s">
        <v>2594</v>
      </c>
      <c r="D443" s="6" t="s">
        <v>4765</v>
      </c>
      <c r="E443" s="20">
        <f t="shared" si="22"/>
        <v>0</v>
      </c>
      <c r="F443" s="20">
        <v>7500</v>
      </c>
      <c r="G443" s="24" t="s">
        <v>6898</v>
      </c>
      <c r="H443" s="20">
        <f t="shared" si="23"/>
        <v>0</v>
      </c>
      <c r="I443" s="21">
        <v>850</v>
      </c>
      <c r="J443" s="21">
        <v>800</v>
      </c>
    </row>
    <row r="444" spans="1:10" ht="41.4" x14ac:dyDescent="0.3">
      <c r="A444" s="2" t="s">
        <v>447</v>
      </c>
      <c r="B444" s="1" t="s">
        <v>2152</v>
      </c>
      <c r="C444" s="6" t="s">
        <v>2595</v>
      </c>
      <c r="D444" s="6" t="s">
        <v>4766</v>
      </c>
      <c r="E444" s="20">
        <f t="shared" si="22"/>
        <v>0</v>
      </c>
      <c r="F444" s="20">
        <f>'[6]BİRİM AĞIRLIK KOVASI 1 LT'!$L$2</f>
        <v>256</v>
      </c>
      <c r="G444" s="24" t="s">
        <v>6899</v>
      </c>
      <c r="H444" s="20">
        <f t="shared" si="23"/>
        <v>0</v>
      </c>
      <c r="I444" s="21">
        <v>46</v>
      </c>
      <c r="J444" s="21">
        <f t="shared" ref="J444:J453" si="25">X444</f>
        <v>0</v>
      </c>
    </row>
    <row r="445" spans="1:10" ht="41.4" x14ac:dyDescent="0.3">
      <c r="A445" s="2" t="s">
        <v>448</v>
      </c>
      <c r="B445" s="1" t="s">
        <v>2152</v>
      </c>
      <c r="C445" s="6" t="s">
        <v>2596</v>
      </c>
      <c r="D445" s="6" t="s">
        <v>4767</v>
      </c>
      <c r="E445" s="20">
        <f t="shared" si="22"/>
        <v>0</v>
      </c>
      <c r="F445" s="20">
        <f>'[6]BİRİM AĞIRLIK KOVASI 5 LT'!$L$2</f>
        <v>274.5</v>
      </c>
      <c r="G445" s="24" t="s">
        <v>6900</v>
      </c>
      <c r="H445" s="20">
        <f t="shared" si="23"/>
        <v>0</v>
      </c>
      <c r="I445" s="21">
        <v>58</v>
      </c>
      <c r="J445" s="21">
        <f t="shared" si="25"/>
        <v>0</v>
      </c>
    </row>
    <row r="446" spans="1:10" ht="41.4" x14ac:dyDescent="0.3">
      <c r="A446" s="2" t="s">
        <v>449</v>
      </c>
      <c r="B446" s="1" t="s">
        <v>2152</v>
      </c>
      <c r="C446" s="6" t="s">
        <v>2597</v>
      </c>
      <c r="D446" s="6" t="s">
        <v>4768</v>
      </c>
      <c r="E446" s="20">
        <f t="shared" si="22"/>
        <v>0</v>
      </c>
      <c r="F446" s="20">
        <f>'[6]BİRİM AĞIRLIK KOVASI 10 LT'!$L$2</f>
        <v>400</v>
      </c>
      <c r="G446" s="24" t="s">
        <v>6901</v>
      </c>
      <c r="H446" s="20">
        <f t="shared" si="23"/>
        <v>0</v>
      </c>
      <c r="I446" s="21">
        <v>64</v>
      </c>
      <c r="J446" s="21">
        <f t="shared" si="25"/>
        <v>0</v>
      </c>
    </row>
    <row r="447" spans="1:10" ht="41.4" x14ac:dyDescent="0.3">
      <c r="A447" s="2" t="s">
        <v>450</v>
      </c>
      <c r="B447" s="1" t="s">
        <v>2152</v>
      </c>
      <c r="C447" s="6" t="s">
        <v>2598</v>
      </c>
      <c r="D447" s="6" t="s">
        <v>4769</v>
      </c>
      <c r="E447" s="20">
        <f t="shared" si="22"/>
        <v>0</v>
      </c>
      <c r="F447" s="20">
        <f>'[6]BİRİM AĞIRLIK KOVASI 20 LT'!$L$2</f>
        <v>505</v>
      </c>
      <c r="G447" s="24" t="s">
        <v>6902</v>
      </c>
      <c r="H447" s="20">
        <f t="shared" si="23"/>
        <v>0</v>
      </c>
      <c r="I447" s="21">
        <v>82</v>
      </c>
      <c r="J447" s="21">
        <f t="shared" si="25"/>
        <v>0</v>
      </c>
    </row>
    <row r="448" spans="1:10" x14ac:dyDescent="0.3">
      <c r="A448" s="2" t="s">
        <v>451</v>
      </c>
      <c r="B448" s="1" t="s">
        <v>2152</v>
      </c>
      <c r="C448" s="6" t="s">
        <v>2599</v>
      </c>
      <c r="D448" s="6" t="s">
        <v>4770</v>
      </c>
      <c r="E448" s="20">
        <f t="shared" si="22"/>
        <v>0</v>
      </c>
      <c r="F448" s="20">
        <v>500</v>
      </c>
      <c r="G448" s="24" t="s">
        <v>6903</v>
      </c>
      <c r="H448" s="20">
        <f t="shared" si="23"/>
        <v>0</v>
      </c>
      <c r="I448" s="21">
        <v>45</v>
      </c>
      <c r="J448" s="21">
        <f t="shared" si="25"/>
        <v>0</v>
      </c>
    </row>
    <row r="449" spans="1:10" x14ac:dyDescent="0.3">
      <c r="A449" s="2" t="s">
        <v>452</v>
      </c>
      <c r="B449" s="1" t="s">
        <v>2152</v>
      </c>
      <c r="C449" s="6" t="s">
        <v>2600</v>
      </c>
      <c r="D449" s="6" t="s">
        <v>4771</v>
      </c>
      <c r="E449" s="20">
        <f t="shared" si="22"/>
        <v>0</v>
      </c>
      <c r="F449" s="20">
        <v>150</v>
      </c>
      <c r="G449" s="24" t="s">
        <v>6904</v>
      </c>
      <c r="H449" s="20">
        <f t="shared" si="23"/>
        <v>0</v>
      </c>
      <c r="I449" s="21">
        <v>15</v>
      </c>
      <c r="J449" s="21">
        <f t="shared" si="25"/>
        <v>0</v>
      </c>
    </row>
    <row r="450" spans="1:10" x14ac:dyDescent="0.3">
      <c r="A450" s="2" t="s">
        <v>453</v>
      </c>
      <c r="B450" s="1" t="s">
        <v>2152</v>
      </c>
      <c r="C450" s="6" t="s">
        <v>2601</v>
      </c>
      <c r="D450" s="6" t="s">
        <v>4772</v>
      </c>
      <c r="E450" s="20">
        <f t="shared" si="22"/>
        <v>0</v>
      </c>
      <c r="F450" s="20">
        <v>300</v>
      </c>
      <c r="G450" s="24" t="s">
        <v>6905</v>
      </c>
      <c r="H450" s="20">
        <f t="shared" si="23"/>
        <v>0</v>
      </c>
      <c r="I450" s="21">
        <v>30</v>
      </c>
      <c r="J450" s="21">
        <f t="shared" si="25"/>
        <v>0</v>
      </c>
    </row>
    <row r="451" spans="1:10" x14ac:dyDescent="0.3">
      <c r="A451" s="2" t="s">
        <v>454</v>
      </c>
      <c r="B451" s="1" t="s">
        <v>2152</v>
      </c>
      <c r="C451" s="6" t="s">
        <v>2602</v>
      </c>
      <c r="D451" s="6" t="s">
        <v>4773</v>
      </c>
      <c r="E451" s="20">
        <v>850</v>
      </c>
      <c r="F451" s="20">
        <v>450</v>
      </c>
      <c r="G451" s="24" t="s">
        <v>6906</v>
      </c>
      <c r="H451" s="20">
        <v>850</v>
      </c>
      <c r="I451" s="21">
        <v>45</v>
      </c>
      <c r="J451" s="21">
        <f t="shared" si="25"/>
        <v>0</v>
      </c>
    </row>
    <row r="452" spans="1:10" x14ac:dyDescent="0.3">
      <c r="A452" s="2" t="s">
        <v>455</v>
      </c>
      <c r="B452" s="1" t="s">
        <v>2152</v>
      </c>
      <c r="C452" s="6" t="s">
        <v>2603</v>
      </c>
      <c r="D452" s="6" t="s">
        <v>4774</v>
      </c>
      <c r="E452" s="20">
        <v>850</v>
      </c>
      <c r="F452" s="20">
        <v>450</v>
      </c>
      <c r="G452" s="24" t="s">
        <v>6907</v>
      </c>
      <c r="H452" s="20">
        <v>850</v>
      </c>
      <c r="I452" s="21">
        <v>63</v>
      </c>
      <c r="J452" s="21">
        <f t="shared" si="25"/>
        <v>0</v>
      </c>
    </row>
    <row r="453" spans="1:10" x14ac:dyDescent="0.3">
      <c r="A453" s="5" t="s">
        <v>456</v>
      </c>
      <c r="B453" s="1" t="s">
        <v>2152</v>
      </c>
      <c r="C453" s="6" t="s">
        <v>2604</v>
      </c>
      <c r="D453" s="6" t="s">
        <v>4775</v>
      </c>
      <c r="E453" s="20">
        <f t="shared" ref="E453:E516" si="26">H453*1.8*1.4</f>
        <v>0</v>
      </c>
      <c r="F453" s="20">
        <v>2500</v>
      </c>
      <c r="G453" s="24" t="s">
        <v>6908</v>
      </c>
      <c r="H453" s="20">
        <f t="shared" ref="H453:H516" si="27">K453*1.8*1.4</f>
        <v>0</v>
      </c>
      <c r="I453" s="21">
        <v>215</v>
      </c>
      <c r="J453" s="21">
        <f t="shared" si="25"/>
        <v>0</v>
      </c>
    </row>
    <row r="454" spans="1:10" x14ac:dyDescent="0.3">
      <c r="A454" s="5" t="s">
        <v>457</v>
      </c>
      <c r="B454" s="1" t="s">
        <v>2152</v>
      </c>
      <c r="C454" s="6" t="s">
        <v>2605</v>
      </c>
      <c r="D454" s="6" t="s">
        <v>4776</v>
      </c>
      <c r="E454" s="20">
        <f t="shared" si="26"/>
        <v>0</v>
      </c>
      <c r="F454" s="20">
        <v>500</v>
      </c>
      <c r="G454" s="24" t="s">
        <v>6909</v>
      </c>
      <c r="H454" s="20">
        <f t="shared" si="27"/>
        <v>0</v>
      </c>
      <c r="J454" s="21">
        <v>0</v>
      </c>
    </row>
    <row r="455" spans="1:10" ht="82.8" x14ac:dyDescent="0.3">
      <c r="A455" s="2" t="s">
        <v>458</v>
      </c>
      <c r="B455" s="1" t="s">
        <v>2152</v>
      </c>
      <c r="C455" s="6" t="s">
        <v>2606</v>
      </c>
      <c r="D455" s="6" t="s">
        <v>4777</v>
      </c>
      <c r="E455" s="20">
        <f t="shared" si="26"/>
        <v>0</v>
      </c>
      <c r="F455" s="20">
        <f>'[7]LOS ANGELES'!$L$2</f>
        <v>51344.6</v>
      </c>
      <c r="G455" s="24" t="s">
        <v>6910</v>
      </c>
      <c r="H455" s="20">
        <f t="shared" si="27"/>
        <v>0</v>
      </c>
      <c r="I455" s="21">
        <v>3062</v>
      </c>
      <c r="J455" s="21">
        <f t="shared" ref="J455:J464" si="28">X455</f>
        <v>0</v>
      </c>
    </row>
    <row r="456" spans="1:10" ht="82.8" x14ac:dyDescent="0.3">
      <c r="A456" s="2" t="s">
        <v>459</v>
      </c>
      <c r="B456" s="1" t="s">
        <v>2152</v>
      </c>
      <c r="C456" s="6" t="s">
        <v>2607</v>
      </c>
      <c r="D456" s="6" t="s">
        <v>4778</v>
      </c>
      <c r="E456" s="20">
        <f t="shared" si="26"/>
        <v>0</v>
      </c>
      <c r="F456" s="20">
        <f>'[7]Kabinli Los Angeles'!$L$2</f>
        <v>28370</v>
      </c>
      <c r="G456" s="24" t="s">
        <v>6911</v>
      </c>
      <c r="H456" s="20">
        <f t="shared" si="27"/>
        <v>0</v>
      </c>
      <c r="I456" s="21">
        <v>3973</v>
      </c>
      <c r="J456" s="21">
        <f t="shared" si="28"/>
        <v>0</v>
      </c>
    </row>
    <row r="457" spans="1:10" ht="27.6" x14ac:dyDescent="0.3">
      <c r="A457" s="2" t="s">
        <v>460</v>
      </c>
      <c r="B457" s="1" t="s">
        <v>2152</v>
      </c>
      <c r="C457" s="6" t="s">
        <v>2608</v>
      </c>
      <c r="D457" s="6" t="s">
        <v>4779</v>
      </c>
      <c r="E457" s="20">
        <f t="shared" si="26"/>
        <v>0</v>
      </c>
      <c r="F457" s="20">
        <v>2500</v>
      </c>
      <c r="G457" s="24" t="s">
        <v>6912</v>
      </c>
      <c r="H457" s="20">
        <f t="shared" si="27"/>
        <v>0</v>
      </c>
      <c r="I457" s="21">
        <v>372</v>
      </c>
      <c r="J457" s="21">
        <f t="shared" si="28"/>
        <v>0</v>
      </c>
    </row>
    <row r="458" spans="1:10" x14ac:dyDescent="0.3">
      <c r="A458" s="2" t="s">
        <v>461</v>
      </c>
      <c r="B458" s="1" t="s">
        <v>2152</v>
      </c>
      <c r="C458" s="6" t="s">
        <v>2609</v>
      </c>
      <c r="D458" s="6" t="s">
        <v>4780</v>
      </c>
      <c r="E458" s="20">
        <f t="shared" si="26"/>
        <v>0</v>
      </c>
      <c r="F458" s="20">
        <v>2000</v>
      </c>
      <c r="G458" s="24" t="s">
        <v>6913</v>
      </c>
      <c r="H458" s="20">
        <f t="shared" si="27"/>
        <v>0</v>
      </c>
      <c r="I458" s="21">
        <v>350</v>
      </c>
      <c r="J458" s="21">
        <f t="shared" si="28"/>
        <v>0</v>
      </c>
    </row>
    <row r="459" spans="1:10" ht="110.4" x14ac:dyDescent="0.3">
      <c r="A459" s="2" t="s">
        <v>462</v>
      </c>
      <c r="B459" s="1" t="s">
        <v>2152</v>
      </c>
      <c r="C459" s="6" t="s">
        <v>2610</v>
      </c>
      <c r="D459" s="6" t="s">
        <v>4781</v>
      </c>
      <c r="E459" s="20">
        <f t="shared" si="26"/>
        <v>0</v>
      </c>
      <c r="F459" s="20">
        <f>[8]MICRODEVAL!$L$2</f>
        <v>54930</v>
      </c>
      <c r="G459" s="24" t="s">
        <v>6914</v>
      </c>
      <c r="H459" s="20">
        <f t="shared" si="27"/>
        <v>0</v>
      </c>
      <c r="I459" s="21">
        <v>2531</v>
      </c>
      <c r="J459" s="21">
        <f t="shared" si="28"/>
        <v>0</v>
      </c>
    </row>
    <row r="460" spans="1:10" ht="41.4" x14ac:dyDescent="0.3">
      <c r="A460" s="2" t="s">
        <v>463</v>
      </c>
      <c r="B460" s="1" t="s">
        <v>2152</v>
      </c>
      <c r="C460" s="6" t="s">
        <v>2611</v>
      </c>
      <c r="D460" s="6" t="s">
        <v>4782</v>
      </c>
      <c r="E460" s="20">
        <f t="shared" si="26"/>
        <v>0</v>
      </c>
      <c r="F460" s="20">
        <f>[9]MICRODEVAL!$C$3</f>
        <v>13200</v>
      </c>
      <c r="G460" s="24" t="s">
        <v>6915</v>
      </c>
      <c r="H460" s="20">
        <f t="shared" si="27"/>
        <v>0</v>
      </c>
      <c r="I460" s="21">
        <v>480</v>
      </c>
      <c r="J460" s="21">
        <f t="shared" si="28"/>
        <v>0</v>
      </c>
    </row>
    <row r="461" spans="1:10" ht="41.4" x14ac:dyDescent="0.3">
      <c r="A461" s="2" t="s">
        <v>464</v>
      </c>
      <c r="B461" s="1" t="s">
        <v>2152</v>
      </c>
      <c r="C461" s="6" t="s">
        <v>2612</v>
      </c>
      <c r="D461" s="6" t="s">
        <v>4783</v>
      </c>
      <c r="E461" s="20">
        <f t="shared" si="26"/>
        <v>0</v>
      </c>
      <c r="F461" s="20">
        <f>[9]MICRODEVAL!$C$18</f>
        <v>3000</v>
      </c>
      <c r="G461" s="24" t="s">
        <v>6916</v>
      </c>
      <c r="H461" s="20">
        <f t="shared" si="27"/>
        <v>0</v>
      </c>
      <c r="I461" s="21">
        <v>0</v>
      </c>
      <c r="J461" s="21">
        <f t="shared" si="28"/>
        <v>0</v>
      </c>
    </row>
    <row r="462" spans="1:10" x14ac:dyDescent="0.3">
      <c r="A462" s="2" t="s">
        <v>465</v>
      </c>
      <c r="B462" s="1" t="s">
        <v>2152</v>
      </c>
      <c r="C462" s="6" t="s">
        <v>2613</v>
      </c>
      <c r="D462" s="6" t="s">
        <v>4784</v>
      </c>
      <c r="E462" s="20">
        <f t="shared" si="26"/>
        <v>0</v>
      </c>
      <c r="F462" s="20">
        <v>0</v>
      </c>
      <c r="G462" s="24" t="s">
        <v>6917</v>
      </c>
      <c r="H462" s="20">
        <f t="shared" si="27"/>
        <v>0</v>
      </c>
      <c r="I462" s="21">
        <v>0</v>
      </c>
      <c r="J462" s="21">
        <f t="shared" si="28"/>
        <v>0</v>
      </c>
    </row>
    <row r="463" spans="1:10" ht="96.6" x14ac:dyDescent="0.3">
      <c r="A463" s="2" t="s">
        <v>466</v>
      </c>
      <c r="B463" s="1" t="s">
        <v>2152</v>
      </c>
      <c r="C463" s="6" t="s">
        <v>2614</v>
      </c>
      <c r="D463" s="6" t="s">
        <v>4785</v>
      </c>
      <c r="E463" s="20">
        <f t="shared" si="26"/>
        <v>0</v>
      </c>
      <c r="F463" s="20">
        <v>0</v>
      </c>
      <c r="G463" s="24" t="s">
        <v>6918</v>
      </c>
      <c r="H463" s="20">
        <f t="shared" si="27"/>
        <v>0</v>
      </c>
      <c r="I463" s="21">
        <v>0</v>
      </c>
      <c r="J463" s="21">
        <f t="shared" si="28"/>
        <v>0</v>
      </c>
    </row>
    <row r="464" spans="1:10" ht="96.6" x14ac:dyDescent="0.3">
      <c r="A464" s="2" t="s">
        <v>467</v>
      </c>
      <c r="B464" s="1" t="s">
        <v>2152</v>
      </c>
      <c r="C464" s="6" t="s">
        <v>2615</v>
      </c>
      <c r="D464" s="6" t="s">
        <v>4786</v>
      </c>
      <c r="E464" s="20">
        <f t="shared" si="26"/>
        <v>0</v>
      </c>
      <c r="F464" s="20">
        <v>0</v>
      </c>
      <c r="G464" s="24" t="s">
        <v>6919</v>
      </c>
      <c r="H464" s="20">
        <f t="shared" si="27"/>
        <v>0</v>
      </c>
      <c r="I464" s="21">
        <v>0</v>
      </c>
      <c r="J464" s="21">
        <f t="shared" si="28"/>
        <v>0</v>
      </c>
    </row>
    <row r="465" spans="1:10" ht="69" x14ac:dyDescent="0.3">
      <c r="A465" s="2" t="s">
        <v>468</v>
      </c>
      <c r="B465" s="1" t="s">
        <v>2152</v>
      </c>
      <c r="C465" s="6" t="s">
        <v>2616</v>
      </c>
      <c r="D465" s="6" t="s">
        <v>4787</v>
      </c>
      <c r="E465" s="20">
        <f t="shared" si="26"/>
        <v>0</v>
      </c>
      <c r="F465" s="20">
        <f>'[10]AGREGA DARBE'!$L$2</f>
        <v>7753.66</v>
      </c>
      <c r="G465" s="24" t="s">
        <v>6920</v>
      </c>
      <c r="H465" s="20">
        <f t="shared" si="27"/>
        <v>0</v>
      </c>
      <c r="I465" s="21">
        <v>585</v>
      </c>
      <c r="J465" s="21">
        <f>X465</f>
        <v>0</v>
      </c>
    </row>
    <row r="466" spans="1:10" ht="41.4" x14ac:dyDescent="0.3">
      <c r="A466" s="2" t="s">
        <v>469</v>
      </c>
      <c r="B466" s="1" t="s">
        <v>2152</v>
      </c>
      <c r="C466" s="6" t="s">
        <v>2617</v>
      </c>
      <c r="D466" s="6" t="s">
        <v>4788</v>
      </c>
      <c r="E466" s="20">
        <f t="shared" si="26"/>
        <v>0</v>
      </c>
      <c r="F466" s="20">
        <f>'[11]AGREGA KIRILMA 75 MM'!$L$2</f>
        <v>1620.3</v>
      </c>
      <c r="G466" s="24" t="s">
        <v>6921</v>
      </c>
      <c r="H466" s="20">
        <f t="shared" si="27"/>
        <v>0</v>
      </c>
      <c r="I466" s="21">
        <v>310</v>
      </c>
      <c r="J466" s="21">
        <f>X466</f>
        <v>0</v>
      </c>
    </row>
    <row r="467" spans="1:10" x14ac:dyDescent="0.3">
      <c r="A467" s="2" t="s">
        <v>470</v>
      </c>
      <c r="B467" s="1" t="s">
        <v>2152</v>
      </c>
      <c r="C467" s="6" t="s">
        <v>2618</v>
      </c>
      <c r="D467" s="6" t="s">
        <v>4789</v>
      </c>
      <c r="E467" s="20">
        <f t="shared" si="26"/>
        <v>0</v>
      </c>
      <c r="F467" s="20">
        <v>0</v>
      </c>
      <c r="G467" s="24" t="s">
        <v>6922</v>
      </c>
      <c r="H467" s="20">
        <f t="shared" si="27"/>
        <v>0</v>
      </c>
      <c r="I467" s="21">
        <v>0</v>
      </c>
      <c r="J467" s="21">
        <f t="shared" ref="J467:J470" si="29">X467</f>
        <v>0</v>
      </c>
    </row>
    <row r="468" spans="1:10" x14ac:dyDescent="0.3">
      <c r="A468" s="2" t="s">
        <v>471</v>
      </c>
      <c r="B468" s="1" t="s">
        <v>2152</v>
      </c>
      <c r="C468" s="6" t="s">
        <v>2619</v>
      </c>
      <c r="D468" s="6" t="s">
        <v>4790</v>
      </c>
      <c r="E468" s="20">
        <f t="shared" si="26"/>
        <v>0</v>
      </c>
      <c r="F468" s="20">
        <v>0</v>
      </c>
      <c r="G468" s="24" t="s">
        <v>6923</v>
      </c>
      <c r="H468" s="20">
        <f t="shared" si="27"/>
        <v>0</v>
      </c>
      <c r="I468" s="21">
        <v>0</v>
      </c>
      <c r="J468" s="21">
        <f t="shared" si="29"/>
        <v>0</v>
      </c>
    </row>
    <row r="469" spans="1:10" x14ac:dyDescent="0.3">
      <c r="A469" s="2" t="s">
        <v>472</v>
      </c>
      <c r="B469" s="1" t="s">
        <v>2152</v>
      </c>
      <c r="C469" s="6" t="s">
        <v>2620</v>
      </c>
      <c r="D469" s="6" t="s">
        <v>2620</v>
      </c>
      <c r="E469" s="20">
        <f t="shared" si="26"/>
        <v>0</v>
      </c>
      <c r="F469" s="20">
        <v>0</v>
      </c>
      <c r="G469" s="24" t="s">
        <v>6924</v>
      </c>
      <c r="H469" s="20">
        <f t="shared" si="27"/>
        <v>0</v>
      </c>
      <c r="I469" s="21">
        <v>0</v>
      </c>
      <c r="J469" s="21">
        <f t="shared" si="29"/>
        <v>0</v>
      </c>
    </row>
    <row r="470" spans="1:10" x14ac:dyDescent="0.3">
      <c r="A470" s="2" t="s">
        <v>473</v>
      </c>
      <c r="B470" s="1" t="s">
        <v>2152</v>
      </c>
      <c r="C470" s="6" t="s">
        <v>2621</v>
      </c>
      <c r="D470" s="6" t="s">
        <v>4791</v>
      </c>
      <c r="E470" s="20">
        <f t="shared" si="26"/>
        <v>0</v>
      </c>
      <c r="F470" s="20">
        <v>0</v>
      </c>
      <c r="G470" s="24" t="s">
        <v>6925</v>
      </c>
      <c r="H470" s="20">
        <f t="shared" si="27"/>
        <v>0</v>
      </c>
      <c r="I470" s="21">
        <v>0</v>
      </c>
      <c r="J470" s="21">
        <f t="shared" si="29"/>
        <v>0</v>
      </c>
    </row>
    <row r="471" spans="1:10" x14ac:dyDescent="0.3">
      <c r="A471" s="2" t="s">
        <v>474</v>
      </c>
      <c r="B471" s="1" t="s">
        <v>2152</v>
      </c>
      <c r="C471" s="6" t="s">
        <v>2622</v>
      </c>
      <c r="D471" s="6" t="s">
        <v>2622</v>
      </c>
      <c r="E471" s="20">
        <f t="shared" si="26"/>
        <v>0</v>
      </c>
      <c r="F471" s="20">
        <v>15</v>
      </c>
      <c r="G471" s="24" t="s">
        <v>6926</v>
      </c>
      <c r="H471" s="20">
        <f t="shared" si="27"/>
        <v>0</v>
      </c>
      <c r="I471" s="21">
        <v>10.130000000000001</v>
      </c>
      <c r="J471" s="21">
        <f>X471</f>
        <v>0</v>
      </c>
    </row>
    <row r="472" spans="1:10" ht="27.6" x14ac:dyDescent="0.3">
      <c r="A472" s="2" t="s">
        <v>475</v>
      </c>
      <c r="B472" s="1" t="s">
        <v>2152</v>
      </c>
      <c r="C472" s="6" t="s">
        <v>2623</v>
      </c>
      <c r="D472" s="6" t="s">
        <v>2623</v>
      </c>
      <c r="E472" s="20">
        <f t="shared" si="26"/>
        <v>0</v>
      </c>
      <c r="F472" s="20">
        <f>'[12]AGREGA KIRILMA 150 MM'!$L$2</f>
        <v>3722.0400000000004</v>
      </c>
      <c r="G472" s="24" t="s">
        <v>6927</v>
      </c>
      <c r="H472" s="20">
        <f t="shared" si="27"/>
        <v>0</v>
      </c>
      <c r="I472" s="21">
        <v>448</v>
      </c>
      <c r="J472" s="21">
        <f>X472</f>
        <v>0</v>
      </c>
    </row>
    <row r="473" spans="1:10" x14ac:dyDescent="0.3">
      <c r="A473" s="2" t="s">
        <v>476</v>
      </c>
      <c r="B473" s="1" t="s">
        <v>2152</v>
      </c>
      <c r="C473" s="6" t="s">
        <v>2624</v>
      </c>
      <c r="D473" s="6" t="s">
        <v>4792</v>
      </c>
      <c r="E473" s="20">
        <f t="shared" si="26"/>
        <v>0</v>
      </c>
      <c r="F473" s="20">
        <v>0</v>
      </c>
      <c r="G473" s="24" t="s">
        <v>6928</v>
      </c>
      <c r="H473" s="20">
        <f t="shared" si="27"/>
        <v>0</v>
      </c>
      <c r="I473" s="21">
        <v>0</v>
      </c>
      <c r="J473" s="21">
        <f t="shared" ref="J473:J476" si="30">X473</f>
        <v>0</v>
      </c>
    </row>
    <row r="474" spans="1:10" x14ac:dyDescent="0.3">
      <c r="A474" s="2" t="s">
        <v>477</v>
      </c>
      <c r="B474" s="1" t="s">
        <v>2152</v>
      </c>
      <c r="C474" s="6" t="s">
        <v>2619</v>
      </c>
      <c r="D474" s="6" t="s">
        <v>4790</v>
      </c>
      <c r="E474" s="20">
        <f t="shared" si="26"/>
        <v>0</v>
      </c>
      <c r="F474" s="20">
        <v>0</v>
      </c>
      <c r="G474" s="24" t="s">
        <v>6929</v>
      </c>
      <c r="H474" s="20">
        <f t="shared" si="27"/>
        <v>0</v>
      </c>
      <c r="I474" s="21">
        <v>0</v>
      </c>
      <c r="J474" s="21">
        <f t="shared" si="30"/>
        <v>0</v>
      </c>
    </row>
    <row r="475" spans="1:10" x14ac:dyDescent="0.3">
      <c r="A475" s="2" t="s">
        <v>478</v>
      </c>
      <c r="B475" s="1" t="s">
        <v>2152</v>
      </c>
      <c r="C475" s="6" t="s">
        <v>2620</v>
      </c>
      <c r="D475" s="6" t="s">
        <v>2620</v>
      </c>
      <c r="E475" s="20">
        <f t="shared" si="26"/>
        <v>0</v>
      </c>
      <c r="F475" s="20">
        <v>0</v>
      </c>
      <c r="G475" s="24" t="s">
        <v>6930</v>
      </c>
      <c r="H475" s="20">
        <f t="shared" si="27"/>
        <v>0</v>
      </c>
      <c r="I475" s="21">
        <v>0</v>
      </c>
      <c r="J475" s="21">
        <f t="shared" si="30"/>
        <v>0</v>
      </c>
    </row>
    <row r="476" spans="1:10" x14ac:dyDescent="0.3">
      <c r="A476" s="2" t="s">
        <v>479</v>
      </c>
      <c r="B476" s="1" t="s">
        <v>2152</v>
      </c>
      <c r="C476" s="6" t="s">
        <v>2625</v>
      </c>
      <c r="D476" s="6" t="s">
        <v>4793</v>
      </c>
      <c r="E476" s="20">
        <f t="shared" si="26"/>
        <v>0</v>
      </c>
      <c r="F476" s="20">
        <v>0</v>
      </c>
      <c r="G476" s="24" t="s">
        <v>6931</v>
      </c>
      <c r="H476" s="20">
        <f t="shared" si="27"/>
        <v>0</v>
      </c>
      <c r="I476" s="21">
        <v>0</v>
      </c>
      <c r="J476" s="21">
        <f t="shared" si="30"/>
        <v>0</v>
      </c>
    </row>
    <row r="477" spans="1:10" x14ac:dyDescent="0.3">
      <c r="A477" s="2" t="s">
        <v>480</v>
      </c>
      <c r="B477" s="1" t="s">
        <v>2152</v>
      </c>
      <c r="C477" s="6" t="s">
        <v>2626</v>
      </c>
      <c r="D477" s="6" t="s">
        <v>4794</v>
      </c>
      <c r="E477" s="20">
        <f t="shared" si="26"/>
        <v>0</v>
      </c>
      <c r="F477" s="20">
        <v>17.5</v>
      </c>
      <c r="G477" s="24" t="s">
        <v>6932</v>
      </c>
      <c r="H477" s="20">
        <f t="shared" si="27"/>
        <v>0</v>
      </c>
      <c r="I477" s="21">
        <v>16.399999999999999</v>
      </c>
      <c r="J477" s="21">
        <f>X477</f>
        <v>0</v>
      </c>
    </row>
    <row r="478" spans="1:10" ht="27.6" x14ac:dyDescent="0.3">
      <c r="A478" s="2" t="s">
        <v>481</v>
      </c>
      <c r="B478" s="1" t="s">
        <v>2152</v>
      </c>
      <c r="C478" s="6" t="s">
        <v>2627</v>
      </c>
      <c r="D478" s="6" t="s">
        <v>4795</v>
      </c>
      <c r="E478" s="20">
        <v>25500</v>
      </c>
      <c r="F478" s="20">
        <v>12250</v>
      </c>
      <c r="G478" s="24" t="s">
        <v>6933</v>
      </c>
      <c r="H478" s="20">
        <v>25500</v>
      </c>
      <c r="I478" s="21">
        <v>1650</v>
      </c>
      <c r="J478" s="21">
        <f>X478</f>
        <v>0</v>
      </c>
    </row>
    <row r="479" spans="1:10" x14ac:dyDescent="0.3">
      <c r="A479" s="2" t="s">
        <v>482</v>
      </c>
      <c r="B479" s="1" t="s">
        <v>2152</v>
      </c>
      <c r="C479" s="6" t="s">
        <v>2628</v>
      </c>
      <c r="D479" s="6" t="s">
        <v>4796</v>
      </c>
      <c r="E479" s="20">
        <v>2150</v>
      </c>
      <c r="F479" s="20">
        <v>1100</v>
      </c>
      <c r="G479" s="24" t="s">
        <v>6934</v>
      </c>
      <c r="H479" s="20">
        <v>2150</v>
      </c>
      <c r="I479" s="21">
        <v>81</v>
      </c>
      <c r="J479" s="21">
        <f>X479</f>
        <v>0</v>
      </c>
    </row>
    <row r="480" spans="1:10" ht="82.8" x14ac:dyDescent="0.3">
      <c r="A480" s="2" t="s">
        <v>483</v>
      </c>
      <c r="B480" s="1" t="s">
        <v>2152</v>
      </c>
      <c r="C480" s="6" t="s">
        <v>2629</v>
      </c>
      <c r="D480" s="6" t="s">
        <v>4797</v>
      </c>
      <c r="E480" s="20">
        <f t="shared" si="26"/>
        <v>0</v>
      </c>
      <c r="F480" s="20">
        <v>3500</v>
      </c>
      <c r="G480" s="24" t="s">
        <v>6935</v>
      </c>
      <c r="H480" s="20">
        <f t="shared" si="27"/>
        <v>0</v>
      </c>
      <c r="I480" s="21">
        <v>360</v>
      </c>
      <c r="J480" s="21">
        <f t="shared" ref="J480:J499" si="31">X480</f>
        <v>0</v>
      </c>
    </row>
    <row r="481" spans="1:10" x14ac:dyDescent="0.3">
      <c r="A481" s="2" t="s">
        <v>484</v>
      </c>
      <c r="B481" s="1" t="s">
        <v>2152</v>
      </c>
      <c r="C481" s="6" t="s">
        <v>2630</v>
      </c>
      <c r="D481" s="6" t="s">
        <v>4798</v>
      </c>
      <c r="E481" s="20">
        <f t="shared" si="26"/>
        <v>0</v>
      </c>
      <c r="F481" s="20">
        <v>275</v>
      </c>
      <c r="G481" s="24" t="s">
        <v>6936</v>
      </c>
      <c r="H481" s="20">
        <f t="shared" si="27"/>
        <v>0</v>
      </c>
      <c r="I481" s="21">
        <v>48</v>
      </c>
      <c r="J481" s="21">
        <f t="shared" si="31"/>
        <v>0</v>
      </c>
    </row>
    <row r="482" spans="1:10" ht="27.6" x14ac:dyDescent="0.3">
      <c r="A482" s="2" t="s">
        <v>485</v>
      </c>
      <c r="B482" s="1" t="s">
        <v>2152</v>
      </c>
      <c r="C482" s="6" t="s">
        <v>2631</v>
      </c>
      <c r="D482" s="6" t="s">
        <v>4799</v>
      </c>
      <c r="E482" s="20">
        <f t="shared" si="26"/>
        <v>0</v>
      </c>
      <c r="F482" s="20"/>
      <c r="G482" s="24" t="s">
        <v>6937</v>
      </c>
      <c r="H482" s="20">
        <f t="shared" si="27"/>
        <v>0</v>
      </c>
      <c r="I482" s="21">
        <v>105</v>
      </c>
      <c r="J482" s="21">
        <f t="shared" si="31"/>
        <v>0</v>
      </c>
    </row>
    <row r="483" spans="1:10" x14ac:dyDescent="0.3">
      <c r="A483" s="2" t="s">
        <v>486</v>
      </c>
      <c r="B483" s="1" t="s">
        <v>2152</v>
      </c>
      <c r="C483" s="6" t="s">
        <v>2632</v>
      </c>
      <c r="D483" s="6" t="s">
        <v>4800</v>
      </c>
      <c r="E483" s="20">
        <f t="shared" si="26"/>
        <v>0</v>
      </c>
      <c r="F483" s="20"/>
      <c r="G483" s="24" t="s">
        <v>6938</v>
      </c>
      <c r="H483" s="20">
        <f t="shared" si="27"/>
        <v>0</v>
      </c>
      <c r="I483" s="21">
        <v>114</v>
      </c>
      <c r="J483" s="21">
        <f t="shared" si="31"/>
        <v>0</v>
      </c>
    </row>
    <row r="484" spans="1:10" ht="69" x14ac:dyDescent="0.3">
      <c r="A484" s="2" t="s">
        <v>487</v>
      </c>
      <c r="B484" s="1" t="s">
        <v>2152</v>
      </c>
      <c r="C484" s="6" t="s">
        <v>2633</v>
      </c>
      <c r="D484" s="6" t="s">
        <v>4801</v>
      </c>
      <c r="E484" s="20">
        <f t="shared" si="26"/>
        <v>0</v>
      </c>
      <c r="F484" s="20">
        <v>3500</v>
      </c>
      <c r="G484" s="24" t="s">
        <v>6939</v>
      </c>
      <c r="H484" s="20">
        <f t="shared" si="27"/>
        <v>0</v>
      </c>
      <c r="I484" s="21">
        <v>378</v>
      </c>
      <c r="J484" s="21">
        <f t="shared" si="31"/>
        <v>0</v>
      </c>
    </row>
    <row r="485" spans="1:10" ht="55.2" x14ac:dyDescent="0.3">
      <c r="A485" s="2" t="s">
        <v>488</v>
      </c>
      <c r="B485" s="1" t="s">
        <v>2152</v>
      </c>
      <c r="C485" s="6" t="s">
        <v>2634</v>
      </c>
      <c r="D485" s="6" t="s">
        <v>4802</v>
      </c>
      <c r="E485" s="20">
        <f t="shared" si="26"/>
        <v>0</v>
      </c>
      <c r="F485" s="20">
        <v>150</v>
      </c>
      <c r="G485" s="24" t="s">
        <v>6940</v>
      </c>
      <c r="H485" s="20">
        <f t="shared" si="27"/>
        <v>0</v>
      </c>
      <c r="I485" s="21">
        <v>57</v>
      </c>
      <c r="J485" s="21">
        <f t="shared" si="31"/>
        <v>0</v>
      </c>
    </row>
    <row r="486" spans="1:10" x14ac:dyDescent="0.3">
      <c r="A486" s="2" t="s">
        <v>489</v>
      </c>
      <c r="B486" s="1" t="s">
        <v>2152</v>
      </c>
      <c r="C486" s="6" t="s">
        <v>2635</v>
      </c>
      <c r="D486" s="6" t="s">
        <v>4803</v>
      </c>
      <c r="E486" s="20">
        <f t="shared" si="26"/>
        <v>0</v>
      </c>
      <c r="F486" s="20">
        <v>100</v>
      </c>
      <c r="G486" s="24" t="s">
        <v>6941</v>
      </c>
      <c r="H486" s="20">
        <f t="shared" si="27"/>
        <v>0</v>
      </c>
      <c r="I486" s="21">
        <v>7.2</v>
      </c>
      <c r="J486" s="21">
        <f t="shared" si="31"/>
        <v>0</v>
      </c>
    </row>
    <row r="487" spans="1:10" x14ac:dyDescent="0.3">
      <c r="A487" s="2" t="s">
        <v>490</v>
      </c>
      <c r="B487" s="1" t="s">
        <v>2152</v>
      </c>
      <c r="C487" s="6" t="s">
        <v>2636</v>
      </c>
      <c r="D487" s="6" t="s">
        <v>4804</v>
      </c>
      <c r="E487" s="20">
        <f t="shared" si="26"/>
        <v>0</v>
      </c>
      <c r="F487" s="20">
        <v>97</v>
      </c>
      <c r="G487" s="24" t="s">
        <v>6942</v>
      </c>
      <c r="H487" s="20">
        <f t="shared" si="27"/>
        <v>0</v>
      </c>
      <c r="I487" s="21">
        <v>5.4</v>
      </c>
      <c r="J487" s="21">
        <f t="shared" si="31"/>
        <v>0</v>
      </c>
    </row>
    <row r="488" spans="1:10" x14ac:dyDescent="0.3">
      <c r="A488" s="2" t="s">
        <v>491</v>
      </c>
      <c r="B488" s="1" t="s">
        <v>2152</v>
      </c>
      <c r="C488" s="6" t="s">
        <v>2637</v>
      </c>
      <c r="D488" s="6" t="s">
        <v>4805</v>
      </c>
      <c r="E488" s="20">
        <f t="shared" si="26"/>
        <v>0</v>
      </c>
      <c r="F488" s="20">
        <v>40</v>
      </c>
      <c r="G488" s="24" t="s">
        <v>6943</v>
      </c>
      <c r="H488" s="20">
        <f t="shared" si="27"/>
        <v>0</v>
      </c>
      <c r="I488" s="21">
        <v>3.13</v>
      </c>
      <c r="J488" s="21">
        <f t="shared" si="31"/>
        <v>0</v>
      </c>
    </row>
    <row r="489" spans="1:10" x14ac:dyDescent="0.3">
      <c r="A489" s="2" t="s">
        <v>492</v>
      </c>
      <c r="B489" s="1" t="s">
        <v>2152</v>
      </c>
      <c r="C489" s="6" t="s">
        <v>2638</v>
      </c>
      <c r="D489" s="6" t="s">
        <v>4806</v>
      </c>
      <c r="E489" s="20">
        <f t="shared" si="26"/>
        <v>0</v>
      </c>
      <c r="F489" s="20"/>
      <c r="G489" s="24" t="s">
        <v>6944</v>
      </c>
      <c r="H489" s="20">
        <f t="shared" si="27"/>
        <v>0</v>
      </c>
      <c r="I489" s="21">
        <v>15</v>
      </c>
      <c r="J489" s="21">
        <f t="shared" si="31"/>
        <v>0</v>
      </c>
    </row>
    <row r="490" spans="1:10" x14ac:dyDescent="0.3">
      <c r="A490" s="2" t="s">
        <v>493</v>
      </c>
      <c r="B490" s="1" t="s">
        <v>2152</v>
      </c>
      <c r="C490" s="6" t="s">
        <v>2639</v>
      </c>
      <c r="D490" s="6" t="s">
        <v>4807</v>
      </c>
      <c r="E490" s="20">
        <f t="shared" si="26"/>
        <v>0</v>
      </c>
      <c r="F490" s="20"/>
      <c r="G490" s="24" t="s">
        <v>6945</v>
      </c>
      <c r="H490" s="20">
        <f t="shared" si="27"/>
        <v>0</v>
      </c>
      <c r="I490" s="21">
        <v>27.9</v>
      </c>
      <c r="J490" s="21">
        <f t="shared" si="31"/>
        <v>0</v>
      </c>
    </row>
    <row r="491" spans="1:10" ht="41.4" x14ac:dyDescent="0.3">
      <c r="A491" s="2" t="s">
        <v>494</v>
      </c>
      <c r="B491" s="1" t="s">
        <v>2152</v>
      </c>
      <c r="C491" s="6" t="s">
        <v>2640</v>
      </c>
      <c r="D491" s="6" t="s">
        <v>4808</v>
      </c>
      <c r="E491" s="20">
        <f t="shared" si="26"/>
        <v>0</v>
      </c>
      <c r="F491" s="20">
        <f>'[13]KUM EŞDEĞER SALLAMA'!$L$2</f>
        <v>5940</v>
      </c>
      <c r="G491" s="24" t="s">
        <v>6946</v>
      </c>
      <c r="H491" s="20">
        <f t="shared" si="27"/>
        <v>0</v>
      </c>
      <c r="I491" s="21">
        <v>875</v>
      </c>
      <c r="J491" s="21">
        <f t="shared" si="31"/>
        <v>0</v>
      </c>
    </row>
    <row r="492" spans="1:10" ht="41.4" x14ac:dyDescent="0.3">
      <c r="A492" s="2" t="s">
        <v>495</v>
      </c>
      <c r="B492" s="1" t="s">
        <v>2152</v>
      </c>
      <c r="C492" s="6" t="s">
        <v>2641</v>
      </c>
      <c r="D492" s="6" t="s">
        <v>4809</v>
      </c>
      <c r="E492" s="20">
        <f t="shared" si="26"/>
        <v>0</v>
      </c>
      <c r="F492" s="20">
        <v>2500</v>
      </c>
      <c r="G492" s="24" t="s">
        <v>6947</v>
      </c>
      <c r="H492" s="20">
        <f t="shared" si="27"/>
        <v>0</v>
      </c>
      <c r="I492" s="21">
        <v>975</v>
      </c>
      <c r="J492" s="21">
        <f t="shared" si="31"/>
        <v>0</v>
      </c>
    </row>
    <row r="493" spans="1:10" ht="27.6" x14ac:dyDescent="0.3">
      <c r="A493" s="2" t="s">
        <v>496</v>
      </c>
      <c r="B493" s="1" t="s">
        <v>2152</v>
      </c>
      <c r="C493" s="6" t="s">
        <v>2642</v>
      </c>
      <c r="D493" s="6" t="s">
        <v>4810</v>
      </c>
      <c r="E493" s="20">
        <f>H493*1.8*1.4</f>
        <v>0</v>
      </c>
      <c r="F493" s="20">
        <v>1354</v>
      </c>
      <c r="G493" s="24" t="s">
        <v>6948</v>
      </c>
      <c r="H493" s="20">
        <f>K493*1.8*1.4</f>
        <v>0</v>
      </c>
      <c r="I493" s="21">
        <v>54</v>
      </c>
      <c r="J493" s="21">
        <f t="shared" si="31"/>
        <v>0</v>
      </c>
    </row>
    <row r="494" spans="1:10" ht="27.6" x14ac:dyDescent="0.3">
      <c r="A494" s="2" t="s">
        <v>497</v>
      </c>
      <c r="B494" s="1" t="s">
        <v>2152</v>
      </c>
      <c r="C494" s="6" t="s">
        <v>2643</v>
      </c>
      <c r="D494" s="6" t="s">
        <v>4811</v>
      </c>
      <c r="E494" s="20">
        <f t="shared" si="26"/>
        <v>0</v>
      </c>
      <c r="F494" s="20">
        <v>1354</v>
      </c>
      <c r="G494" s="24" t="s">
        <v>6949</v>
      </c>
      <c r="H494" s="20">
        <f t="shared" si="27"/>
        <v>0</v>
      </c>
      <c r="I494" s="21">
        <v>54</v>
      </c>
      <c r="J494" s="21">
        <f t="shared" si="31"/>
        <v>0</v>
      </c>
    </row>
    <row r="495" spans="1:10" ht="27.6" x14ac:dyDescent="0.3">
      <c r="A495" s="2" t="s">
        <v>498</v>
      </c>
      <c r="B495" s="1" t="s">
        <v>2152</v>
      </c>
      <c r="C495" s="6" t="s">
        <v>2644</v>
      </c>
      <c r="D495" s="6" t="s">
        <v>4812</v>
      </c>
      <c r="E495" s="20">
        <f t="shared" si="26"/>
        <v>0</v>
      </c>
      <c r="F495" s="20">
        <v>1016</v>
      </c>
      <c r="G495" s="24" t="s">
        <v>6950</v>
      </c>
      <c r="H495" s="20">
        <f t="shared" si="27"/>
        <v>0</v>
      </c>
      <c r="I495" s="21">
        <v>54</v>
      </c>
      <c r="J495" s="21">
        <f t="shared" si="31"/>
        <v>0</v>
      </c>
    </row>
    <row r="496" spans="1:10" ht="27.6" x14ac:dyDescent="0.3">
      <c r="A496" s="2" t="s">
        <v>499</v>
      </c>
      <c r="B496" s="1" t="s">
        <v>2152</v>
      </c>
      <c r="C496" s="6" t="s">
        <v>2645</v>
      </c>
      <c r="D496" s="6" t="s">
        <v>4813</v>
      </c>
      <c r="E496" s="20">
        <f t="shared" si="26"/>
        <v>0</v>
      </c>
      <c r="F496" s="20">
        <v>1016</v>
      </c>
      <c r="G496" s="24" t="s">
        <v>6951</v>
      </c>
      <c r="H496" s="20">
        <f t="shared" si="27"/>
        <v>0</v>
      </c>
      <c r="I496" s="21">
        <v>54</v>
      </c>
      <c r="J496" s="21">
        <f t="shared" si="31"/>
        <v>0</v>
      </c>
    </row>
    <row r="497" spans="1:10" ht="27.6" x14ac:dyDescent="0.3">
      <c r="A497" s="2" t="s">
        <v>500</v>
      </c>
      <c r="B497" s="1" t="s">
        <v>2152</v>
      </c>
      <c r="C497" s="6" t="s">
        <v>2646</v>
      </c>
      <c r="D497" s="6" t="s">
        <v>4814</v>
      </c>
      <c r="E497" s="20">
        <f t="shared" si="26"/>
        <v>0</v>
      </c>
      <c r="F497" s="20">
        <v>1016</v>
      </c>
      <c r="G497" s="24" t="s">
        <v>6952</v>
      </c>
      <c r="H497" s="20">
        <f t="shared" si="27"/>
        <v>0</v>
      </c>
      <c r="I497" s="21">
        <v>54</v>
      </c>
      <c r="J497" s="21">
        <f t="shared" si="31"/>
        <v>0</v>
      </c>
    </row>
    <row r="498" spans="1:10" ht="27.6" x14ac:dyDescent="0.3">
      <c r="A498" s="2" t="s">
        <v>501</v>
      </c>
      <c r="B498" s="1" t="s">
        <v>2152</v>
      </c>
      <c r="C498" s="6" t="s">
        <v>2647</v>
      </c>
      <c r="D498" s="6" t="s">
        <v>4815</v>
      </c>
      <c r="E498" s="20">
        <f t="shared" si="26"/>
        <v>0</v>
      </c>
      <c r="F498" s="20">
        <v>1016</v>
      </c>
      <c r="G498" s="24" t="s">
        <v>6953</v>
      </c>
      <c r="H498" s="20">
        <f t="shared" si="27"/>
        <v>0</v>
      </c>
      <c r="I498" s="21">
        <v>54</v>
      </c>
      <c r="J498" s="21">
        <f t="shared" si="31"/>
        <v>0</v>
      </c>
    </row>
    <row r="499" spans="1:10" x14ac:dyDescent="0.3">
      <c r="A499" s="2" t="s">
        <v>502</v>
      </c>
      <c r="B499" s="1" t="s">
        <v>2152</v>
      </c>
      <c r="C499" s="6" t="s">
        <v>2648</v>
      </c>
      <c r="D499" s="6" t="s">
        <v>4816</v>
      </c>
      <c r="E499" s="20">
        <f t="shared" si="26"/>
        <v>0</v>
      </c>
      <c r="F499" s="20">
        <v>1354</v>
      </c>
      <c r="G499" s="24" t="s">
        <v>6954</v>
      </c>
      <c r="H499" s="20">
        <f t="shared" si="27"/>
        <v>0</v>
      </c>
      <c r="I499" s="21">
        <v>54</v>
      </c>
      <c r="J499" s="21">
        <f t="shared" si="31"/>
        <v>0</v>
      </c>
    </row>
    <row r="500" spans="1:10" x14ac:dyDescent="0.3">
      <c r="A500" s="2" t="s">
        <v>503</v>
      </c>
      <c r="B500" s="1" t="s">
        <v>2152</v>
      </c>
      <c r="C500" s="6" t="s">
        <v>2649</v>
      </c>
      <c r="D500" s="6" t="s">
        <v>4817</v>
      </c>
      <c r="E500" s="20">
        <f t="shared" si="26"/>
        <v>0</v>
      </c>
      <c r="F500" s="20">
        <v>1354</v>
      </c>
      <c r="G500" s="24" t="s">
        <v>6955</v>
      </c>
      <c r="H500" s="20">
        <f t="shared" si="27"/>
        <v>0</v>
      </c>
      <c r="I500" s="21">
        <v>54</v>
      </c>
      <c r="J500" s="21">
        <f>X500</f>
        <v>0</v>
      </c>
    </row>
    <row r="501" spans="1:10" x14ac:dyDescent="0.3">
      <c r="A501" s="2" t="s">
        <v>504</v>
      </c>
      <c r="B501" s="1" t="s">
        <v>2152</v>
      </c>
      <c r="C501" s="6" t="s">
        <v>2650</v>
      </c>
      <c r="D501" s="6" t="s">
        <v>4818</v>
      </c>
      <c r="E501" s="20">
        <f t="shared" si="26"/>
        <v>0</v>
      </c>
      <c r="F501" s="20">
        <v>1016</v>
      </c>
      <c r="G501" s="24" t="s">
        <v>6956</v>
      </c>
      <c r="H501" s="20">
        <f t="shared" si="27"/>
        <v>0</v>
      </c>
      <c r="I501" s="21">
        <v>54</v>
      </c>
    </row>
    <row r="502" spans="1:10" x14ac:dyDescent="0.3">
      <c r="A502" s="2" t="s">
        <v>505</v>
      </c>
      <c r="B502" s="1" t="s">
        <v>2152</v>
      </c>
      <c r="C502" s="6" t="s">
        <v>2651</v>
      </c>
      <c r="D502" s="6" t="s">
        <v>4819</v>
      </c>
      <c r="E502" s="20">
        <f t="shared" si="26"/>
        <v>0</v>
      </c>
      <c r="F502" s="20">
        <v>1016</v>
      </c>
      <c r="G502" s="24" t="s">
        <v>6957</v>
      </c>
      <c r="H502" s="20">
        <f t="shared" si="27"/>
        <v>0</v>
      </c>
      <c r="I502" s="21">
        <v>54</v>
      </c>
    </row>
    <row r="503" spans="1:10" ht="27.6" x14ac:dyDescent="0.3">
      <c r="A503" s="2" t="s">
        <v>506</v>
      </c>
      <c r="B503" s="1" t="s">
        <v>2152</v>
      </c>
      <c r="C503" s="6" t="s">
        <v>2652</v>
      </c>
      <c r="D503" s="6" t="s">
        <v>4820</v>
      </c>
      <c r="E503" s="20">
        <f t="shared" si="26"/>
        <v>0</v>
      </c>
      <c r="F503" s="20">
        <v>1016</v>
      </c>
      <c r="G503" s="24" t="s">
        <v>6958</v>
      </c>
      <c r="H503" s="20">
        <f t="shared" si="27"/>
        <v>0</v>
      </c>
      <c r="I503" s="21">
        <v>54</v>
      </c>
    </row>
    <row r="504" spans="1:10" x14ac:dyDescent="0.3">
      <c r="A504" s="2" t="s">
        <v>507</v>
      </c>
      <c r="B504" s="1" t="s">
        <v>2152</v>
      </c>
      <c r="C504" s="6" t="s">
        <v>2653</v>
      </c>
      <c r="D504" s="6" t="s">
        <v>4821</v>
      </c>
      <c r="E504" s="20">
        <f>H504*1.8*1.4</f>
        <v>0</v>
      </c>
      <c r="F504" s="20">
        <v>354</v>
      </c>
      <c r="G504" s="24" t="s">
        <v>6959</v>
      </c>
      <c r="H504" s="20">
        <f>K504*1.8*1.4</f>
        <v>0</v>
      </c>
      <c r="I504" s="21">
        <v>13.8</v>
      </c>
      <c r="J504" s="21">
        <f t="shared" ref="J504:J514" si="32">X504</f>
        <v>0</v>
      </c>
    </row>
    <row r="505" spans="1:10" x14ac:dyDescent="0.3">
      <c r="A505" s="2" t="s">
        <v>508</v>
      </c>
      <c r="B505" s="1" t="s">
        <v>2152</v>
      </c>
      <c r="C505" s="6" t="s">
        <v>2654</v>
      </c>
      <c r="D505" s="6" t="s">
        <v>4822</v>
      </c>
      <c r="E505" s="20">
        <f t="shared" si="26"/>
        <v>0</v>
      </c>
      <c r="F505" s="20">
        <v>376</v>
      </c>
      <c r="G505" s="24" t="s">
        <v>6960</v>
      </c>
      <c r="H505" s="20">
        <f t="shared" si="27"/>
        <v>0</v>
      </c>
      <c r="I505" s="21">
        <v>14.4</v>
      </c>
      <c r="J505" s="21">
        <f t="shared" si="32"/>
        <v>0</v>
      </c>
    </row>
    <row r="506" spans="1:10" x14ac:dyDescent="0.3">
      <c r="A506" s="2" t="s">
        <v>509</v>
      </c>
      <c r="B506" s="1" t="s">
        <v>2152</v>
      </c>
      <c r="C506" s="6" t="s">
        <v>2655</v>
      </c>
      <c r="D506" s="6" t="s">
        <v>4823</v>
      </c>
      <c r="E506" s="20">
        <f t="shared" si="26"/>
        <v>0</v>
      </c>
      <c r="F506" s="20">
        <v>508</v>
      </c>
      <c r="G506" s="24" t="s">
        <v>6961</v>
      </c>
      <c r="H506" s="20">
        <f t="shared" si="27"/>
        <v>0</v>
      </c>
      <c r="I506" s="21">
        <v>19.8</v>
      </c>
      <c r="J506" s="21">
        <f t="shared" si="32"/>
        <v>0</v>
      </c>
    </row>
    <row r="507" spans="1:10" x14ac:dyDescent="0.3">
      <c r="A507" s="2" t="s">
        <v>510</v>
      </c>
      <c r="B507" s="1" t="s">
        <v>2152</v>
      </c>
      <c r="C507" s="6" t="s">
        <v>2656</v>
      </c>
      <c r="D507" s="6" t="s">
        <v>4824</v>
      </c>
      <c r="E507" s="20">
        <f t="shared" si="26"/>
        <v>0</v>
      </c>
      <c r="F507" s="20">
        <v>705</v>
      </c>
      <c r="G507" s="24" t="s">
        <v>6962</v>
      </c>
      <c r="H507" s="20">
        <f t="shared" si="27"/>
        <v>0</v>
      </c>
      <c r="I507" s="21">
        <v>27</v>
      </c>
      <c r="J507" s="21">
        <f t="shared" si="32"/>
        <v>0</v>
      </c>
    </row>
    <row r="508" spans="1:10" x14ac:dyDescent="0.3">
      <c r="A508" s="2" t="s">
        <v>511</v>
      </c>
      <c r="B508" s="1" t="s">
        <v>2152</v>
      </c>
      <c r="C508" s="6" t="s">
        <v>2657</v>
      </c>
      <c r="D508" s="6" t="s">
        <v>4825</v>
      </c>
      <c r="E508" s="20">
        <f t="shared" si="26"/>
        <v>0</v>
      </c>
      <c r="F508" s="20">
        <v>880</v>
      </c>
      <c r="G508" s="24" t="s">
        <v>6963</v>
      </c>
      <c r="H508" s="20">
        <f t="shared" si="27"/>
        <v>0</v>
      </c>
      <c r="I508" s="21">
        <v>33.6</v>
      </c>
      <c r="J508" s="21">
        <f t="shared" si="32"/>
        <v>0</v>
      </c>
    </row>
    <row r="509" spans="1:10" x14ac:dyDescent="0.3">
      <c r="A509" s="2" t="s">
        <v>512</v>
      </c>
      <c r="B509" s="1" t="s">
        <v>2152</v>
      </c>
      <c r="C509" s="6" t="s">
        <v>2658</v>
      </c>
      <c r="D509" s="6" t="s">
        <v>4826</v>
      </c>
      <c r="E509" s="20">
        <f t="shared" si="26"/>
        <v>0</v>
      </c>
      <c r="F509" s="20">
        <v>1388</v>
      </c>
      <c r="G509" s="24" t="s">
        <v>6964</v>
      </c>
      <c r="H509" s="20">
        <f t="shared" si="27"/>
        <v>0</v>
      </c>
      <c r="I509" s="21">
        <v>63</v>
      </c>
      <c r="J509" s="21">
        <f t="shared" si="32"/>
        <v>0</v>
      </c>
    </row>
    <row r="510" spans="1:10" x14ac:dyDescent="0.3">
      <c r="A510" s="2" t="s">
        <v>513</v>
      </c>
      <c r="B510" s="1" t="s">
        <v>2152</v>
      </c>
      <c r="C510" s="6" t="s">
        <v>2659</v>
      </c>
      <c r="D510" s="6" t="s">
        <v>4827</v>
      </c>
      <c r="E510" s="20">
        <f t="shared" si="26"/>
        <v>0</v>
      </c>
      <c r="F510" s="20">
        <v>1429</v>
      </c>
      <c r="G510" s="24" t="s">
        <v>6965</v>
      </c>
      <c r="H510" s="20">
        <f t="shared" si="27"/>
        <v>0</v>
      </c>
      <c r="I510" s="21">
        <v>60</v>
      </c>
      <c r="J510" s="21">
        <f t="shared" si="32"/>
        <v>0</v>
      </c>
    </row>
    <row r="511" spans="1:10" x14ac:dyDescent="0.3">
      <c r="A511" s="2" t="s">
        <v>514</v>
      </c>
      <c r="B511" s="1" t="s">
        <v>2152</v>
      </c>
      <c r="C511" s="6" t="s">
        <v>2660</v>
      </c>
      <c r="D511" s="6" t="s">
        <v>4828</v>
      </c>
      <c r="E511" s="20">
        <f t="shared" si="26"/>
        <v>0</v>
      </c>
      <c r="F511" s="20">
        <v>1887</v>
      </c>
      <c r="G511" s="24" t="s">
        <v>6966</v>
      </c>
      <c r="H511" s="20">
        <f t="shared" si="27"/>
        <v>0</v>
      </c>
      <c r="I511" s="21">
        <v>78</v>
      </c>
      <c r="J511" s="21">
        <f t="shared" si="32"/>
        <v>0</v>
      </c>
    </row>
    <row r="512" spans="1:10" x14ac:dyDescent="0.3">
      <c r="A512" s="2" t="s">
        <v>515</v>
      </c>
      <c r="B512" s="1" t="s">
        <v>2152</v>
      </c>
      <c r="C512" s="6" t="s">
        <v>2661</v>
      </c>
      <c r="D512" s="6" t="s">
        <v>4829</v>
      </c>
      <c r="E512" s="20">
        <f t="shared" si="26"/>
        <v>0</v>
      </c>
      <c r="F512" s="20">
        <v>2400</v>
      </c>
      <c r="G512" s="24" t="s">
        <v>6967</v>
      </c>
      <c r="H512" s="20">
        <f t="shared" si="27"/>
        <v>0</v>
      </c>
      <c r="I512" s="21">
        <v>102</v>
      </c>
      <c r="J512" s="21">
        <f t="shared" si="32"/>
        <v>0</v>
      </c>
    </row>
    <row r="513" spans="1:10" x14ac:dyDescent="0.3">
      <c r="A513" s="2" t="s">
        <v>516</v>
      </c>
      <c r="B513" s="1" t="s">
        <v>2152</v>
      </c>
      <c r="C513" s="6" t="s">
        <v>2662</v>
      </c>
      <c r="D513" s="6" t="s">
        <v>4830</v>
      </c>
      <c r="E513" s="20">
        <f t="shared" si="26"/>
        <v>0</v>
      </c>
      <c r="F513" s="20">
        <v>3257</v>
      </c>
      <c r="G513" s="24" t="s">
        <v>6968</v>
      </c>
      <c r="H513" s="20">
        <f t="shared" si="27"/>
        <v>0</v>
      </c>
      <c r="I513" s="21">
        <v>138</v>
      </c>
      <c r="J513" s="21">
        <f t="shared" si="32"/>
        <v>0</v>
      </c>
    </row>
    <row r="514" spans="1:10" x14ac:dyDescent="0.3">
      <c r="A514" s="2" t="s">
        <v>517</v>
      </c>
      <c r="B514" s="1" t="s">
        <v>2152</v>
      </c>
      <c r="C514" s="6" t="s">
        <v>2663</v>
      </c>
      <c r="D514" s="6" t="s">
        <v>4831</v>
      </c>
      <c r="E514" s="20">
        <f t="shared" si="26"/>
        <v>0</v>
      </c>
      <c r="F514" s="20">
        <v>5499</v>
      </c>
      <c r="G514" s="24" t="s">
        <v>6969</v>
      </c>
      <c r="H514" s="20">
        <f t="shared" si="27"/>
        <v>0</v>
      </c>
      <c r="I514" s="21">
        <v>234</v>
      </c>
      <c r="J514" s="21">
        <f t="shared" si="32"/>
        <v>0</v>
      </c>
    </row>
    <row r="515" spans="1:10" x14ac:dyDescent="0.3">
      <c r="A515" s="2" t="s">
        <v>518</v>
      </c>
      <c r="B515" s="1" t="s">
        <v>2152</v>
      </c>
      <c r="C515" s="6" t="s">
        <v>2664</v>
      </c>
      <c r="D515" s="6" t="s">
        <v>4832</v>
      </c>
      <c r="E515" s="20">
        <f t="shared" si="26"/>
        <v>0</v>
      </c>
      <c r="F515" s="20">
        <v>30</v>
      </c>
      <c r="G515" s="24" t="s">
        <v>6970</v>
      </c>
      <c r="H515" s="20">
        <f t="shared" si="27"/>
        <v>0</v>
      </c>
      <c r="I515" s="21">
        <v>75</v>
      </c>
    </row>
    <row r="516" spans="1:10" x14ac:dyDescent="0.3">
      <c r="A516" s="2" t="s">
        <v>519</v>
      </c>
      <c r="B516" s="1" t="s">
        <v>2152</v>
      </c>
      <c r="C516" s="6" t="s">
        <v>2665</v>
      </c>
      <c r="D516" s="6" t="s">
        <v>4833</v>
      </c>
      <c r="E516" s="20">
        <f t="shared" si="26"/>
        <v>0</v>
      </c>
      <c r="F516" s="20">
        <v>55</v>
      </c>
      <c r="G516" s="24" t="s">
        <v>6971</v>
      </c>
      <c r="H516" s="20">
        <f t="shared" si="27"/>
        <v>0</v>
      </c>
      <c r="I516" s="21">
        <v>36</v>
      </c>
      <c r="J516" s="21">
        <f>X516</f>
        <v>0</v>
      </c>
    </row>
    <row r="517" spans="1:10" x14ac:dyDescent="0.3">
      <c r="A517" s="2" t="s">
        <v>520</v>
      </c>
      <c r="B517" s="1" t="s">
        <v>2152</v>
      </c>
      <c r="C517" s="6" t="s">
        <v>2666</v>
      </c>
      <c r="E517" s="20">
        <f t="shared" ref="E517:E580" si="33">H517*1.8*1.4</f>
        <v>0</v>
      </c>
      <c r="F517" s="20">
        <v>30</v>
      </c>
      <c r="G517" s="24" t="s">
        <v>6972</v>
      </c>
      <c r="H517" s="20">
        <f t="shared" ref="H517:H580" si="34">K517*1.8*1.4</f>
        <v>0</v>
      </c>
    </row>
    <row r="518" spans="1:10" ht="96.6" x14ac:dyDescent="0.3">
      <c r="A518" s="2" t="s">
        <v>521</v>
      </c>
      <c r="B518" s="1" t="s">
        <v>2152</v>
      </c>
      <c r="C518" s="6" t="s">
        <v>2667</v>
      </c>
      <c r="D518" s="6" t="s">
        <v>4834</v>
      </c>
      <c r="E518" s="20">
        <f t="shared" si="33"/>
        <v>0</v>
      </c>
      <c r="F518" s="20">
        <f>[14]METİLEN!$L$2</f>
        <v>7706.5999999999995</v>
      </c>
      <c r="G518" s="24" t="s">
        <v>6973</v>
      </c>
      <c r="H518" s="20">
        <f t="shared" si="34"/>
        <v>0</v>
      </c>
      <c r="I518" s="21">
        <v>477</v>
      </c>
      <c r="J518" s="21">
        <f t="shared" ref="J518:J554" si="35">X518</f>
        <v>0</v>
      </c>
    </row>
    <row r="519" spans="1:10" x14ac:dyDescent="0.3">
      <c r="A519" s="2" t="s">
        <v>522</v>
      </c>
      <c r="B519" s="1" t="s">
        <v>2152</v>
      </c>
      <c r="C519" s="6" t="s">
        <v>2668</v>
      </c>
      <c r="D519" s="6" t="s">
        <v>4835</v>
      </c>
      <c r="E519" s="20">
        <f t="shared" si="33"/>
        <v>0</v>
      </c>
      <c r="F519" s="20">
        <v>2000</v>
      </c>
      <c r="G519" s="24" t="s">
        <v>6974</v>
      </c>
      <c r="H519" s="20">
        <f t="shared" si="34"/>
        <v>0</v>
      </c>
      <c r="I519" s="21">
        <v>318</v>
      </c>
      <c r="J519" s="21">
        <f t="shared" si="35"/>
        <v>0</v>
      </c>
    </row>
    <row r="520" spans="1:10" x14ac:dyDescent="0.3">
      <c r="A520" s="2" t="s">
        <v>523</v>
      </c>
      <c r="B520" s="1" t="s">
        <v>2152</v>
      </c>
      <c r="C520" s="6" t="s">
        <v>2669</v>
      </c>
      <c r="D520" s="6" t="s">
        <v>4836</v>
      </c>
      <c r="E520" s="20">
        <f t="shared" si="33"/>
        <v>0</v>
      </c>
      <c r="F520" s="20">
        <v>466</v>
      </c>
      <c r="G520" s="24" t="s">
        <v>6975</v>
      </c>
      <c r="H520" s="20">
        <f t="shared" si="34"/>
        <v>0</v>
      </c>
      <c r="I520" s="21">
        <v>11.4</v>
      </c>
      <c r="J520" s="21">
        <f t="shared" si="35"/>
        <v>0</v>
      </c>
    </row>
    <row r="521" spans="1:10" x14ac:dyDescent="0.3">
      <c r="A521" s="2" t="s">
        <v>524</v>
      </c>
      <c r="B521" s="1" t="s">
        <v>2152</v>
      </c>
      <c r="C521" s="6" t="s">
        <v>2670</v>
      </c>
      <c r="D521" s="6" t="s">
        <v>4837</v>
      </c>
      <c r="E521" s="20">
        <f t="shared" si="33"/>
        <v>0</v>
      </c>
      <c r="F521" s="20">
        <v>880</v>
      </c>
      <c r="G521" s="24" t="s">
        <v>6976</v>
      </c>
      <c r="H521" s="20">
        <f t="shared" si="34"/>
        <v>0</v>
      </c>
      <c r="I521" s="21">
        <v>16.8</v>
      </c>
      <c r="J521" s="21">
        <f t="shared" si="35"/>
        <v>0</v>
      </c>
    </row>
    <row r="522" spans="1:10" x14ac:dyDescent="0.3">
      <c r="A522" s="2" t="s">
        <v>525</v>
      </c>
      <c r="B522" s="1" t="s">
        <v>2152</v>
      </c>
      <c r="C522" s="6" t="s">
        <v>2671</v>
      </c>
      <c r="D522" s="6" t="s">
        <v>4838</v>
      </c>
      <c r="E522" s="20">
        <f t="shared" si="33"/>
        <v>0</v>
      </c>
      <c r="F522" s="20">
        <v>910</v>
      </c>
      <c r="G522" s="24" t="s">
        <v>6977</v>
      </c>
      <c r="H522" s="20">
        <f t="shared" si="34"/>
        <v>0</v>
      </c>
      <c r="I522" s="21">
        <v>16.2</v>
      </c>
      <c r="J522" s="21">
        <f t="shared" si="35"/>
        <v>0</v>
      </c>
    </row>
    <row r="523" spans="1:10" x14ac:dyDescent="0.3">
      <c r="A523" s="2" t="s">
        <v>526</v>
      </c>
      <c r="B523" s="1" t="s">
        <v>2152</v>
      </c>
      <c r="C523" s="6" t="s">
        <v>2672</v>
      </c>
      <c r="D523" s="6" t="s">
        <v>4839</v>
      </c>
      <c r="E523" s="20">
        <f t="shared" si="33"/>
        <v>0</v>
      </c>
      <c r="F523" s="20">
        <v>410</v>
      </c>
      <c r="G523" s="24" t="s">
        <v>6978</v>
      </c>
      <c r="H523" s="20">
        <f t="shared" si="34"/>
        <v>0</v>
      </c>
      <c r="I523" s="21">
        <v>23.4</v>
      </c>
      <c r="J523" s="21">
        <f t="shared" si="35"/>
        <v>0</v>
      </c>
    </row>
    <row r="524" spans="1:10" x14ac:dyDescent="0.3">
      <c r="A524" s="2" t="s">
        <v>527</v>
      </c>
      <c r="B524" s="1" t="s">
        <v>2152</v>
      </c>
      <c r="C524" s="6" t="s">
        <v>2673</v>
      </c>
      <c r="D524" s="6" t="s">
        <v>4840</v>
      </c>
      <c r="E524" s="20">
        <f t="shared" si="33"/>
        <v>0</v>
      </c>
      <c r="F524" s="20">
        <v>30</v>
      </c>
      <c r="G524" s="24" t="s">
        <v>6979</v>
      </c>
      <c r="H524" s="20">
        <f t="shared" si="34"/>
        <v>0</v>
      </c>
      <c r="I524" s="21">
        <v>2.4</v>
      </c>
      <c r="J524" s="21">
        <f t="shared" si="35"/>
        <v>0</v>
      </c>
    </row>
    <row r="525" spans="1:10" x14ac:dyDescent="0.3">
      <c r="A525" s="2" t="s">
        <v>528</v>
      </c>
      <c r="B525" s="1" t="s">
        <v>2152</v>
      </c>
      <c r="C525" s="6" t="s">
        <v>2674</v>
      </c>
      <c r="D525" s="6" t="s">
        <v>4841</v>
      </c>
      <c r="E525" s="20">
        <f t="shared" si="33"/>
        <v>0</v>
      </c>
      <c r="F525" s="20">
        <v>429</v>
      </c>
      <c r="G525" s="24" t="s">
        <v>6980</v>
      </c>
      <c r="H525" s="20">
        <f t="shared" si="34"/>
        <v>0</v>
      </c>
      <c r="I525" s="21">
        <v>27</v>
      </c>
      <c r="J525" s="21">
        <f t="shared" si="35"/>
        <v>0</v>
      </c>
    </row>
    <row r="526" spans="1:10" x14ac:dyDescent="0.3">
      <c r="A526" s="2" t="s">
        <v>529</v>
      </c>
      <c r="B526" s="1" t="s">
        <v>2152</v>
      </c>
      <c r="C526" s="6" t="s">
        <v>2675</v>
      </c>
      <c r="D526" s="6" t="s">
        <v>4842</v>
      </c>
      <c r="E526" s="20">
        <f t="shared" si="33"/>
        <v>0</v>
      </c>
      <c r="F526" s="20">
        <v>200</v>
      </c>
      <c r="G526" s="24" t="s">
        <v>6981</v>
      </c>
      <c r="H526" s="20">
        <f t="shared" si="34"/>
        <v>0</v>
      </c>
      <c r="I526" s="21">
        <v>30</v>
      </c>
      <c r="J526" s="21">
        <f t="shared" si="35"/>
        <v>0</v>
      </c>
    </row>
    <row r="527" spans="1:10" x14ac:dyDescent="0.3">
      <c r="A527" s="2" t="s">
        <v>530</v>
      </c>
      <c r="B527" s="1" t="s">
        <v>2152</v>
      </c>
      <c r="C527" s="6" t="s">
        <v>2676</v>
      </c>
      <c r="D527" s="6" t="s">
        <v>4843</v>
      </c>
      <c r="E527" s="20">
        <f t="shared" si="33"/>
        <v>0</v>
      </c>
      <c r="F527" s="20">
        <v>75</v>
      </c>
      <c r="G527" s="24" t="s">
        <v>6982</v>
      </c>
      <c r="H527" s="20">
        <f t="shared" si="34"/>
        <v>0</v>
      </c>
      <c r="I527" s="21">
        <v>9</v>
      </c>
      <c r="J527" s="21">
        <f t="shared" si="35"/>
        <v>0</v>
      </c>
    </row>
    <row r="528" spans="1:10" ht="27.6" x14ac:dyDescent="0.3">
      <c r="A528" s="2" t="s">
        <v>531</v>
      </c>
      <c r="B528" s="1" t="s">
        <v>2152</v>
      </c>
      <c r="C528" s="6" t="s">
        <v>2677</v>
      </c>
      <c r="D528" s="6" t="s">
        <v>4844</v>
      </c>
      <c r="E528" s="20">
        <f>H528*1.8*1.4</f>
        <v>0</v>
      </c>
      <c r="F528" s="20">
        <v>440</v>
      </c>
      <c r="G528" s="24" t="s">
        <v>6983</v>
      </c>
      <c r="H528" s="20">
        <f>K528*1.8*1.4</f>
        <v>0</v>
      </c>
      <c r="I528" s="21">
        <v>22.8</v>
      </c>
      <c r="J528" s="21">
        <f t="shared" si="35"/>
        <v>0</v>
      </c>
    </row>
    <row r="529" spans="1:10" ht="69" x14ac:dyDescent="0.3">
      <c r="A529" s="2" t="s">
        <v>532</v>
      </c>
      <c r="B529" s="1" t="s">
        <v>2152</v>
      </c>
      <c r="C529" s="6" t="s">
        <v>2678</v>
      </c>
      <c r="D529" s="6" t="s">
        <v>4845</v>
      </c>
      <c r="E529" s="20">
        <f t="shared" si="33"/>
        <v>0</v>
      </c>
      <c r="F529" s="20">
        <f>'[15]ÖZGÜL AĞIRLIK'!$L$2</f>
        <v>7226</v>
      </c>
      <c r="G529" s="24" t="s">
        <v>6984</v>
      </c>
      <c r="H529" s="20">
        <f t="shared" si="34"/>
        <v>0</v>
      </c>
      <c r="I529" s="21">
        <v>405</v>
      </c>
      <c r="J529" s="21">
        <f t="shared" si="35"/>
        <v>0</v>
      </c>
    </row>
    <row r="530" spans="1:10" x14ac:dyDescent="0.3">
      <c r="A530" s="2" t="s">
        <v>533</v>
      </c>
      <c r="B530" s="1" t="s">
        <v>2152</v>
      </c>
      <c r="C530" s="6" t="s">
        <v>2679</v>
      </c>
      <c r="D530" s="6" t="s">
        <v>4846</v>
      </c>
      <c r="E530" s="20">
        <f t="shared" si="33"/>
        <v>0</v>
      </c>
      <c r="F530" s="20">
        <v>450</v>
      </c>
      <c r="G530" s="24" t="s">
        <v>6985</v>
      </c>
      <c r="H530" s="20">
        <f t="shared" si="34"/>
        <v>0</v>
      </c>
      <c r="I530" s="21">
        <v>321</v>
      </c>
      <c r="J530" s="21">
        <f t="shared" si="35"/>
        <v>0</v>
      </c>
    </row>
    <row r="531" spans="1:10" x14ac:dyDescent="0.3">
      <c r="A531" s="2" t="s">
        <v>534</v>
      </c>
      <c r="B531" s="1" t="s">
        <v>2152</v>
      </c>
      <c r="C531" s="6" t="s">
        <v>2680</v>
      </c>
      <c r="D531" s="6" t="s">
        <v>4847</v>
      </c>
      <c r="E531" s="20">
        <f t="shared" si="33"/>
        <v>0</v>
      </c>
      <c r="F531" s="20">
        <v>30</v>
      </c>
      <c r="G531" s="24" t="s">
        <v>6986</v>
      </c>
      <c r="H531" s="20">
        <f t="shared" si="34"/>
        <v>0</v>
      </c>
      <c r="I531" s="21">
        <v>11.81</v>
      </c>
      <c r="J531" s="21">
        <f t="shared" si="35"/>
        <v>0</v>
      </c>
    </row>
    <row r="532" spans="1:10" x14ac:dyDescent="0.3">
      <c r="A532" s="2" t="s">
        <v>535</v>
      </c>
      <c r="B532" s="1" t="s">
        <v>2152</v>
      </c>
      <c r="C532" s="6" t="s">
        <v>2681</v>
      </c>
      <c r="D532" s="6" t="s">
        <v>4848</v>
      </c>
      <c r="E532" s="20">
        <f t="shared" si="33"/>
        <v>0</v>
      </c>
      <c r="F532" s="20">
        <v>400</v>
      </c>
      <c r="G532" s="24" t="s">
        <v>6987</v>
      </c>
      <c r="H532" s="20">
        <f t="shared" si="34"/>
        <v>0</v>
      </c>
      <c r="I532" s="21">
        <v>20.59</v>
      </c>
      <c r="J532" s="21">
        <f t="shared" si="35"/>
        <v>0</v>
      </c>
    </row>
    <row r="533" spans="1:10" x14ac:dyDescent="0.3">
      <c r="A533" s="2" t="s">
        <v>536</v>
      </c>
      <c r="B533" s="1" t="s">
        <v>2152</v>
      </c>
      <c r="C533" s="6" t="s">
        <v>2682</v>
      </c>
      <c r="D533" s="6" t="s">
        <v>4849</v>
      </c>
      <c r="E533" s="20">
        <f t="shared" si="33"/>
        <v>0</v>
      </c>
      <c r="F533" s="20">
        <v>600</v>
      </c>
      <c r="G533" s="24" t="s">
        <v>6988</v>
      </c>
      <c r="H533" s="20">
        <f t="shared" si="34"/>
        <v>0</v>
      </c>
      <c r="I533" s="21">
        <v>27</v>
      </c>
      <c r="J533" s="21">
        <f t="shared" si="35"/>
        <v>0</v>
      </c>
    </row>
    <row r="534" spans="1:10" x14ac:dyDescent="0.3">
      <c r="A534" s="2" t="s">
        <v>496</v>
      </c>
      <c r="B534" s="1" t="s">
        <v>2152</v>
      </c>
      <c r="C534" s="6" t="s">
        <v>2642</v>
      </c>
      <c r="D534" s="6" t="s">
        <v>4850</v>
      </c>
      <c r="E534" s="20">
        <f t="shared" si="33"/>
        <v>0</v>
      </c>
      <c r="F534" s="20">
        <v>1354</v>
      </c>
      <c r="G534" s="24" t="s">
        <v>6989</v>
      </c>
      <c r="H534" s="20">
        <f t="shared" si="34"/>
        <v>0</v>
      </c>
      <c r="I534" s="21">
        <v>51.6</v>
      </c>
      <c r="J534" s="21">
        <f t="shared" si="35"/>
        <v>0</v>
      </c>
    </row>
    <row r="535" spans="1:10" ht="55.2" x14ac:dyDescent="0.3">
      <c r="A535" s="2" t="s">
        <v>537</v>
      </c>
      <c r="B535" s="1" t="s">
        <v>2152</v>
      </c>
      <c r="C535" s="6" t="s">
        <v>2683</v>
      </c>
      <c r="D535" s="6" t="s">
        <v>4851</v>
      </c>
      <c r="E535" s="20">
        <f t="shared" si="33"/>
        <v>0</v>
      </c>
      <c r="F535" s="20">
        <v>265650</v>
      </c>
      <c r="G535" s="24" t="s">
        <v>6990</v>
      </c>
      <c r="H535" s="20">
        <f t="shared" si="34"/>
        <v>0</v>
      </c>
      <c r="I535" s="21">
        <v>7440</v>
      </c>
      <c r="J535" s="21">
        <f t="shared" si="35"/>
        <v>0</v>
      </c>
    </row>
    <row r="536" spans="1:10" ht="55.2" x14ac:dyDescent="0.3">
      <c r="A536" s="2" t="s">
        <v>538</v>
      </c>
      <c r="B536" s="1" t="s">
        <v>2152</v>
      </c>
      <c r="C536" s="6" t="s">
        <v>2684</v>
      </c>
      <c r="D536" s="6" t="s">
        <v>4852</v>
      </c>
      <c r="E536" s="20">
        <f t="shared" si="33"/>
        <v>0</v>
      </c>
      <c r="F536" s="20"/>
      <c r="G536" s="24" t="s">
        <v>6991</v>
      </c>
      <c r="H536" s="20">
        <f t="shared" si="34"/>
        <v>0</v>
      </c>
      <c r="I536" s="21">
        <v>14160</v>
      </c>
      <c r="J536" s="21">
        <f t="shared" si="35"/>
        <v>0</v>
      </c>
    </row>
    <row r="537" spans="1:10" ht="55.2" x14ac:dyDescent="0.3">
      <c r="A537" s="2" t="s">
        <v>539</v>
      </c>
      <c r="B537" s="1" t="s">
        <v>2152</v>
      </c>
      <c r="C537" s="6" t="s">
        <v>2685</v>
      </c>
      <c r="D537" s="6" t="s">
        <v>4853</v>
      </c>
      <c r="E537" s="20">
        <f t="shared" si="33"/>
        <v>0</v>
      </c>
      <c r="F537" s="20">
        <v>339000</v>
      </c>
      <c r="G537" s="24" t="s">
        <v>6992</v>
      </c>
      <c r="H537" s="20">
        <f t="shared" si="34"/>
        <v>0</v>
      </c>
      <c r="I537" s="21">
        <v>9120</v>
      </c>
      <c r="J537" s="21">
        <f t="shared" si="35"/>
        <v>0</v>
      </c>
    </row>
    <row r="538" spans="1:10" ht="55.2" x14ac:dyDescent="0.3">
      <c r="A538" s="2" t="s">
        <v>540</v>
      </c>
      <c r="B538" s="1" t="s">
        <v>2152</v>
      </c>
      <c r="C538" s="6" t="s">
        <v>2686</v>
      </c>
      <c r="D538" s="6" t="s">
        <v>4854</v>
      </c>
      <c r="E538" s="20">
        <f t="shared" si="33"/>
        <v>0</v>
      </c>
      <c r="F538" s="20"/>
      <c r="G538" s="24" t="s">
        <v>6993</v>
      </c>
      <c r="H538" s="20">
        <f t="shared" si="34"/>
        <v>0</v>
      </c>
      <c r="I538" s="21">
        <v>15600</v>
      </c>
      <c r="J538" s="21">
        <f t="shared" si="35"/>
        <v>0</v>
      </c>
    </row>
    <row r="539" spans="1:10" ht="55.2" x14ac:dyDescent="0.3">
      <c r="A539" s="2" t="s">
        <v>541</v>
      </c>
      <c r="B539" s="1" t="s">
        <v>2152</v>
      </c>
      <c r="C539" s="6" t="s">
        <v>2687</v>
      </c>
      <c r="D539" s="6" t="s">
        <v>4855</v>
      </c>
      <c r="E539" s="20">
        <f t="shared" si="33"/>
        <v>0</v>
      </c>
      <c r="F539" s="20"/>
      <c r="G539" s="24" t="s">
        <v>6994</v>
      </c>
      <c r="H539" s="20">
        <f t="shared" si="34"/>
        <v>0</v>
      </c>
      <c r="I539" s="21">
        <v>18720</v>
      </c>
      <c r="J539" s="21">
        <f t="shared" si="35"/>
        <v>0</v>
      </c>
    </row>
    <row r="540" spans="1:10" ht="55.2" x14ac:dyDescent="0.3">
      <c r="A540" s="2" t="s">
        <v>542</v>
      </c>
      <c r="B540" s="1" t="s">
        <v>2152</v>
      </c>
      <c r="C540" s="6" t="s">
        <v>2688</v>
      </c>
      <c r="D540" s="6" t="s">
        <v>4856</v>
      </c>
      <c r="E540" s="20">
        <f t="shared" si="33"/>
        <v>0</v>
      </c>
      <c r="F540" s="20"/>
      <c r="G540" s="24" t="s">
        <v>6995</v>
      </c>
      <c r="H540" s="20">
        <f t="shared" si="34"/>
        <v>0</v>
      </c>
      <c r="I540" s="21">
        <v>9600</v>
      </c>
      <c r="J540" s="21">
        <f t="shared" si="35"/>
        <v>0</v>
      </c>
    </row>
    <row r="541" spans="1:10" ht="55.2" x14ac:dyDescent="0.3">
      <c r="A541" s="2" t="s">
        <v>543</v>
      </c>
      <c r="B541" s="1" t="s">
        <v>2152</v>
      </c>
      <c r="C541" s="6" t="s">
        <v>2689</v>
      </c>
      <c r="D541" s="6" t="s">
        <v>4857</v>
      </c>
      <c r="E541" s="20">
        <f t="shared" si="33"/>
        <v>0</v>
      </c>
      <c r="F541" s="20"/>
      <c r="G541" s="24" t="s">
        <v>6996</v>
      </c>
      <c r="H541" s="20">
        <f t="shared" si="34"/>
        <v>0</v>
      </c>
      <c r="I541" s="21">
        <v>18720</v>
      </c>
      <c r="J541" s="21">
        <f t="shared" si="35"/>
        <v>0</v>
      </c>
    </row>
    <row r="542" spans="1:10" ht="55.2" x14ac:dyDescent="0.3">
      <c r="A542" s="2" t="s">
        <v>544</v>
      </c>
      <c r="B542" s="1" t="s">
        <v>2152</v>
      </c>
      <c r="C542" s="6" t="s">
        <v>2690</v>
      </c>
      <c r="D542" s="6" t="s">
        <v>4858</v>
      </c>
      <c r="E542" s="20">
        <f t="shared" si="33"/>
        <v>0</v>
      </c>
      <c r="F542" s="20"/>
      <c r="G542" s="24" t="s">
        <v>6997</v>
      </c>
      <c r="H542" s="20">
        <f t="shared" si="34"/>
        <v>0</v>
      </c>
      <c r="I542" s="21">
        <v>21840</v>
      </c>
      <c r="J542" s="21">
        <f t="shared" si="35"/>
        <v>0</v>
      </c>
    </row>
    <row r="543" spans="1:10" ht="55.2" x14ac:dyDescent="0.3">
      <c r="A543" s="2" t="s">
        <v>545</v>
      </c>
      <c r="B543" s="1" t="s">
        <v>2152</v>
      </c>
      <c r="C543" s="6" t="s">
        <v>2691</v>
      </c>
      <c r="D543" s="6" t="s">
        <v>4859</v>
      </c>
      <c r="E543" s="20">
        <f t="shared" si="33"/>
        <v>0</v>
      </c>
      <c r="F543" s="20"/>
      <c r="G543" s="24" t="s">
        <v>6998</v>
      </c>
      <c r="H543" s="20">
        <f t="shared" si="34"/>
        <v>0</v>
      </c>
      <c r="I543" s="21">
        <f>W543</f>
        <v>0</v>
      </c>
      <c r="J543" s="21">
        <f t="shared" si="35"/>
        <v>0</v>
      </c>
    </row>
    <row r="544" spans="1:10" ht="96.6" x14ac:dyDescent="0.3">
      <c r="A544" s="2" t="s">
        <v>546</v>
      </c>
      <c r="B544" s="1" t="s">
        <v>2152</v>
      </c>
      <c r="C544" s="6" t="s">
        <v>2692</v>
      </c>
      <c r="D544" s="6" t="s">
        <v>4860</v>
      </c>
      <c r="E544" s="20">
        <f t="shared" si="33"/>
        <v>0</v>
      </c>
      <c r="F544" s="20">
        <v>29000</v>
      </c>
      <c r="G544" s="24" t="s">
        <v>6999</v>
      </c>
      <c r="H544" s="20">
        <f t="shared" si="34"/>
        <v>0</v>
      </c>
      <c r="I544" s="21">
        <v>4200</v>
      </c>
      <c r="J544" s="21">
        <f t="shared" si="35"/>
        <v>0</v>
      </c>
    </row>
    <row r="545" spans="1:10" ht="96.6" x14ac:dyDescent="0.3">
      <c r="A545" s="2" t="s">
        <v>547</v>
      </c>
      <c r="B545" s="1" t="s">
        <v>2152</v>
      </c>
      <c r="C545" s="6" t="s">
        <v>2693</v>
      </c>
      <c r="D545" s="6" t="s">
        <v>4861</v>
      </c>
      <c r="E545" s="20">
        <f t="shared" si="33"/>
        <v>0</v>
      </c>
      <c r="F545" s="20"/>
      <c r="G545" s="24" t="s">
        <v>7000</v>
      </c>
      <c r="H545" s="20">
        <f t="shared" si="34"/>
        <v>0</v>
      </c>
      <c r="I545" s="21">
        <v>4200</v>
      </c>
      <c r="J545" s="21">
        <f t="shared" si="35"/>
        <v>0</v>
      </c>
    </row>
    <row r="546" spans="1:10" ht="55.2" x14ac:dyDescent="0.3">
      <c r="A546" s="2" t="s">
        <v>548</v>
      </c>
      <c r="B546" s="1" t="s">
        <v>2152</v>
      </c>
      <c r="C546" s="6" t="s">
        <v>2694</v>
      </c>
      <c r="D546" s="6" t="s">
        <v>4862</v>
      </c>
      <c r="E546" s="20">
        <f t="shared" si="33"/>
        <v>0</v>
      </c>
      <c r="F546" s="20"/>
      <c r="G546" s="24" t="s">
        <v>7001</v>
      </c>
      <c r="H546" s="20">
        <f t="shared" si="34"/>
        <v>0</v>
      </c>
      <c r="I546" s="21">
        <v>5080</v>
      </c>
      <c r="J546" s="21">
        <f t="shared" si="35"/>
        <v>0</v>
      </c>
    </row>
    <row r="547" spans="1:10" x14ac:dyDescent="0.3">
      <c r="A547" s="2" t="s">
        <v>549</v>
      </c>
      <c r="B547" s="1" t="s">
        <v>2152</v>
      </c>
      <c r="C547" s="6" t="s">
        <v>2695</v>
      </c>
      <c r="D547" s="6" t="s">
        <v>4863</v>
      </c>
      <c r="E547" s="20">
        <f t="shared" si="33"/>
        <v>0</v>
      </c>
      <c r="F547" s="20">
        <v>200</v>
      </c>
      <c r="G547" s="24" t="s">
        <v>7002</v>
      </c>
      <c r="H547" s="20">
        <f t="shared" si="34"/>
        <v>0</v>
      </c>
      <c r="I547" s="21">
        <v>36</v>
      </c>
      <c r="J547" s="21">
        <f t="shared" si="35"/>
        <v>0</v>
      </c>
    </row>
    <row r="548" spans="1:10" x14ac:dyDescent="0.3">
      <c r="A548" s="2" t="s">
        <v>550</v>
      </c>
      <c r="B548" s="1" t="s">
        <v>2152</v>
      </c>
      <c r="C548" s="6" t="s">
        <v>2696</v>
      </c>
      <c r="D548" s="6" t="s">
        <v>4864</v>
      </c>
      <c r="E548" s="20">
        <f t="shared" si="33"/>
        <v>0</v>
      </c>
      <c r="F548" s="20">
        <v>250</v>
      </c>
      <c r="G548" s="24" t="s">
        <v>7003</v>
      </c>
      <c r="H548" s="20">
        <f t="shared" si="34"/>
        <v>0</v>
      </c>
      <c r="I548" s="21">
        <v>54</v>
      </c>
      <c r="J548" s="21">
        <f t="shared" si="35"/>
        <v>0</v>
      </c>
    </row>
    <row r="549" spans="1:10" x14ac:dyDescent="0.3">
      <c r="A549" s="2" t="s">
        <v>551</v>
      </c>
      <c r="B549" s="1" t="s">
        <v>2152</v>
      </c>
      <c r="C549" s="6" t="s">
        <v>2697</v>
      </c>
      <c r="D549" s="6" t="s">
        <v>4865</v>
      </c>
      <c r="E549" s="20">
        <f t="shared" si="33"/>
        <v>0</v>
      </c>
      <c r="F549" s="20">
        <v>400</v>
      </c>
      <c r="G549" s="24" t="s">
        <v>7004</v>
      </c>
      <c r="H549" s="20">
        <f t="shared" si="34"/>
        <v>0</v>
      </c>
      <c r="I549" s="21">
        <v>24</v>
      </c>
      <c r="J549" s="21">
        <f t="shared" si="35"/>
        <v>0</v>
      </c>
    </row>
    <row r="550" spans="1:10" x14ac:dyDescent="0.3">
      <c r="A550" s="2" t="s">
        <v>552</v>
      </c>
      <c r="B550" s="1" t="s">
        <v>2152</v>
      </c>
      <c r="C550" s="6" t="s">
        <v>2698</v>
      </c>
      <c r="D550" s="6" t="s">
        <v>4865</v>
      </c>
      <c r="E550" s="20">
        <f t="shared" si="33"/>
        <v>0</v>
      </c>
      <c r="F550" s="20">
        <v>400</v>
      </c>
      <c r="G550" s="24" t="s">
        <v>7005</v>
      </c>
      <c r="H550" s="20">
        <f t="shared" si="34"/>
        <v>0</v>
      </c>
      <c r="I550" s="21">
        <v>24</v>
      </c>
      <c r="J550" s="21">
        <f t="shared" si="35"/>
        <v>0</v>
      </c>
    </row>
    <row r="551" spans="1:10" x14ac:dyDescent="0.3">
      <c r="A551" s="2" t="s">
        <v>553</v>
      </c>
      <c r="B551" s="1" t="s">
        <v>2152</v>
      </c>
      <c r="C551" s="6" t="s">
        <v>2699</v>
      </c>
      <c r="D551" s="6" t="s">
        <v>4866</v>
      </c>
      <c r="E551" s="20">
        <f t="shared" si="33"/>
        <v>0</v>
      </c>
      <c r="F551" s="20"/>
      <c r="G551" s="24" t="s">
        <v>7006</v>
      </c>
      <c r="H551" s="20">
        <f t="shared" si="34"/>
        <v>0</v>
      </c>
      <c r="I551" s="21">
        <v>381</v>
      </c>
      <c r="J551" s="21">
        <f t="shared" si="35"/>
        <v>0</v>
      </c>
    </row>
    <row r="552" spans="1:10" x14ac:dyDescent="0.3">
      <c r="A552" s="2" t="s">
        <v>500</v>
      </c>
      <c r="B552" s="1" t="s">
        <v>2152</v>
      </c>
      <c r="C552" s="6" t="s">
        <v>2700</v>
      </c>
      <c r="D552" s="6" t="s">
        <v>4867</v>
      </c>
      <c r="E552" s="20">
        <f t="shared" si="33"/>
        <v>0</v>
      </c>
      <c r="F552" s="20">
        <v>1016</v>
      </c>
      <c r="G552" s="24" t="s">
        <v>7007</v>
      </c>
      <c r="H552" s="20">
        <f t="shared" si="34"/>
        <v>0</v>
      </c>
      <c r="I552" s="21">
        <v>27</v>
      </c>
      <c r="J552" s="21">
        <f t="shared" si="35"/>
        <v>0</v>
      </c>
    </row>
    <row r="553" spans="1:10" ht="27.6" x14ac:dyDescent="0.3">
      <c r="A553" s="2" t="s">
        <v>501</v>
      </c>
      <c r="B553" s="1" t="s">
        <v>2152</v>
      </c>
      <c r="C553" s="6" t="s">
        <v>2647</v>
      </c>
      <c r="D553" s="6" t="s">
        <v>4868</v>
      </c>
      <c r="E553" s="20">
        <f t="shared" si="33"/>
        <v>0</v>
      </c>
      <c r="F553" s="20">
        <v>1016</v>
      </c>
      <c r="G553" s="24" t="s">
        <v>7008</v>
      </c>
      <c r="H553" s="20">
        <f t="shared" si="34"/>
        <v>0</v>
      </c>
      <c r="I553" s="21">
        <v>27</v>
      </c>
      <c r="J553" s="21">
        <f t="shared" si="35"/>
        <v>0</v>
      </c>
    </row>
    <row r="554" spans="1:10" x14ac:dyDescent="0.3">
      <c r="A554" s="2" t="s">
        <v>554</v>
      </c>
      <c r="B554" s="1" t="s">
        <v>2152</v>
      </c>
      <c r="C554" s="6" t="s">
        <v>2701</v>
      </c>
      <c r="D554" s="6" t="s">
        <v>4869</v>
      </c>
      <c r="E554" s="20">
        <f t="shared" si="33"/>
        <v>0</v>
      </c>
      <c r="F554" s="20">
        <v>50</v>
      </c>
      <c r="G554" s="24" t="s">
        <v>7009</v>
      </c>
      <c r="H554" s="20">
        <f t="shared" si="34"/>
        <v>0</v>
      </c>
      <c r="I554" s="21">
        <v>12</v>
      </c>
      <c r="J554" s="21">
        <f t="shared" si="35"/>
        <v>0</v>
      </c>
    </row>
    <row r="555" spans="1:10" x14ac:dyDescent="0.3">
      <c r="A555" s="2" t="s">
        <v>555</v>
      </c>
      <c r="B555" s="1" t="s">
        <v>2152</v>
      </c>
      <c r="C555" s="6" t="s">
        <v>2702</v>
      </c>
      <c r="D555" s="6" t="s">
        <v>4870</v>
      </c>
      <c r="E555" s="20">
        <f t="shared" si="33"/>
        <v>0</v>
      </c>
      <c r="F555" s="20">
        <v>40</v>
      </c>
      <c r="G555" s="24" t="s">
        <v>7010</v>
      </c>
      <c r="H555" s="20">
        <f t="shared" si="34"/>
        <v>0</v>
      </c>
      <c r="I555" s="21">
        <v>9</v>
      </c>
      <c r="J555" s="21">
        <f>X555</f>
        <v>0</v>
      </c>
    </row>
    <row r="556" spans="1:10" x14ac:dyDescent="0.3">
      <c r="A556" s="2" t="s">
        <v>556</v>
      </c>
      <c r="B556" s="1" t="s">
        <v>2152</v>
      </c>
      <c r="C556" s="6" t="s">
        <v>2703</v>
      </c>
      <c r="D556" s="6" t="s">
        <v>4871</v>
      </c>
      <c r="E556" s="20">
        <f t="shared" si="33"/>
        <v>0</v>
      </c>
      <c r="F556" s="20">
        <v>500</v>
      </c>
      <c r="G556" s="24" t="s">
        <v>7011</v>
      </c>
      <c r="H556" s="20">
        <f t="shared" si="34"/>
        <v>0</v>
      </c>
      <c r="I556" s="21">
        <v>75</v>
      </c>
      <c r="J556" s="21">
        <f>X556</f>
        <v>0</v>
      </c>
    </row>
    <row r="557" spans="1:10" x14ac:dyDescent="0.3">
      <c r="A557" s="2" t="s">
        <v>557</v>
      </c>
      <c r="B557" s="1" t="s">
        <v>2152</v>
      </c>
      <c r="C557" s="6" t="s">
        <v>2704</v>
      </c>
      <c r="E557" s="20">
        <f t="shared" si="33"/>
        <v>0</v>
      </c>
      <c r="F557" s="20">
        <v>70</v>
      </c>
      <c r="G557" s="24" t="s">
        <v>7012</v>
      </c>
      <c r="H557" s="20">
        <f t="shared" si="34"/>
        <v>0</v>
      </c>
    </row>
    <row r="558" spans="1:10" ht="55.2" x14ac:dyDescent="0.3">
      <c r="A558" s="2" t="s">
        <v>558</v>
      </c>
      <c r="B558" s="1" t="s">
        <v>2152</v>
      </c>
      <c r="C558" s="6" t="s">
        <v>2705</v>
      </c>
      <c r="D558" s="6" t="s">
        <v>4872</v>
      </c>
      <c r="E558" s="20">
        <f t="shared" si="33"/>
        <v>0</v>
      </c>
      <c r="F558" s="20">
        <v>1400</v>
      </c>
      <c r="G558" s="24" t="s">
        <v>7013</v>
      </c>
      <c r="H558" s="20">
        <f t="shared" si="34"/>
        <v>0</v>
      </c>
      <c r="I558" s="21">
        <v>726</v>
      </c>
      <c r="J558" s="21">
        <f t="shared" ref="J558:J565" si="36">X558</f>
        <v>0</v>
      </c>
    </row>
    <row r="559" spans="1:10" ht="55.2" x14ac:dyDescent="0.3">
      <c r="A559" s="2" t="s">
        <v>559</v>
      </c>
      <c r="B559" s="1" t="s">
        <v>2152</v>
      </c>
      <c r="C559" s="6" t="s">
        <v>2706</v>
      </c>
      <c r="D559" s="6" t="s">
        <v>4873</v>
      </c>
      <c r="E559" s="20">
        <f t="shared" si="33"/>
        <v>0</v>
      </c>
      <c r="F559" s="20">
        <v>1450</v>
      </c>
      <c r="G559" s="24" t="s">
        <v>7014</v>
      </c>
      <c r="H559" s="20">
        <f t="shared" si="34"/>
        <v>0</v>
      </c>
      <c r="I559" s="21">
        <v>915</v>
      </c>
      <c r="J559" s="21">
        <f t="shared" si="36"/>
        <v>0</v>
      </c>
    </row>
    <row r="560" spans="1:10" ht="41.4" x14ac:dyDescent="0.3">
      <c r="A560" s="2" t="s">
        <v>560</v>
      </c>
      <c r="B560" s="1" t="s">
        <v>2152</v>
      </c>
      <c r="C560" s="6" t="s">
        <v>2707</v>
      </c>
      <c r="D560" s="6" t="s">
        <v>4874</v>
      </c>
      <c r="E560" s="20">
        <f t="shared" si="33"/>
        <v>0</v>
      </c>
      <c r="F560" s="20"/>
      <c r="G560" s="24" t="s">
        <v>7015</v>
      </c>
      <c r="H560" s="20">
        <f t="shared" si="34"/>
        <v>0</v>
      </c>
      <c r="I560" s="21">
        <v>300</v>
      </c>
      <c r="J560" s="21">
        <f t="shared" si="36"/>
        <v>0</v>
      </c>
    </row>
    <row r="561" spans="1:10" x14ac:dyDescent="0.3">
      <c r="A561" s="2" t="s">
        <v>561</v>
      </c>
      <c r="B561" s="1" t="s">
        <v>2152</v>
      </c>
      <c r="C561" s="6" t="s">
        <v>2708</v>
      </c>
      <c r="D561" s="6" t="s">
        <v>4875</v>
      </c>
      <c r="E561" s="20">
        <f t="shared" si="33"/>
        <v>0</v>
      </c>
      <c r="F561" s="20">
        <f>'[16]3 GÖZLÜ KALIP'!$H$11</f>
        <v>4652</v>
      </c>
      <c r="G561" s="24" t="s">
        <v>7016</v>
      </c>
      <c r="H561" s="20">
        <f t="shared" si="34"/>
        <v>0</v>
      </c>
      <c r="I561" s="21">
        <v>270</v>
      </c>
      <c r="J561" s="21">
        <f t="shared" si="36"/>
        <v>0</v>
      </c>
    </row>
    <row r="562" spans="1:10" x14ac:dyDescent="0.3">
      <c r="A562" s="2" t="s">
        <v>562</v>
      </c>
      <c r="B562" s="1" t="s">
        <v>2152</v>
      </c>
      <c r="C562" s="6" t="s">
        <v>2709</v>
      </c>
      <c r="D562" s="6" t="s">
        <v>4876</v>
      </c>
      <c r="E562" s="20">
        <f t="shared" si="33"/>
        <v>0</v>
      </c>
      <c r="F562" s="20"/>
      <c r="G562" s="24" t="s">
        <v>7017</v>
      </c>
      <c r="H562" s="20">
        <f t="shared" si="34"/>
        <v>0</v>
      </c>
      <c r="I562" s="21">
        <v>30</v>
      </c>
      <c r="J562" s="21">
        <f t="shared" si="36"/>
        <v>0</v>
      </c>
    </row>
    <row r="563" spans="1:10" x14ac:dyDescent="0.3">
      <c r="A563" s="2" t="s">
        <v>563</v>
      </c>
      <c r="B563" s="1" t="s">
        <v>2152</v>
      </c>
      <c r="C563" s="6" t="s">
        <v>2710</v>
      </c>
      <c r="D563" s="6" t="s">
        <v>4877</v>
      </c>
      <c r="E563" s="20">
        <f t="shared" si="33"/>
        <v>0</v>
      </c>
      <c r="F563" s="20">
        <v>20</v>
      </c>
      <c r="G563" s="24" t="s">
        <v>7018</v>
      </c>
      <c r="H563" s="20">
        <f t="shared" si="34"/>
        <v>0</v>
      </c>
      <c r="I563" s="21">
        <v>90</v>
      </c>
      <c r="J563" s="21">
        <f t="shared" si="36"/>
        <v>0</v>
      </c>
    </row>
    <row r="564" spans="1:10" x14ac:dyDescent="0.3">
      <c r="A564" s="2" t="s">
        <v>564</v>
      </c>
      <c r="B564" s="1" t="s">
        <v>2152</v>
      </c>
      <c r="C564" s="6" t="s">
        <v>2711</v>
      </c>
      <c r="D564" s="6" t="s">
        <v>4878</v>
      </c>
      <c r="E564" s="20">
        <f t="shared" si="33"/>
        <v>0</v>
      </c>
      <c r="F564" s="20">
        <v>400</v>
      </c>
      <c r="G564" s="24" t="s">
        <v>7019</v>
      </c>
      <c r="H564" s="20">
        <f t="shared" si="34"/>
        <v>0</v>
      </c>
      <c r="I564" s="21">
        <v>36</v>
      </c>
      <c r="J564" s="21">
        <f t="shared" si="36"/>
        <v>0</v>
      </c>
    </row>
    <row r="565" spans="1:10" x14ac:dyDescent="0.3">
      <c r="A565" s="2" t="s">
        <v>565</v>
      </c>
      <c r="B565" s="1" t="s">
        <v>2152</v>
      </c>
      <c r="C565" s="6" t="s">
        <v>2712</v>
      </c>
      <c r="D565" s="6" t="s">
        <v>4879</v>
      </c>
      <c r="E565" s="20">
        <f t="shared" si="33"/>
        <v>0</v>
      </c>
      <c r="F565" s="20">
        <v>2500</v>
      </c>
      <c r="G565" s="24" t="s">
        <v>7020</v>
      </c>
      <c r="H565" s="20">
        <f t="shared" si="34"/>
        <v>0</v>
      </c>
      <c r="I565" s="21">
        <v>210</v>
      </c>
      <c r="J565" s="21">
        <f t="shared" si="36"/>
        <v>0</v>
      </c>
    </row>
    <row r="566" spans="1:10" x14ac:dyDescent="0.3">
      <c r="A566" s="2" t="s">
        <v>566</v>
      </c>
      <c r="B566" s="1" t="s">
        <v>2152</v>
      </c>
      <c r="C566" s="6" t="s">
        <v>2713</v>
      </c>
      <c r="D566" s="6" t="s">
        <v>4880</v>
      </c>
      <c r="E566" s="20">
        <f t="shared" si="33"/>
        <v>0</v>
      </c>
      <c r="F566" s="20"/>
      <c r="G566" s="24" t="s">
        <v>7021</v>
      </c>
      <c r="H566" s="20">
        <f t="shared" si="34"/>
        <v>0</v>
      </c>
      <c r="I566" s="21">
        <v>630</v>
      </c>
      <c r="J566" s="21">
        <f>X566</f>
        <v>0</v>
      </c>
    </row>
    <row r="567" spans="1:10" x14ac:dyDescent="0.3">
      <c r="A567" s="2" t="s">
        <v>567</v>
      </c>
      <c r="B567" s="1" t="s">
        <v>2152</v>
      </c>
      <c r="C567" s="6" t="s">
        <v>2714</v>
      </c>
      <c r="D567" s="6" t="s">
        <v>4881</v>
      </c>
      <c r="E567" s="20">
        <f t="shared" si="33"/>
        <v>0</v>
      </c>
      <c r="F567" s="20">
        <v>195</v>
      </c>
      <c r="G567" s="24" t="s">
        <v>7022</v>
      </c>
      <c r="H567" s="20">
        <f t="shared" si="34"/>
        <v>0</v>
      </c>
      <c r="I567" s="21">
        <v>12</v>
      </c>
      <c r="J567" s="21">
        <f>X567</f>
        <v>0</v>
      </c>
    </row>
    <row r="568" spans="1:10" x14ac:dyDescent="0.3">
      <c r="A568" s="2" t="s">
        <v>568</v>
      </c>
      <c r="B568" s="1" t="s">
        <v>2152</v>
      </c>
      <c r="C568" s="6" t="s">
        <v>2715</v>
      </c>
      <c r="D568" s="6" t="s">
        <v>4882</v>
      </c>
      <c r="E568" s="20">
        <f t="shared" si="33"/>
        <v>0</v>
      </c>
      <c r="F568" s="20">
        <v>250</v>
      </c>
      <c r="G568" s="24" t="s">
        <v>7023</v>
      </c>
      <c r="H568" s="20">
        <f t="shared" si="34"/>
        <v>0</v>
      </c>
      <c r="I568" s="21">
        <v>18</v>
      </c>
      <c r="J568" s="21">
        <f>X568</f>
        <v>0</v>
      </c>
    </row>
    <row r="569" spans="1:10" x14ac:dyDescent="0.3">
      <c r="A569" s="2" t="s">
        <v>569</v>
      </c>
      <c r="B569" s="1" t="s">
        <v>2152</v>
      </c>
      <c r="C569" s="6" t="s">
        <v>2716</v>
      </c>
      <c r="D569" s="6" t="s">
        <v>4883</v>
      </c>
      <c r="E569" s="20">
        <f t="shared" si="33"/>
        <v>0</v>
      </c>
      <c r="F569" s="20">
        <v>200</v>
      </c>
      <c r="G569" s="24" t="s">
        <v>7024</v>
      </c>
      <c r="H569" s="20">
        <f t="shared" si="34"/>
        <v>0</v>
      </c>
      <c r="I569" s="21">
        <v>15.6</v>
      </c>
      <c r="J569" s="21">
        <f>X569</f>
        <v>0</v>
      </c>
    </row>
    <row r="570" spans="1:10" x14ac:dyDescent="0.3">
      <c r="A570" s="2" t="s">
        <v>570</v>
      </c>
      <c r="B570" s="1" t="s">
        <v>2152</v>
      </c>
      <c r="C570" s="6" t="s">
        <v>2717</v>
      </c>
      <c r="D570" s="6" t="s">
        <v>4884</v>
      </c>
      <c r="E570" s="20">
        <f t="shared" si="33"/>
        <v>0</v>
      </c>
      <c r="F570" s="20"/>
      <c r="G570" s="24" t="s">
        <v>7025</v>
      </c>
      <c r="H570" s="20">
        <f t="shared" si="34"/>
        <v>0</v>
      </c>
    </row>
    <row r="571" spans="1:10" x14ac:dyDescent="0.3">
      <c r="A571" s="2" t="s">
        <v>571</v>
      </c>
      <c r="B571" s="1" t="s">
        <v>2152</v>
      </c>
      <c r="C571" s="6" t="s">
        <v>2718</v>
      </c>
      <c r="D571" s="6" t="s">
        <v>4885</v>
      </c>
      <c r="E571" s="20">
        <f t="shared" si="33"/>
        <v>0</v>
      </c>
      <c r="F571" s="20"/>
      <c r="G571" s="24" t="s">
        <v>7026</v>
      </c>
      <c r="H571" s="20">
        <f t="shared" si="34"/>
        <v>0</v>
      </c>
    </row>
    <row r="572" spans="1:10" x14ac:dyDescent="0.3">
      <c r="A572" s="2" t="s">
        <v>572</v>
      </c>
      <c r="B572" s="1" t="s">
        <v>2152</v>
      </c>
      <c r="C572" s="6" t="s">
        <v>2719</v>
      </c>
      <c r="E572" s="20">
        <f t="shared" si="33"/>
        <v>0</v>
      </c>
      <c r="F572" s="20"/>
      <c r="G572" s="24" t="s">
        <v>7027</v>
      </c>
      <c r="H572" s="20">
        <f t="shared" si="34"/>
        <v>0</v>
      </c>
    </row>
    <row r="573" spans="1:10" x14ac:dyDescent="0.3">
      <c r="A573" s="2" t="s">
        <v>573</v>
      </c>
      <c r="B573" s="1" t="s">
        <v>2152</v>
      </c>
      <c r="C573" s="6" t="s">
        <v>2720</v>
      </c>
      <c r="D573" s="6" t="s">
        <v>4886</v>
      </c>
      <c r="E573" s="20">
        <f t="shared" si="33"/>
        <v>0</v>
      </c>
      <c r="F573" s="20"/>
      <c r="G573" s="24" t="s">
        <v>7028</v>
      </c>
      <c r="H573" s="20">
        <f t="shared" si="34"/>
        <v>0</v>
      </c>
      <c r="I573" s="21">
        <v>4850</v>
      </c>
      <c r="J573" s="21">
        <v>4850</v>
      </c>
    </row>
    <row r="574" spans="1:10" ht="96.6" x14ac:dyDescent="0.3">
      <c r="A574" s="2" t="s">
        <v>574</v>
      </c>
      <c r="B574" s="1" t="s">
        <v>2152</v>
      </c>
      <c r="C574" s="6" t="s">
        <v>2721</v>
      </c>
      <c r="D574" s="6" t="s">
        <v>4887</v>
      </c>
      <c r="E574" s="20">
        <f t="shared" si="33"/>
        <v>0</v>
      </c>
      <c r="F574" s="20">
        <v>9500</v>
      </c>
      <c r="G574" s="24" t="s">
        <v>7029</v>
      </c>
      <c r="H574" s="20">
        <f t="shared" si="34"/>
        <v>0</v>
      </c>
      <c r="I574" s="21">
        <v>5560</v>
      </c>
      <c r="J574" s="21">
        <f>X574</f>
        <v>0</v>
      </c>
    </row>
    <row r="575" spans="1:10" ht="110.4" x14ac:dyDescent="0.3">
      <c r="A575" s="2" t="s">
        <v>575</v>
      </c>
      <c r="B575" s="1" t="s">
        <v>2152</v>
      </c>
      <c r="C575" s="6" t="s">
        <v>2722</v>
      </c>
      <c r="D575" s="6" t="s">
        <v>4888</v>
      </c>
      <c r="E575" s="20">
        <f t="shared" si="33"/>
        <v>0</v>
      </c>
      <c r="F575" s="20"/>
      <c r="G575" s="24" t="s">
        <v>7030</v>
      </c>
      <c r="H575" s="20">
        <f t="shared" si="34"/>
        <v>0</v>
      </c>
      <c r="I575" s="21">
        <v>5520</v>
      </c>
      <c r="J575" s="21">
        <f t="shared" ref="J575:J593" si="37">X575</f>
        <v>0</v>
      </c>
    </row>
    <row r="576" spans="1:10" ht="41.4" x14ac:dyDescent="0.3">
      <c r="A576" s="2" t="s">
        <v>560</v>
      </c>
      <c r="B576" s="1" t="s">
        <v>2152</v>
      </c>
      <c r="C576" s="6" t="s">
        <v>2707</v>
      </c>
      <c r="D576" s="6" t="s">
        <v>4874</v>
      </c>
      <c r="E576" s="20">
        <f t="shared" si="33"/>
        <v>0</v>
      </c>
      <c r="F576" s="20"/>
      <c r="G576" s="24" t="s">
        <v>7031</v>
      </c>
      <c r="H576" s="20">
        <f t="shared" si="34"/>
        <v>0</v>
      </c>
      <c r="I576" s="21">
        <v>240</v>
      </c>
      <c r="J576" s="21">
        <f t="shared" si="37"/>
        <v>0</v>
      </c>
    </row>
    <row r="577" spans="1:10" x14ac:dyDescent="0.3">
      <c r="A577" s="2" t="s">
        <v>564</v>
      </c>
      <c r="B577" s="1" t="s">
        <v>2152</v>
      </c>
      <c r="C577" s="6" t="s">
        <v>2711</v>
      </c>
      <c r="D577" s="6" t="s">
        <v>4878</v>
      </c>
      <c r="E577" s="20">
        <f t="shared" si="33"/>
        <v>0</v>
      </c>
      <c r="F577" s="20">
        <v>400</v>
      </c>
      <c r="G577" s="24" t="s">
        <v>7032</v>
      </c>
      <c r="H577" s="20">
        <f t="shared" si="34"/>
        <v>0</v>
      </c>
      <c r="I577" s="21">
        <v>39</v>
      </c>
      <c r="J577" s="21">
        <f t="shared" si="37"/>
        <v>0</v>
      </c>
    </row>
    <row r="578" spans="1:10" x14ac:dyDescent="0.3">
      <c r="A578" s="2" t="s">
        <v>565</v>
      </c>
      <c r="B578" s="1" t="s">
        <v>2152</v>
      </c>
      <c r="C578" s="6" t="s">
        <v>2712</v>
      </c>
      <c r="D578" s="6" t="s">
        <v>4879</v>
      </c>
      <c r="E578" s="20">
        <f t="shared" si="33"/>
        <v>0</v>
      </c>
      <c r="F578" s="20">
        <v>2500</v>
      </c>
      <c r="G578" s="24" t="s">
        <v>7033</v>
      </c>
      <c r="H578" s="20">
        <f t="shared" si="34"/>
        <v>0</v>
      </c>
      <c r="I578" s="21">
        <v>210</v>
      </c>
      <c r="J578" s="21">
        <f t="shared" si="37"/>
        <v>0</v>
      </c>
    </row>
    <row r="579" spans="1:10" x14ac:dyDescent="0.3">
      <c r="A579" s="2" t="s">
        <v>576</v>
      </c>
      <c r="B579" s="1" t="s">
        <v>2152</v>
      </c>
      <c r="C579" s="6" t="s">
        <v>2723</v>
      </c>
      <c r="D579" s="6" t="s">
        <v>4889</v>
      </c>
      <c r="E579" s="20">
        <f t="shared" si="33"/>
        <v>0</v>
      </c>
      <c r="F579" s="20"/>
      <c r="G579" s="24" t="s">
        <v>7034</v>
      </c>
      <c r="H579" s="20">
        <f t="shared" si="34"/>
        <v>0</v>
      </c>
      <c r="I579" s="21">
        <v>231</v>
      </c>
      <c r="J579" s="21">
        <f t="shared" si="37"/>
        <v>0</v>
      </c>
    </row>
    <row r="580" spans="1:10" x14ac:dyDescent="0.3">
      <c r="A580" s="2" t="s">
        <v>577</v>
      </c>
      <c r="B580" s="1" t="s">
        <v>2152</v>
      </c>
      <c r="C580" s="6" t="s">
        <v>2709</v>
      </c>
      <c r="D580" s="6" t="s">
        <v>4876</v>
      </c>
      <c r="E580" s="20">
        <f t="shared" si="33"/>
        <v>0</v>
      </c>
      <c r="F580" s="20"/>
      <c r="G580" s="24" t="s">
        <v>7035</v>
      </c>
      <c r="H580" s="20">
        <f t="shared" si="34"/>
        <v>0</v>
      </c>
      <c r="I580" s="21">
        <v>30</v>
      </c>
      <c r="J580" s="21">
        <f t="shared" si="37"/>
        <v>0</v>
      </c>
    </row>
    <row r="581" spans="1:10" x14ac:dyDescent="0.3">
      <c r="A581" s="2" t="s">
        <v>578</v>
      </c>
      <c r="B581" s="1" t="s">
        <v>2152</v>
      </c>
      <c r="C581" s="6" t="s">
        <v>2724</v>
      </c>
      <c r="D581" s="6" t="s">
        <v>4890</v>
      </c>
      <c r="E581" s="20">
        <f t="shared" ref="E581:E644" si="38">H581*1.8*1.4</f>
        <v>0</v>
      </c>
      <c r="F581" s="20"/>
      <c r="G581" s="24" t="s">
        <v>7036</v>
      </c>
      <c r="H581" s="20">
        <f t="shared" ref="H581:H644" si="39">K581*1.8*1.4</f>
        <v>0</v>
      </c>
      <c r="I581" s="21">
        <v>96</v>
      </c>
      <c r="J581" s="21">
        <f t="shared" si="37"/>
        <v>0</v>
      </c>
    </row>
    <row r="582" spans="1:10" ht="110.4" x14ac:dyDescent="0.3">
      <c r="A582" s="2" t="s">
        <v>579</v>
      </c>
      <c r="B582" s="1" t="s">
        <v>2152</v>
      </c>
      <c r="C582" s="6" t="s">
        <v>2725</v>
      </c>
      <c r="D582" s="6" t="s">
        <v>4891</v>
      </c>
      <c r="E582" s="20">
        <f t="shared" si="38"/>
        <v>0</v>
      </c>
      <c r="F582" s="20">
        <f>'[17]60T KAYA PRSİ'!$H$53</f>
        <v>132282</v>
      </c>
      <c r="G582" s="24" t="s">
        <v>7037</v>
      </c>
      <c r="H582" s="20">
        <f t="shared" si="39"/>
        <v>0</v>
      </c>
      <c r="I582" s="21">
        <v>8640</v>
      </c>
      <c r="J582" s="21">
        <f t="shared" si="37"/>
        <v>0</v>
      </c>
    </row>
    <row r="583" spans="1:10" x14ac:dyDescent="0.3">
      <c r="A583" s="2" t="s">
        <v>580</v>
      </c>
      <c r="B583" s="1" t="s">
        <v>2152</v>
      </c>
      <c r="C583" s="6" t="s">
        <v>2726</v>
      </c>
      <c r="D583" s="6" t="s">
        <v>4892</v>
      </c>
      <c r="E583" s="20">
        <f t="shared" si="38"/>
        <v>0</v>
      </c>
      <c r="F583" s="20">
        <f>'[17]60T KAYA PRSİ'!$H$21</f>
        <v>69946</v>
      </c>
      <c r="G583" s="24" t="s">
        <v>7038</v>
      </c>
      <c r="H583" s="20">
        <f t="shared" si="39"/>
        <v>0</v>
      </c>
      <c r="I583" s="21">
        <v>4050</v>
      </c>
      <c r="J583" s="21">
        <f t="shared" si="37"/>
        <v>0</v>
      </c>
    </row>
    <row r="584" spans="1:10" ht="69" x14ac:dyDescent="0.3">
      <c r="A584" s="2" t="s">
        <v>581</v>
      </c>
      <c r="B584" s="1" t="s">
        <v>2152</v>
      </c>
      <c r="C584" s="6" t="s">
        <v>2727</v>
      </c>
      <c r="D584" s="6" t="s">
        <v>4893</v>
      </c>
      <c r="E584" s="20">
        <f t="shared" si="38"/>
        <v>0</v>
      </c>
      <c r="F584" s="20">
        <f>'[17]60T KAYA PRSİ'!$H$52</f>
        <v>62336</v>
      </c>
      <c r="G584" s="24" t="s">
        <v>7039</v>
      </c>
      <c r="H584" s="20">
        <f t="shared" si="39"/>
        <v>0</v>
      </c>
      <c r="I584" s="21">
        <v>4590</v>
      </c>
      <c r="J584" s="21">
        <f t="shared" si="37"/>
        <v>0</v>
      </c>
    </row>
    <row r="585" spans="1:10" ht="27.6" x14ac:dyDescent="0.3">
      <c r="A585" s="2" t="s">
        <v>582</v>
      </c>
      <c r="B585" s="1" t="s">
        <v>2152</v>
      </c>
      <c r="C585" s="6" t="s">
        <v>2728</v>
      </c>
      <c r="D585" s="6" t="s">
        <v>4894</v>
      </c>
      <c r="E585" s="20">
        <f t="shared" si="38"/>
        <v>0</v>
      </c>
      <c r="F585" s="20"/>
      <c r="G585" s="24" t="s">
        <v>7040</v>
      </c>
      <c r="H585" s="20">
        <f t="shared" si="39"/>
        <v>0</v>
      </c>
      <c r="I585" s="21">
        <v>1998</v>
      </c>
      <c r="J585" s="21">
        <f t="shared" si="37"/>
        <v>0</v>
      </c>
    </row>
    <row r="586" spans="1:10" ht="27.6" x14ac:dyDescent="0.3">
      <c r="A586" s="2" t="s">
        <v>583</v>
      </c>
      <c r="B586" s="1" t="s">
        <v>2152</v>
      </c>
      <c r="C586" s="6" t="s">
        <v>2729</v>
      </c>
      <c r="D586" s="6" t="s">
        <v>4895</v>
      </c>
      <c r="E586" s="20">
        <f t="shared" si="38"/>
        <v>0</v>
      </c>
      <c r="F586" s="20"/>
      <c r="G586" s="24" t="s">
        <v>7041</v>
      </c>
      <c r="H586" s="20">
        <f t="shared" si="39"/>
        <v>0</v>
      </c>
      <c r="I586" s="21">
        <v>2592</v>
      </c>
      <c r="J586" s="21">
        <f t="shared" si="37"/>
        <v>0</v>
      </c>
    </row>
    <row r="587" spans="1:10" x14ac:dyDescent="0.3">
      <c r="A587" s="2" t="s">
        <v>584</v>
      </c>
      <c r="B587" s="1" t="s">
        <v>2152</v>
      </c>
      <c r="C587" s="6" t="s">
        <v>2730</v>
      </c>
      <c r="D587" s="6" t="s">
        <v>4896</v>
      </c>
      <c r="E587" s="20">
        <f t="shared" si="38"/>
        <v>0</v>
      </c>
      <c r="F587" s="20"/>
      <c r="G587" s="24" t="s">
        <v>7042</v>
      </c>
      <c r="H587" s="20">
        <f t="shared" si="39"/>
        <v>0</v>
      </c>
      <c r="I587" s="21">
        <v>252</v>
      </c>
      <c r="J587" s="21">
        <f t="shared" si="37"/>
        <v>0</v>
      </c>
    </row>
    <row r="588" spans="1:10" x14ac:dyDescent="0.3">
      <c r="A588" s="2" t="s">
        <v>585</v>
      </c>
      <c r="B588" s="1" t="s">
        <v>2152</v>
      </c>
      <c r="C588" s="6" t="s">
        <v>2731</v>
      </c>
      <c r="D588" s="6" t="s">
        <v>4897</v>
      </c>
      <c r="E588" s="20">
        <f t="shared" si="38"/>
        <v>0</v>
      </c>
      <c r="F588" s="20"/>
      <c r="G588" s="24" t="s">
        <v>7043</v>
      </c>
      <c r="H588" s="20">
        <f t="shared" si="39"/>
        <v>0</v>
      </c>
      <c r="I588" s="21">
        <v>72</v>
      </c>
      <c r="J588" s="21">
        <f t="shared" si="37"/>
        <v>0</v>
      </c>
    </row>
    <row r="589" spans="1:10" x14ac:dyDescent="0.3">
      <c r="A589" s="2" t="s">
        <v>586</v>
      </c>
      <c r="B589" s="1" t="s">
        <v>2152</v>
      </c>
      <c r="C589" s="6" t="s">
        <v>2732</v>
      </c>
      <c r="D589" s="6" t="s">
        <v>4898</v>
      </c>
      <c r="E589" s="20">
        <f t="shared" si="38"/>
        <v>0</v>
      </c>
      <c r="F589" s="20">
        <f>'[17]200 TON PRES'!$H$15</f>
        <v>1610</v>
      </c>
      <c r="G589" s="24" t="s">
        <v>7044</v>
      </c>
      <c r="H589" s="20">
        <f t="shared" si="39"/>
        <v>0</v>
      </c>
      <c r="I589" s="21">
        <v>86.4</v>
      </c>
      <c r="J589" s="21">
        <f t="shared" si="37"/>
        <v>0</v>
      </c>
    </row>
    <row r="590" spans="1:10" x14ac:dyDescent="0.3">
      <c r="A590" s="2" t="s">
        <v>587</v>
      </c>
      <c r="B590" s="1" t="s">
        <v>2152</v>
      </c>
      <c r="C590" s="6" t="s">
        <v>2733</v>
      </c>
      <c r="D590" s="6" t="s">
        <v>4899</v>
      </c>
      <c r="E590" s="20">
        <f t="shared" si="38"/>
        <v>0</v>
      </c>
      <c r="F590" s="20">
        <f>'[17]200 TON PRES'!$H$16</f>
        <v>1610</v>
      </c>
      <c r="G590" s="24" t="s">
        <v>7045</v>
      </c>
      <c r="H590" s="20">
        <f t="shared" si="39"/>
        <v>0</v>
      </c>
      <c r="I590" s="21">
        <v>100</v>
      </c>
      <c r="J590" s="21">
        <f t="shared" si="37"/>
        <v>0</v>
      </c>
    </row>
    <row r="591" spans="1:10" x14ac:dyDescent="0.3">
      <c r="A591" s="2" t="s">
        <v>588</v>
      </c>
      <c r="B591" s="1" t="s">
        <v>2152</v>
      </c>
      <c r="C591" s="6" t="s">
        <v>2734</v>
      </c>
      <c r="D591" s="6" t="s">
        <v>4900</v>
      </c>
      <c r="E591" s="20">
        <f t="shared" si="38"/>
        <v>0</v>
      </c>
      <c r="F591" s="20">
        <f>'[17]200 TON PRES'!$H$17</f>
        <v>1656</v>
      </c>
      <c r="G591" s="24" t="s">
        <v>7046</v>
      </c>
      <c r="H591" s="20">
        <f t="shared" si="39"/>
        <v>0</v>
      </c>
      <c r="I591" s="21">
        <v>115.2</v>
      </c>
      <c r="J591" s="21">
        <f t="shared" si="37"/>
        <v>0</v>
      </c>
    </row>
    <row r="592" spans="1:10" x14ac:dyDescent="0.3">
      <c r="A592" s="2" t="s">
        <v>589</v>
      </c>
      <c r="B592" s="1" t="s">
        <v>2152</v>
      </c>
      <c r="C592" s="6" t="s">
        <v>2735</v>
      </c>
      <c r="D592" s="6" t="s">
        <v>4901</v>
      </c>
      <c r="E592" s="20">
        <f t="shared" si="38"/>
        <v>0</v>
      </c>
      <c r="F592" s="20">
        <v>20000</v>
      </c>
      <c r="G592" s="24" t="s">
        <v>7047</v>
      </c>
      <c r="H592" s="20">
        <f t="shared" si="39"/>
        <v>0</v>
      </c>
      <c r="I592" s="21">
        <v>1100</v>
      </c>
      <c r="J592" s="21">
        <f t="shared" si="37"/>
        <v>0</v>
      </c>
    </row>
    <row r="593" spans="1:10" x14ac:dyDescent="0.3">
      <c r="A593" s="2" t="s">
        <v>590</v>
      </c>
      <c r="B593" s="1" t="s">
        <v>2152</v>
      </c>
      <c r="C593" s="6" t="s">
        <v>2736</v>
      </c>
      <c r="D593" s="6" t="s">
        <v>4902</v>
      </c>
      <c r="E593" s="20">
        <f t="shared" si="38"/>
        <v>0</v>
      </c>
      <c r="F593" s="20"/>
      <c r="G593" s="24" t="s">
        <v>7048</v>
      </c>
      <c r="H593" s="20">
        <f t="shared" si="39"/>
        <v>0</v>
      </c>
      <c r="I593" s="21">
        <v>324</v>
      </c>
      <c r="J593" s="21">
        <f t="shared" si="37"/>
        <v>0</v>
      </c>
    </row>
    <row r="594" spans="1:10" x14ac:dyDescent="0.3">
      <c r="A594" s="2" t="s">
        <v>591</v>
      </c>
      <c r="B594" s="1" t="s">
        <v>2152</v>
      </c>
      <c r="C594" s="6" t="s">
        <v>2737</v>
      </c>
      <c r="D594" s="6" t="s">
        <v>4903</v>
      </c>
      <c r="E594" s="20">
        <f t="shared" si="38"/>
        <v>0</v>
      </c>
      <c r="F594" s="20"/>
      <c r="G594" s="24" t="s">
        <v>7049</v>
      </c>
      <c r="H594" s="20">
        <f t="shared" si="39"/>
        <v>0</v>
      </c>
      <c r="I594" s="21">
        <f t="shared" ref="I594:J596" si="40">W594</f>
        <v>0</v>
      </c>
      <c r="J594" s="21">
        <f t="shared" si="40"/>
        <v>0</v>
      </c>
    </row>
    <row r="595" spans="1:10" x14ac:dyDescent="0.3">
      <c r="A595" s="2" t="s">
        <v>592</v>
      </c>
      <c r="B595" s="1" t="s">
        <v>2152</v>
      </c>
      <c r="C595" s="6" t="s">
        <v>2738</v>
      </c>
      <c r="D595" s="6" t="s">
        <v>4904</v>
      </c>
      <c r="E595" s="20">
        <f t="shared" si="38"/>
        <v>0</v>
      </c>
      <c r="F595" s="20"/>
      <c r="G595" s="24" t="s">
        <v>7050</v>
      </c>
      <c r="H595" s="20">
        <f t="shared" si="39"/>
        <v>0</v>
      </c>
      <c r="I595" s="21">
        <f t="shared" si="40"/>
        <v>0</v>
      </c>
      <c r="J595" s="21">
        <f t="shared" si="40"/>
        <v>0</v>
      </c>
    </row>
    <row r="596" spans="1:10" x14ac:dyDescent="0.3">
      <c r="A596" s="2" t="s">
        <v>593</v>
      </c>
      <c r="B596" s="1" t="s">
        <v>2152</v>
      </c>
      <c r="C596" s="6" t="s">
        <v>2739</v>
      </c>
      <c r="D596" s="6" t="s">
        <v>4905</v>
      </c>
      <c r="E596" s="20">
        <f t="shared" si="38"/>
        <v>0</v>
      </c>
      <c r="F596" s="20"/>
      <c r="G596" s="24" t="s">
        <v>7051</v>
      </c>
      <c r="H596" s="20">
        <f t="shared" si="39"/>
        <v>0</v>
      </c>
      <c r="I596" s="21">
        <f t="shared" si="40"/>
        <v>0</v>
      </c>
      <c r="J596" s="21">
        <f t="shared" si="40"/>
        <v>0</v>
      </c>
    </row>
    <row r="597" spans="1:10" ht="82.8" x14ac:dyDescent="0.3">
      <c r="A597" s="2" t="s">
        <v>594</v>
      </c>
      <c r="B597" s="1" t="s">
        <v>2152</v>
      </c>
      <c r="C597" s="6" t="s">
        <v>2740</v>
      </c>
      <c r="D597" s="6" t="s">
        <v>4906</v>
      </c>
      <c r="E597" s="20">
        <f t="shared" si="38"/>
        <v>0</v>
      </c>
      <c r="F597" s="20">
        <f>'[18]NOKTA YÜKLEME'!$M$2</f>
        <v>12260</v>
      </c>
      <c r="G597" s="24" t="s">
        <v>7052</v>
      </c>
      <c r="H597" s="20">
        <f t="shared" si="39"/>
        <v>0</v>
      </c>
      <c r="I597" s="21">
        <v>2082</v>
      </c>
      <c r="J597" s="21">
        <f>X597</f>
        <v>0</v>
      </c>
    </row>
    <row r="598" spans="1:10" ht="82.8" x14ac:dyDescent="0.3">
      <c r="A598" s="2" t="s">
        <v>595</v>
      </c>
      <c r="B598" s="1" t="s">
        <v>2152</v>
      </c>
      <c r="C598" s="6" t="s">
        <v>2741</v>
      </c>
      <c r="D598" s="6" t="s">
        <v>4907</v>
      </c>
      <c r="E598" s="20">
        <f t="shared" si="38"/>
        <v>0</v>
      </c>
      <c r="F598" s="20">
        <f>'[18]10T NOKTA YÜKLEME YESİM'!$L$2</f>
        <v>15675</v>
      </c>
      <c r="G598" s="24" t="s">
        <v>7053</v>
      </c>
      <c r="H598" s="20">
        <f t="shared" si="39"/>
        <v>0</v>
      </c>
      <c r="I598" s="21">
        <v>2850</v>
      </c>
    </row>
    <row r="599" spans="1:10" ht="138" x14ac:dyDescent="0.3">
      <c r="A599" s="2" t="s">
        <v>596</v>
      </c>
      <c r="B599" s="1" t="s">
        <v>2152</v>
      </c>
      <c r="C599" s="6" t="s">
        <v>2742</v>
      </c>
      <c r="D599" s="6" t="s">
        <v>4908</v>
      </c>
      <c r="E599" s="20">
        <f t="shared" si="38"/>
        <v>0</v>
      </c>
      <c r="F599" s="20">
        <v>3022</v>
      </c>
      <c r="G599" s="24" t="s">
        <v>7054</v>
      </c>
      <c r="H599" s="20">
        <f t="shared" si="39"/>
        <v>0</v>
      </c>
      <c r="I599" s="21">
        <v>2987</v>
      </c>
      <c r="J599" s="21">
        <f>X599</f>
        <v>0</v>
      </c>
    </row>
    <row r="600" spans="1:10" ht="27.6" x14ac:dyDescent="0.3">
      <c r="A600" s="2" t="s">
        <v>597</v>
      </c>
      <c r="B600" s="1" t="s">
        <v>2152</v>
      </c>
      <c r="C600" s="6" t="s">
        <v>2743</v>
      </c>
      <c r="D600" s="6" t="s">
        <v>4909</v>
      </c>
      <c r="E600" s="20">
        <f t="shared" si="38"/>
        <v>0</v>
      </c>
      <c r="F600" s="20"/>
      <c r="G600" s="24" t="s">
        <v>7055</v>
      </c>
      <c r="H600" s="20">
        <f t="shared" si="39"/>
        <v>0</v>
      </c>
      <c r="I600" s="21">
        <v>600</v>
      </c>
      <c r="J600" s="21">
        <f>X600</f>
        <v>0</v>
      </c>
    </row>
    <row r="601" spans="1:10" ht="69" x14ac:dyDescent="0.3">
      <c r="A601" s="2" t="s">
        <v>598</v>
      </c>
      <c r="B601" s="1" t="s">
        <v>2152</v>
      </c>
      <c r="C601" s="6" t="s">
        <v>2744</v>
      </c>
      <c r="D601" s="6" t="s">
        <v>4910</v>
      </c>
      <c r="E601" s="20">
        <f t="shared" si="38"/>
        <v>0</v>
      </c>
      <c r="F601" s="20"/>
      <c r="G601" s="24" t="s">
        <v>7056</v>
      </c>
      <c r="H601" s="20">
        <f t="shared" si="39"/>
        <v>0</v>
      </c>
      <c r="I601" s="21">
        <v>2262</v>
      </c>
      <c r="J601" s="21">
        <f t="shared" ref="J601:J607" si="41">X601</f>
        <v>0</v>
      </c>
    </row>
    <row r="602" spans="1:10" ht="110.4" x14ac:dyDescent="0.3">
      <c r="A602" s="2" t="s">
        <v>599</v>
      </c>
      <c r="B602" s="1" t="s">
        <v>2152</v>
      </c>
      <c r="C602" s="6" t="s">
        <v>2745</v>
      </c>
      <c r="D602" s="6" t="s">
        <v>4911</v>
      </c>
      <c r="E602" s="20">
        <f t="shared" si="38"/>
        <v>0</v>
      </c>
      <c r="F602" s="20">
        <f>'[17]200 TON PRES'!$L$2</f>
        <v>134072.5</v>
      </c>
      <c r="G602" s="24" t="s">
        <v>7057</v>
      </c>
      <c r="H602" s="20">
        <f t="shared" si="39"/>
        <v>0</v>
      </c>
      <c r="I602" s="21">
        <v>7700</v>
      </c>
      <c r="J602" s="21">
        <f t="shared" si="41"/>
        <v>0</v>
      </c>
    </row>
    <row r="603" spans="1:10" x14ac:dyDescent="0.3">
      <c r="A603" s="2" t="s">
        <v>600</v>
      </c>
      <c r="B603" s="1" t="s">
        <v>2152</v>
      </c>
      <c r="C603" s="6" t="s">
        <v>2746</v>
      </c>
      <c r="D603" s="6" t="s">
        <v>4912</v>
      </c>
      <c r="E603" s="20">
        <f t="shared" si="38"/>
        <v>0</v>
      </c>
      <c r="F603" s="20"/>
      <c r="G603" s="24" t="s">
        <v>7058</v>
      </c>
      <c r="H603" s="20">
        <f t="shared" si="39"/>
        <v>0</v>
      </c>
      <c r="I603" s="21">
        <f>W603</f>
        <v>0</v>
      </c>
      <c r="J603" s="21">
        <f t="shared" si="41"/>
        <v>0</v>
      </c>
    </row>
    <row r="604" spans="1:10" x14ac:dyDescent="0.3">
      <c r="A604" s="2" t="s">
        <v>601</v>
      </c>
      <c r="B604" s="1" t="s">
        <v>2152</v>
      </c>
      <c r="C604" s="6" t="s">
        <v>2747</v>
      </c>
      <c r="D604" s="6" t="s">
        <v>4913</v>
      </c>
      <c r="E604" s="20">
        <f t="shared" si="38"/>
        <v>0</v>
      </c>
      <c r="F604" s="20"/>
      <c r="G604" s="24" t="s">
        <v>7059</v>
      </c>
      <c r="H604" s="20">
        <f t="shared" si="39"/>
        <v>0</v>
      </c>
      <c r="I604" s="21">
        <v>1350</v>
      </c>
      <c r="J604" s="21">
        <f t="shared" si="41"/>
        <v>0</v>
      </c>
    </row>
    <row r="605" spans="1:10" x14ac:dyDescent="0.3">
      <c r="A605" s="2" t="s">
        <v>602</v>
      </c>
      <c r="B605" s="1" t="s">
        <v>2152</v>
      </c>
      <c r="C605" s="6" t="s">
        <v>2748</v>
      </c>
      <c r="D605" s="6" t="s">
        <v>4914</v>
      </c>
      <c r="E605" s="20">
        <f t="shared" si="38"/>
        <v>0</v>
      </c>
      <c r="F605" s="20"/>
      <c r="G605" s="24" t="s">
        <v>7060</v>
      </c>
      <c r="H605" s="20">
        <f t="shared" si="39"/>
        <v>0</v>
      </c>
      <c r="I605" s="21">
        <f>W605</f>
        <v>0</v>
      </c>
      <c r="J605" s="21">
        <f t="shared" si="41"/>
        <v>0</v>
      </c>
    </row>
    <row r="606" spans="1:10" x14ac:dyDescent="0.3">
      <c r="A606" s="2" t="s">
        <v>603</v>
      </c>
      <c r="B606" s="1" t="s">
        <v>2152</v>
      </c>
      <c r="C606" s="6" t="s">
        <v>2749</v>
      </c>
      <c r="D606" s="6" t="s">
        <v>4915</v>
      </c>
      <c r="E606" s="20">
        <f t="shared" si="38"/>
        <v>0</v>
      </c>
      <c r="F606" s="20"/>
      <c r="G606" s="24" t="s">
        <v>7061</v>
      </c>
      <c r="H606" s="20">
        <f t="shared" si="39"/>
        <v>0</v>
      </c>
      <c r="I606" s="21">
        <f>W606</f>
        <v>0</v>
      </c>
      <c r="J606" s="21">
        <f t="shared" si="41"/>
        <v>0</v>
      </c>
    </row>
    <row r="607" spans="1:10" x14ac:dyDescent="0.3">
      <c r="A607" s="2" t="s">
        <v>604</v>
      </c>
      <c r="B607" s="1" t="s">
        <v>2152</v>
      </c>
      <c r="C607" s="6" t="s">
        <v>2750</v>
      </c>
      <c r="D607" s="6" t="s">
        <v>4916</v>
      </c>
      <c r="E607" s="20">
        <f t="shared" si="38"/>
        <v>0</v>
      </c>
      <c r="F607" s="20"/>
      <c r="G607" s="24" t="s">
        <v>7062</v>
      </c>
      <c r="H607" s="20">
        <f t="shared" si="39"/>
        <v>0</v>
      </c>
      <c r="I607" s="21">
        <f>W607</f>
        <v>0</v>
      </c>
      <c r="J607" s="21">
        <f t="shared" si="41"/>
        <v>0</v>
      </c>
    </row>
    <row r="608" spans="1:10" ht="69" x14ac:dyDescent="0.3">
      <c r="A608" s="2" t="s">
        <v>605</v>
      </c>
      <c r="B608" s="1" t="s">
        <v>2152</v>
      </c>
      <c r="C608" s="6" t="s">
        <v>2751</v>
      </c>
      <c r="D608" s="6" t="s">
        <v>4917</v>
      </c>
      <c r="E608" s="20"/>
      <c r="F608" s="20"/>
      <c r="G608" s="24" t="s">
        <v>7063</v>
      </c>
      <c r="H608" s="20"/>
    </row>
    <row r="609" spans="1:10" x14ac:dyDescent="0.3">
      <c r="A609" s="2" t="s">
        <v>606</v>
      </c>
      <c r="B609" s="1" t="s">
        <v>2152</v>
      </c>
      <c r="C609" s="6" t="s">
        <v>2752</v>
      </c>
      <c r="D609" s="6" t="s">
        <v>4918</v>
      </c>
      <c r="E609" s="20">
        <f t="shared" si="38"/>
        <v>0</v>
      </c>
      <c r="F609" s="20"/>
      <c r="G609" s="24" t="s">
        <v>7064</v>
      </c>
      <c r="H609" s="20">
        <f t="shared" si="39"/>
        <v>0</v>
      </c>
    </row>
    <row r="610" spans="1:10" x14ac:dyDescent="0.3">
      <c r="A610" s="2" t="s">
        <v>607</v>
      </c>
      <c r="B610" s="1" t="s">
        <v>2152</v>
      </c>
      <c r="C610" s="6" t="s">
        <v>2753</v>
      </c>
      <c r="D610" s="6" t="s">
        <v>4919</v>
      </c>
      <c r="E610" s="20">
        <f t="shared" si="38"/>
        <v>0</v>
      </c>
      <c r="F610" s="20">
        <f>[19]Sayfa1!$H$19</f>
        <v>47547.6</v>
      </c>
      <c r="G610" s="24" t="s">
        <v>7065</v>
      </c>
      <c r="H610" s="20">
        <f t="shared" si="39"/>
        <v>0</v>
      </c>
    </row>
    <row r="611" spans="1:10" ht="55.2" x14ac:dyDescent="0.3">
      <c r="A611" s="2" t="s">
        <v>495</v>
      </c>
      <c r="B611" s="1" t="s">
        <v>2152</v>
      </c>
      <c r="C611" s="6" t="s">
        <v>2754</v>
      </c>
      <c r="D611" s="6" t="s">
        <v>4920</v>
      </c>
      <c r="E611" s="20">
        <f t="shared" si="38"/>
        <v>0</v>
      </c>
      <c r="F611" s="20">
        <f>'[20]Santifüj Extraktor Maliyet'!$L$2</f>
        <v>34588</v>
      </c>
      <c r="G611" s="24" t="s">
        <v>7066</v>
      </c>
      <c r="H611" s="20">
        <f t="shared" si="39"/>
        <v>0</v>
      </c>
      <c r="I611" s="21">
        <v>1650</v>
      </c>
      <c r="J611" s="21">
        <f>X611</f>
        <v>0</v>
      </c>
    </row>
    <row r="612" spans="1:10" ht="27.6" x14ac:dyDescent="0.3">
      <c r="A612" s="2" t="s">
        <v>608</v>
      </c>
      <c r="B612" s="1" t="s">
        <v>2152</v>
      </c>
      <c r="C612" s="6" t="s">
        <v>2755</v>
      </c>
      <c r="D612" s="6" t="s">
        <v>4921</v>
      </c>
      <c r="E612" s="20">
        <f t="shared" si="38"/>
        <v>0</v>
      </c>
      <c r="F612" s="20"/>
      <c r="G612" s="24" t="s">
        <v>7067</v>
      </c>
      <c r="H612" s="20">
        <f t="shared" si="39"/>
        <v>0</v>
      </c>
      <c r="I612" s="21">
        <f>W612</f>
        <v>0</v>
      </c>
      <c r="J612" s="21">
        <f>X612</f>
        <v>0</v>
      </c>
    </row>
    <row r="613" spans="1:10" x14ac:dyDescent="0.3">
      <c r="A613" s="2" t="s">
        <v>609</v>
      </c>
      <c r="B613" s="1" t="s">
        <v>2152</v>
      </c>
      <c r="C613" s="6" t="s">
        <v>2756</v>
      </c>
      <c r="D613" s="6" t="s">
        <v>4922</v>
      </c>
      <c r="E613" s="20">
        <f t="shared" si="38"/>
        <v>0</v>
      </c>
      <c r="F613" s="20"/>
      <c r="G613" s="24" t="s">
        <v>7068</v>
      </c>
      <c r="H613" s="20">
        <f t="shared" si="39"/>
        <v>0</v>
      </c>
      <c r="I613" s="21">
        <f>W613</f>
        <v>0</v>
      </c>
      <c r="J613" s="21">
        <f>X613</f>
        <v>0</v>
      </c>
    </row>
    <row r="614" spans="1:10" ht="55.2" x14ac:dyDescent="0.3">
      <c r="A614" s="2" t="s">
        <v>610</v>
      </c>
      <c r="B614" s="1" t="s">
        <v>2152</v>
      </c>
      <c r="C614" s="6" t="s">
        <v>2757</v>
      </c>
      <c r="D614" s="6" t="s">
        <v>4923</v>
      </c>
      <c r="E614" s="20">
        <f t="shared" si="38"/>
        <v>0</v>
      </c>
      <c r="F614" s="20">
        <f>'[21]Santifüj Extraktor Maliyet'!$L$2</f>
        <v>34588</v>
      </c>
      <c r="G614" s="24" t="s">
        <v>7069</v>
      </c>
      <c r="H614" s="20">
        <f t="shared" si="39"/>
        <v>0</v>
      </c>
      <c r="I614" s="21">
        <v>1950</v>
      </c>
      <c r="J614" s="21">
        <f t="shared" ref="J614:J621" si="42">X614</f>
        <v>0</v>
      </c>
    </row>
    <row r="615" spans="1:10" ht="27.6" x14ac:dyDescent="0.3">
      <c r="A615" s="2" t="s">
        <v>611</v>
      </c>
      <c r="B615" s="1" t="s">
        <v>2152</v>
      </c>
      <c r="C615" s="6" t="s">
        <v>2758</v>
      </c>
      <c r="D615" s="6" t="s">
        <v>4924</v>
      </c>
      <c r="E615" s="20">
        <f t="shared" si="38"/>
        <v>0</v>
      </c>
      <c r="F615" s="20">
        <v>4200</v>
      </c>
      <c r="G615" s="24" t="s">
        <v>7070</v>
      </c>
      <c r="H615" s="20">
        <f t="shared" si="39"/>
        <v>0</v>
      </c>
      <c r="I615" s="21">
        <v>165</v>
      </c>
      <c r="J615" s="21">
        <f t="shared" si="42"/>
        <v>0</v>
      </c>
    </row>
    <row r="616" spans="1:10" x14ac:dyDescent="0.3">
      <c r="A616" s="2" t="s">
        <v>612</v>
      </c>
      <c r="B616" s="1" t="s">
        <v>2152</v>
      </c>
      <c r="C616" s="6" t="s">
        <v>2759</v>
      </c>
      <c r="D616" s="6" t="s">
        <v>4925</v>
      </c>
      <c r="E616" s="20">
        <f t="shared" si="38"/>
        <v>0</v>
      </c>
      <c r="F616" s="20"/>
      <c r="G616" s="24" t="s">
        <v>7071</v>
      </c>
      <c r="H616" s="20">
        <f t="shared" si="39"/>
        <v>0</v>
      </c>
      <c r="I616" s="21">
        <v>450</v>
      </c>
      <c r="J616" s="21">
        <f t="shared" si="42"/>
        <v>0</v>
      </c>
    </row>
    <row r="617" spans="1:10" ht="55.2" x14ac:dyDescent="0.3">
      <c r="A617" s="2" t="s">
        <v>613</v>
      </c>
      <c r="B617" s="1" t="s">
        <v>2152</v>
      </c>
      <c r="C617" s="6" t="s">
        <v>2760</v>
      </c>
      <c r="D617" s="6" t="s">
        <v>4926</v>
      </c>
      <c r="E617" s="20">
        <f t="shared" si="38"/>
        <v>0</v>
      </c>
      <c r="F617" s="20">
        <v>3082</v>
      </c>
      <c r="G617" s="24" t="s">
        <v>7072</v>
      </c>
      <c r="H617" s="20">
        <f t="shared" si="39"/>
        <v>0</v>
      </c>
      <c r="I617" s="21">
        <v>690</v>
      </c>
      <c r="J617" s="21">
        <f t="shared" si="42"/>
        <v>0</v>
      </c>
    </row>
    <row r="618" spans="1:10" ht="27.6" x14ac:dyDescent="0.3">
      <c r="A618" s="2" t="s">
        <v>614</v>
      </c>
      <c r="B618" s="1" t="s">
        <v>2152</v>
      </c>
      <c r="C618" s="6" t="s">
        <v>2761</v>
      </c>
      <c r="D618" s="6" t="s">
        <v>4927</v>
      </c>
      <c r="E618" s="20">
        <f t="shared" si="38"/>
        <v>0</v>
      </c>
      <c r="F618" s="20">
        <f>'[22]REFLÜKS(SOKSİLET)1000 GR'!$C$2</f>
        <v>550</v>
      </c>
      <c r="G618" s="24" t="s">
        <v>7073</v>
      </c>
      <c r="H618" s="20">
        <f t="shared" si="39"/>
        <v>0</v>
      </c>
      <c r="I618" s="21">
        <v>240</v>
      </c>
      <c r="J618" s="21">
        <f t="shared" si="42"/>
        <v>0</v>
      </c>
    </row>
    <row r="619" spans="1:10" x14ac:dyDescent="0.3">
      <c r="A619" s="2" t="s">
        <v>615</v>
      </c>
      <c r="B619" s="1" t="s">
        <v>2152</v>
      </c>
      <c r="C619" s="6" t="s">
        <v>2762</v>
      </c>
      <c r="D619" s="6" t="s">
        <v>4928</v>
      </c>
      <c r="E619" s="20">
        <f t="shared" si="38"/>
        <v>0</v>
      </c>
      <c r="F619" s="20">
        <f>'[22]REFLÜKS(SOKSİLET)1000 GR'!$C$3</f>
        <v>80</v>
      </c>
      <c r="G619" s="24" t="s">
        <v>7074</v>
      </c>
      <c r="H619" s="20">
        <f t="shared" si="39"/>
        <v>0</v>
      </c>
      <c r="I619" s="21">
        <v>60</v>
      </c>
      <c r="J619" s="21">
        <f t="shared" si="42"/>
        <v>0</v>
      </c>
    </row>
    <row r="620" spans="1:10" x14ac:dyDescent="0.3">
      <c r="A620" s="2" t="s">
        <v>616</v>
      </c>
      <c r="B620" s="1" t="s">
        <v>2152</v>
      </c>
      <c r="C620" s="6" t="s">
        <v>2763</v>
      </c>
      <c r="D620" s="6" t="s">
        <v>4929</v>
      </c>
      <c r="E620" s="20">
        <f t="shared" si="38"/>
        <v>0</v>
      </c>
      <c r="F620" s="20">
        <v>741</v>
      </c>
      <c r="G620" s="24" t="s">
        <v>7075</v>
      </c>
      <c r="H620" s="20">
        <f t="shared" si="39"/>
        <v>0</v>
      </c>
      <c r="I620" s="21">
        <v>60</v>
      </c>
      <c r="J620" s="21">
        <f t="shared" si="42"/>
        <v>0</v>
      </c>
    </row>
    <row r="621" spans="1:10" ht="27.6" x14ac:dyDescent="0.3">
      <c r="A621" s="2" t="s">
        <v>617</v>
      </c>
      <c r="B621" s="1" t="s">
        <v>2152</v>
      </c>
      <c r="C621" s="6" t="s">
        <v>2764</v>
      </c>
      <c r="D621" s="6" t="s">
        <v>4930</v>
      </c>
      <c r="E621" s="20">
        <f t="shared" si="38"/>
        <v>0</v>
      </c>
      <c r="F621" s="20">
        <f>'[22]REFLÜKS(SOKSİLET)1000 GR'!$C$5</f>
        <v>375</v>
      </c>
      <c r="G621" s="24" t="s">
        <v>7076</v>
      </c>
      <c r="H621" s="20">
        <f t="shared" si="39"/>
        <v>0</v>
      </c>
      <c r="I621" s="21">
        <v>180</v>
      </c>
      <c r="J621" s="21">
        <f t="shared" si="42"/>
        <v>0</v>
      </c>
    </row>
    <row r="622" spans="1:10" x14ac:dyDescent="0.3">
      <c r="A622" s="2" t="s">
        <v>618</v>
      </c>
      <c r="B622" s="1" t="s">
        <v>2152</v>
      </c>
      <c r="C622" s="6" t="s">
        <v>2765</v>
      </c>
      <c r="D622" s="6" t="s">
        <v>4931</v>
      </c>
      <c r="E622" s="20">
        <f t="shared" si="38"/>
        <v>0</v>
      </c>
      <c r="F622" s="20">
        <v>89</v>
      </c>
      <c r="G622" s="24" t="s">
        <v>7077</v>
      </c>
      <c r="H622" s="20">
        <f t="shared" si="39"/>
        <v>0</v>
      </c>
      <c r="I622" s="21">
        <v>7.2</v>
      </c>
      <c r="J622" s="21">
        <f>X622</f>
        <v>0</v>
      </c>
    </row>
    <row r="623" spans="1:10" x14ac:dyDescent="0.3">
      <c r="A623" s="2" t="s">
        <v>36</v>
      </c>
      <c r="B623" s="1" t="s">
        <v>2152</v>
      </c>
      <c r="C623" s="6" t="s">
        <v>2180</v>
      </c>
      <c r="D623" s="6" t="s">
        <v>4351</v>
      </c>
      <c r="E623" s="20">
        <f t="shared" si="38"/>
        <v>0</v>
      </c>
      <c r="F623" s="20">
        <v>750</v>
      </c>
      <c r="G623" s="24" t="s">
        <v>7078</v>
      </c>
      <c r="H623" s="20">
        <f t="shared" si="39"/>
        <v>0</v>
      </c>
      <c r="I623" s="21">
        <v>90</v>
      </c>
      <c r="J623" s="21">
        <f>X623</f>
        <v>0</v>
      </c>
    </row>
    <row r="624" spans="1:10" ht="55.2" x14ac:dyDescent="0.3">
      <c r="A624" s="3" t="s">
        <v>619</v>
      </c>
      <c r="B624" s="1" t="s">
        <v>2152</v>
      </c>
      <c r="C624" s="6" t="s">
        <v>2766</v>
      </c>
      <c r="D624" s="6" t="s">
        <v>4932</v>
      </c>
      <c r="E624" s="20">
        <f t="shared" si="38"/>
        <v>0</v>
      </c>
      <c r="F624" s="20">
        <f>'[23]REFLÜKS(SOKSİLET)4000 GR'!$L$2</f>
        <v>11806.2</v>
      </c>
      <c r="G624" s="24" t="s">
        <v>7079</v>
      </c>
      <c r="H624" s="20">
        <f t="shared" si="39"/>
        <v>0</v>
      </c>
      <c r="I624" s="21">
        <v>750</v>
      </c>
      <c r="J624" s="21">
        <f t="shared" ref="J624:J631" si="43">X624</f>
        <v>0</v>
      </c>
    </row>
    <row r="625" spans="1:10" ht="27.6" x14ac:dyDescent="0.3">
      <c r="A625" s="2" t="s">
        <v>620</v>
      </c>
      <c r="B625" s="1" t="s">
        <v>2152</v>
      </c>
      <c r="C625" s="6" t="s">
        <v>2767</v>
      </c>
      <c r="D625" s="6" t="s">
        <v>4933</v>
      </c>
      <c r="E625" s="20">
        <f t="shared" si="38"/>
        <v>0</v>
      </c>
      <c r="F625" s="20">
        <v>4700</v>
      </c>
      <c r="G625" s="24" t="s">
        <v>7080</v>
      </c>
      <c r="H625" s="20">
        <f t="shared" si="39"/>
        <v>0</v>
      </c>
      <c r="I625" s="21">
        <v>270</v>
      </c>
      <c r="J625" s="21">
        <f t="shared" si="43"/>
        <v>0</v>
      </c>
    </row>
    <row r="626" spans="1:10" x14ac:dyDescent="0.3">
      <c r="A626" s="2" t="s">
        <v>621</v>
      </c>
      <c r="B626" s="1" t="s">
        <v>2152</v>
      </c>
      <c r="C626" s="6" t="s">
        <v>2768</v>
      </c>
      <c r="D626" s="6" t="s">
        <v>4934</v>
      </c>
      <c r="E626" s="20">
        <f t="shared" si="38"/>
        <v>0</v>
      </c>
      <c r="F626" s="20">
        <v>1000</v>
      </c>
      <c r="G626" s="24" t="s">
        <v>7081</v>
      </c>
      <c r="H626" s="20">
        <f t="shared" si="39"/>
        <v>0</v>
      </c>
      <c r="I626" s="21">
        <v>60</v>
      </c>
      <c r="J626" s="21">
        <f t="shared" si="43"/>
        <v>0</v>
      </c>
    </row>
    <row r="627" spans="1:10" x14ac:dyDescent="0.3">
      <c r="A627" s="2" t="s">
        <v>622</v>
      </c>
      <c r="B627" s="1" t="s">
        <v>2152</v>
      </c>
      <c r="C627" s="6" t="s">
        <v>2769</v>
      </c>
      <c r="D627" s="6" t="s">
        <v>4935</v>
      </c>
      <c r="E627" s="20">
        <f t="shared" si="38"/>
        <v>0</v>
      </c>
      <c r="F627" s="20">
        <v>1016</v>
      </c>
      <c r="G627" s="24" t="s">
        <v>7082</v>
      </c>
      <c r="H627" s="20">
        <f t="shared" si="39"/>
        <v>0</v>
      </c>
      <c r="I627" s="21">
        <v>60</v>
      </c>
      <c r="J627" s="21">
        <f t="shared" si="43"/>
        <v>0</v>
      </c>
    </row>
    <row r="628" spans="1:10" ht="27.6" x14ac:dyDescent="0.3">
      <c r="A628" s="2" t="s">
        <v>623</v>
      </c>
      <c r="B628" s="1" t="s">
        <v>2152</v>
      </c>
      <c r="C628" s="6" t="s">
        <v>2770</v>
      </c>
      <c r="D628" s="6" t="s">
        <v>4936</v>
      </c>
      <c r="E628" s="20">
        <f t="shared" si="38"/>
        <v>0</v>
      </c>
      <c r="F628" s="20">
        <v>3500</v>
      </c>
      <c r="G628" s="24" t="s">
        <v>7083</v>
      </c>
      <c r="H628" s="20">
        <f t="shared" si="39"/>
        <v>0</v>
      </c>
      <c r="I628" s="21">
        <v>180</v>
      </c>
      <c r="J628" s="21">
        <f t="shared" si="43"/>
        <v>0</v>
      </c>
    </row>
    <row r="629" spans="1:10" x14ac:dyDescent="0.3">
      <c r="A629" s="2" t="s">
        <v>624</v>
      </c>
      <c r="B629" s="1" t="s">
        <v>2152</v>
      </c>
      <c r="C629" s="6" t="s">
        <v>2771</v>
      </c>
      <c r="D629" s="6" t="s">
        <v>4937</v>
      </c>
      <c r="E629" s="20">
        <f t="shared" si="38"/>
        <v>0</v>
      </c>
      <c r="F629" s="20">
        <v>106</v>
      </c>
      <c r="G629" s="24" t="s">
        <v>7084</v>
      </c>
      <c r="H629" s="20">
        <f t="shared" si="39"/>
        <v>0</v>
      </c>
      <c r="I629" s="21">
        <v>9</v>
      </c>
      <c r="J629" s="21">
        <f t="shared" si="43"/>
        <v>0</v>
      </c>
    </row>
    <row r="630" spans="1:10" x14ac:dyDescent="0.3">
      <c r="A630" s="2" t="s">
        <v>36</v>
      </c>
      <c r="B630" s="1" t="s">
        <v>2152</v>
      </c>
      <c r="C630" s="6" t="s">
        <v>2180</v>
      </c>
      <c r="D630" s="6" t="s">
        <v>4351</v>
      </c>
      <c r="E630" s="20">
        <f t="shared" si="38"/>
        <v>0</v>
      </c>
      <c r="F630" s="20">
        <v>750</v>
      </c>
      <c r="G630" s="24" t="s">
        <v>7085</v>
      </c>
      <c r="H630" s="20">
        <f t="shared" si="39"/>
        <v>0</v>
      </c>
      <c r="I630" s="21">
        <v>90</v>
      </c>
      <c r="J630" s="21">
        <f t="shared" si="43"/>
        <v>0</v>
      </c>
    </row>
    <row r="631" spans="1:10" ht="69" x14ac:dyDescent="0.3">
      <c r="A631" s="2" t="s">
        <v>625</v>
      </c>
      <c r="B631" s="1" t="s">
        <v>2152</v>
      </c>
      <c r="C631" s="6" t="s">
        <v>2772</v>
      </c>
      <c r="D631" s="6" t="s">
        <v>4938</v>
      </c>
      <c r="E631" s="20">
        <f t="shared" si="38"/>
        <v>0</v>
      </c>
      <c r="F631" s="20"/>
      <c r="G631" s="24" t="s">
        <v>7086</v>
      </c>
      <c r="H631" s="20">
        <f t="shared" si="39"/>
        <v>0</v>
      </c>
      <c r="I631" s="21">
        <v>2100</v>
      </c>
      <c r="J631" s="21">
        <f t="shared" si="43"/>
        <v>0</v>
      </c>
    </row>
    <row r="632" spans="1:10" ht="82.8" x14ac:dyDescent="0.3">
      <c r="A632" s="2" t="s">
        <v>626</v>
      </c>
      <c r="B632" s="1" t="s">
        <v>2152</v>
      </c>
      <c r="C632" s="6" t="s">
        <v>2773</v>
      </c>
      <c r="D632" s="6" t="s">
        <v>4939</v>
      </c>
      <c r="E632" s="20"/>
      <c r="F632" s="20"/>
      <c r="G632" s="24" t="s">
        <v>7087</v>
      </c>
      <c r="H632" s="20"/>
    </row>
    <row r="633" spans="1:10" ht="69" x14ac:dyDescent="0.3">
      <c r="A633" s="2" t="s">
        <v>627</v>
      </c>
      <c r="B633" s="1" t="s">
        <v>2152</v>
      </c>
      <c r="C633" s="6" t="s">
        <v>2774</v>
      </c>
      <c r="D633" s="6" t="s">
        <v>4940</v>
      </c>
      <c r="E633" s="20">
        <f t="shared" si="38"/>
        <v>0</v>
      </c>
      <c r="F633" s="20">
        <f>'[24]VAKUM PİKNOMETRESİ'!$L$2</f>
        <v>24483.53</v>
      </c>
      <c r="G633" s="24" t="s">
        <v>7088</v>
      </c>
      <c r="H633" s="20">
        <f t="shared" si="39"/>
        <v>0</v>
      </c>
      <c r="I633" s="21">
        <v>1770</v>
      </c>
      <c r="J633" s="21">
        <f t="shared" ref="J633:J639" si="44">X633</f>
        <v>0</v>
      </c>
    </row>
    <row r="634" spans="1:10" x14ac:dyDescent="0.3">
      <c r="A634" s="2" t="s">
        <v>628</v>
      </c>
      <c r="B634" s="1" t="s">
        <v>2152</v>
      </c>
      <c r="C634" s="6" t="s">
        <v>2775</v>
      </c>
      <c r="D634" s="6" t="s">
        <v>4941</v>
      </c>
      <c r="E634" s="20">
        <f t="shared" si="38"/>
        <v>0</v>
      </c>
      <c r="F634" s="20">
        <v>750</v>
      </c>
      <c r="G634" s="24" t="s">
        <v>7089</v>
      </c>
      <c r="H634" s="20">
        <f t="shared" si="39"/>
        <v>0</v>
      </c>
      <c r="I634" s="21">
        <v>681</v>
      </c>
      <c r="J634" s="21">
        <f t="shared" si="44"/>
        <v>0</v>
      </c>
    </row>
    <row r="635" spans="1:10" ht="41.4" x14ac:dyDescent="0.3">
      <c r="A635" s="2" t="s">
        <v>421</v>
      </c>
      <c r="B635" s="1" t="s">
        <v>2152</v>
      </c>
      <c r="C635" s="6" t="s">
        <v>2569</v>
      </c>
      <c r="D635" s="6" t="s">
        <v>4740</v>
      </c>
      <c r="E635" s="20">
        <f t="shared" si="38"/>
        <v>0</v>
      </c>
      <c r="F635" s="20">
        <f>'[3]ELEK SALLAMA'!$L$2</f>
        <v>13342.68</v>
      </c>
      <c r="G635" s="24" t="s">
        <v>7090</v>
      </c>
      <c r="H635" s="20">
        <f t="shared" si="39"/>
        <v>0</v>
      </c>
      <c r="I635" s="21">
        <v>720</v>
      </c>
      <c r="J635" s="21">
        <f t="shared" si="44"/>
        <v>0</v>
      </c>
    </row>
    <row r="636" spans="1:10" ht="27.6" x14ac:dyDescent="0.3">
      <c r="A636" s="2" t="s">
        <v>629</v>
      </c>
      <c r="B636" s="1" t="s">
        <v>2152</v>
      </c>
      <c r="C636" s="6" t="s">
        <v>2776</v>
      </c>
      <c r="D636" s="6" t="s">
        <v>4942</v>
      </c>
      <c r="E636" s="20">
        <f t="shared" si="38"/>
        <v>0</v>
      </c>
      <c r="F636" s="20">
        <v>5000</v>
      </c>
      <c r="G636" s="24" t="s">
        <v>7091</v>
      </c>
      <c r="H636" s="20">
        <f t="shared" si="39"/>
        <v>0</v>
      </c>
      <c r="I636" s="21">
        <v>195</v>
      </c>
      <c r="J636" s="21">
        <f t="shared" si="44"/>
        <v>0</v>
      </c>
    </row>
    <row r="637" spans="1:10" x14ac:dyDescent="0.3">
      <c r="A637" s="2" t="s">
        <v>630</v>
      </c>
      <c r="B637" s="1" t="s">
        <v>2152</v>
      </c>
      <c r="C637" s="6" t="s">
        <v>2777</v>
      </c>
      <c r="D637" s="6" t="s">
        <v>4943</v>
      </c>
      <c r="E637" s="20">
        <f t="shared" si="38"/>
        <v>0</v>
      </c>
      <c r="F637" s="20">
        <v>10</v>
      </c>
      <c r="G637" s="24" t="s">
        <v>7092</v>
      </c>
      <c r="H637" s="20">
        <f t="shared" si="39"/>
        <v>0</v>
      </c>
      <c r="I637" s="21">
        <v>9</v>
      </c>
      <c r="J637" s="21">
        <f t="shared" si="44"/>
        <v>0</v>
      </c>
    </row>
    <row r="638" spans="1:10" x14ac:dyDescent="0.3">
      <c r="A638" s="2" t="s">
        <v>631</v>
      </c>
      <c r="B638" s="1" t="s">
        <v>2152</v>
      </c>
      <c r="C638" s="6" t="s">
        <v>2778</v>
      </c>
      <c r="D638" s="6" t="s">
        <v>4944</v>
      </c>
      <c r="E638" s="20">
        <f t="shared" si="38"/>
        <v>0</v>
      </c>
      <c r="F638" s="20">
        <v>75</v>
      </c>
      <c r="G638" s="24" t="s">
        <v>7093</v>
      </c>
      <c r="H638" s="20">
        <f t="shared" si="39"/>
        <v>0</v>
      </c>
      <c r="I638" s="21">
        <v>45</v>
      </c>
      <c r="J638" s="21">
        <f t="shared" si="44"/>
        <v>0</v>
      </c>
    </row>
    <row r="639" spans="1:10" x14ac:dyDescent="0.3">
      <c r="A639" s="2" t="s">
        <v>632</v>
      </c>
      <c r="B639" s="1" t="s">
        <v>2152</v>
      </c>
      <c r="C639" s="6" t="s">
        <v>2779</v>
      </c>
      <c r="D639" s="6" t="s">
        <v>4945</v>
      </c>
      <c r="E639" s="20">
        <f t="shared" si="38"/>
        <v>0</v>
      </c>
      <c r="F639" s="20">
        <v>371</v>
      </c>
      <c r="G639" s="24" t="s">
        <v>7094</v>
      </c>
      <c r="H639" s="20">
        <f t="shared" si="39"/>
        <v>0</v>
      </c>
      <c r="I639" s="21">
        <v>18</v>
      </c>
      <c r="J639" s="21">
        <f t="shared" si="44"/>
        <v>0</v>
      </c>
    </row>
    <row r="640" spans="1:10" ht="55.2" x14ac:dyDescent="0.3">
      <c r="A640" s="2" t="s">
        <v>633</v>
      </c>
      <c r="B640" s="1" t="s">
        <v>2152</v>
      </c>
      <c r="C640" s="6" t="s">
        <v>2780</v>
      </c>
      <c r="D640" s="6" t="s">
        <v>4946</v>
      </c>
      <c r="E640" s="20">
        <f t="shared" si="38"/>
        <v>0</v>
      </c>
      <c r="F640" s="20">
        <f>'[25]BENZİN MOTORLU KAROT MAKİNASI'!$H$36</f>
        <v>30849</v>
      </c>
      <c r="G640" s="24" t="s">
        <v>7095</v>
      </c>
      <c r="H640" s="20">
        <f t="shared" si="39"/>
        <v>0</v>
      </c>
      <c r="I640" s="21">
        <v>2187</v>
      </c>
      <c r="J640" s="21">
        <f>X640</f>
        <v>0</v>
      </c>
    </row>
    <row r="641" spans="1:10" ht="82.8" x14ac:dyDescent="0.3">
      <c r="A641" s="2" t="s">
        <v>634</v>
      </c>
      <c r="B641" s="1" t="s">
        <v>2152</v>
      </c>
      <c r="C641" s="6" t="s">
        <v>2781</v>
      </c>
      <c r="D641" s="6" t="s">
        <v>4947</v>
      </c>
      <c r="E641" s="20">
        <f t="shared" si="38"/>
        <v>0</v>
      </c>
      <c r="F641" s="20">
        <f>'[25]RÖMORKLU GÖVDE'!$H$49</f>
        <v>49270.30000000001</v>
      </c>
      <c r="G641" s="24" t="s">
        <v>7096</v>
      </c>
      <c r="H641" s="20">
        <f t="shared" si="39"/>
        <v>0</v>
      </c>
      <c r="I641" s="21">
        <v>3250</v>
      </c>
      <c r="J641" s="21">
        <f t="shared" ref="J641:J646" si="45">X641</f>
        <v>0</v>
      </c>
    </row>
    <row r="642" spans="1:10" x14ac:dyDescent="0.3">
      <c r="A642" s="2" t="s">
        <v>635</v>
      </c>
      <c r="B642" s="1" t="s">
        <v>2152</v>
      </c>
      <c r="C642" s="6" t="s">
        <v>2782</v>
      </c>
      <c r="D642" s="6" t="s">
        <v>4948</v>
      </c>
      <c r="E642" s="20">
        <f t="shared" si="38"/>
        <v>0</v>
      </c>
      <c r="F642" s="20">
        <v>1607</v>
      </c>
      <c r="G642" s="24" t="s">
        <v>7097</v>
      </c>
      <c r="H642" s="20">
        <f t="shared" si="39"/>
        <v>0</v>
      </c>
      <c r="I642" s="21">
        <v>150</v>
      </c>
      <c r="J642" s="21">
        <f t="shared" si="45"/>
        <v>0</v>
      </c>
    </row>
    <row r="643" spans="1:10" x14ac:dyDescent="0.3">
      <c r="A643" s="2" t="s">
        <v>636</v>
      </c>
      <c r="B643" s="1" t="s">
        <v>2152</v>
      </c>
      <c r="C643" s="6" t="s">
        <v>2783</v>
      </c>
      <c r="D643" s="6" t="s">
        <v>4949</v>
      </c>
      <c r="E643" s="20">
        <f t="shared" si="38"/>
        <v>0</v>
      </c>
      <c r="F643" s="20">
        <v>1862</v>
      </c>
      <c r="G643" s="24" t="s">
        <v>7098</v>
      </c>
      <c r="H643" s="20">
        <f t="shared" si="39"/>
        <v>0</v>
      </c>
      <c r="I643" s="21">
        <v>165</v>
      </c>
      <c r="J643" s="21">
        <f t="shared" si="45"/>
        <v>0</v>
      </c>
    </row>
    <row r="644" spans="1:10" x14ac:dyDescent="0.3">
      <c r="A644" s="2" t="s">
        <v>637</v>
      </c>
      <c r="B644" s="1" t="s">
        <v>2152</v>
      </c>
      <c r="C644" s="6" t="s">
        <v>2784</v>
      </c>
      <c r="D644" s="6" t="s">
        <v>4950</v>
      </c>
      <c r="E644" s="20">
        <f t="shared" si="38"/>
        <v>0</v>
      </c>
      <c r="F644" s="20">
        <v>2665</v>
      </c>
      <c r="G644" s="24" t="s">
        <v>7099</v>
      </c>
      <c r="H644" s="20">
        <f t="shared" si="39"/>
        <v>0</v>
      </c>
      <c r="I644" s="21">
        <v>180</v>
      </c>
      <c r="J644" s="21">
        <f t="shared" si="45"/>
        <v>0</v>
      </c>
    </row>
    <row r="645" spans="1:10" x14ac:dyDescent="0.3">
      <c r="A645" s="2" t="s">
        <v>638</v>
      </c>
      <c r="B645" s="1" t="s">
        <v>2152</v>
      </c>
      <c r="C645" s="6" t="s">
        <v>2785</v>
      </c>
      <c r="D645" s="6" t="s">
        <v>4951</v>
      </c>
      <c r="E645" s="20">
        <f t="shared" ref="E645:E708" si="46">H645*1.8*1.4</f>
        <v>0</v>
      </c>
      <c r="F645" s="20">
        <v>3900</v>
      </c>
      <c r="G645" s="24" t="s">
        <v>7100</v>
      </c>
      <c r="H645" s="20">
        <f t="shared" ref="H645:H708" si="47">K645*1.8*1.4</f>
        <v>0</v>
      </c>
      <c r="I645" s="21">
        <v>249</v>
      </c>
      <c r="J645" s="21">
        <f t="shared" si="45"/>
        <v>0</v>
      </c>
    </row>
    <row r="646" spans="1:10" x14ac:dyDescent="0.3">
      <c r="A646" s="2" t="s">
        <v>639</v>
      </c>
      <c r="B646" s="1" t="s">
        <v>2152</v>
      </c>
      <c r="C646" s="6" t="s">
        <v>2786</v>
      </c>
      <c r="D646" s="6" t="s">
        <v>4952</v>
      </c>
      <c r="E646" s="20">
        <f t="shared" si="46"/>
        <v>0</v>
      </c>
      <c r="F646" s="20">
        <v>5965</v>
      </c>
      <c r="G646" s="24" t="s">
        <v>7101</v>
      </c>
      <c r="H646" s="20">
        <f t="shared" si="47"/>
        <v>0</v>
      </c>
      <c r="I646" s="21">
        <v>330</v>
      </c>
      <c r="J646" s="21">
        <f t="shared" si="45"/>
        <v>0</v>
      </c>
    </row>
    <row r="647" spans="1:10" ht="69" x14ac:dyDescent="0.3">
      <c r="A647" s="2" t="s">
        <v>640</v>
      </c>
      <c r="B647" s="1" t="s">
        <v>2152</v>
      </c>
      <c r="C647" s="6" t="s">
        <v>2787</v>
      </c>
      <c r="D647" s="6" t="s">
        <v>4953</v>
      </c>
      <c r="E647" s="20">
        <f t="shared" si="46"/>
        <v>0</v>
      </c>
      <c r="F647" s="20">
        <v>35000</v>
      </c>
      <c r="G647" s="24" t="s">
        <v>7102</v>
      </c>
      <c r="H647" s="20">
        <f t="shared" si="47"/>
        <v>0</v>
      </c>
      <c r="I647" s="21">
        <v>2100</v>
      </c>
      <c r="J647" s="21">
        <v>2000</v>
      </c>
    </row>
    <row r="648" spans="1:10" x14ac:dyDescent="0.3">
      <c r="A648" s="2" t="s">
        <v>641</v>
      </c>
      <c r="B648" s="1" t="s">
        <v>2152</v>
      </c>
      <c r="C648" s="6" t="s">
        <v>2788</v>
      </c>
      <c r="D648" s="6" t="s">
        <v>4954</v>
      </c>
      <c r="E648" s="20">
        <f t="shared" si="46"/>
        <v>0</v>
      </c>
      <c r="F648" s="20">
        <v>3000</v>
      </c>
      <c r="G648" s="24" t="s">
        <v>7103</v>
      </c>
      <c r="H648" s="20">
        <f t="shared" si="47"/>
        <v>0</v>
      </c>
      <c r="I648" s="21">
        <v>180</v>
      </c>
      <c r="J648" s="21">
        <f>X648</f>
        <v>0</v>
      </c>
    </row>
    <row r="649" spans="1:10" x14ac:dyDescent="0.3">
      <c r="A649" s="2" t="s">
        <v>642</v>
      </c>
      <c r="B649" s="1" t="s">
        <v>2152</v>
      </c>
      <c r="C649" s="6" t="s">
        <v>2789</v>
      </c>
      <c r="D649" s="6" t="s">
        <v>4955</v>
      </c>
      <c r="E649" s="20">
        <f t="shared" si="46"/>
        <v>0</v>
      </c>
      <c r="F649" s="20">
        <v>2000</v>
      </c>
      <c r="G649" s="24" t="s">
        <v>7104</v>
      </c>
      <c r="H649" s="20">
        <f t="shared" si="47"/>
        <v>0</v>
      </c>
      <c r="I649" s="21">
        <v>165</v>
      </c>
      <c r="J649" s="21">
        <f>X649</f>
        <v>0</v>
      </c>
    </row>
    <row r="650" spans="1:10" ht="27.6" x14ac:dyDescent="0.3">
      <c r="A650" s="2" t="s">
        <v>643</v>
      </c>
      <c r="B650" s="1" t="s">
        <v>2152</v>
      </c>
      <c r="C650" s="6" t="s">
        <v>2790</v>
      </c>
      <c r="D650" s="6" t="s">
        <v>4956</v>
      </c>
      <c r="E650" s="20">
        <f t="shared" si="46"/>
        <v>0</v>
      </c>
      <c r="F650" s="20">
        <v>2000</v>
      </c>
      <c r="G650" s="24" t="s">
        <v>7105</v>
      </c>
      <c r="H650" s="20">
        <f t="shared" si="47"/>
        <v>0</v>
      </c>
      <c r="I650" s="21">
        <v>420</v>
      </c>
      <c r="J650" s="21">
        <f>X650</f>
        <v>0</v>
      </c>
    </row>
    <row r="651" spans="1:10" ht="69" x14ac:dyDescent="0.3">
      <c r="A651" s="2" t="s">
        <v>644</v>
      </c>
      <c r="B651" s="1" t="s">
        <v>2152</v>
      </c>
      <c r="C651" s="6" t="s">
        <v>2791</v>
      </c>
      <c r="D651" s="6" t="s">
        <v>4957</v>
      </c>
      <c r="E651" s="20">
        <f t="shared" si="46"/>
        <v>0</v>
      </c>
      <c r="F651" s="20">
        <v>45000</v>
      </c>
      <c r="G651" s="24" t="s">
        <v>7106</v>
      </c>
      <c r="H651" s="20">
        <f t="shared" si="47"/>
        <v>0</v>
      </c>
      <c r="I651" s="21">
        <v>2670</v>
      </c>
      <c r="J651" s="21">
        <v>4200</v>
      </c>
    </row>
    <row r="652" spans="1:10" x14ac:dyDescent="0.3">
      <c r="A652" s="2" t="s">
        <v>645</v>
      </c>
      <c r="B652" s="1" t="s">
        <v>2152</v>
      </c>
      <c r="C652" s="6" t="s">
        <v>2792</v>
      </c>
      <c r="D652" s="6" t="s">
        <v>4958</v>
      </c>
      <c r="E652" s="20">
        <f t="shared" si="46"/>
        <v>0</v>
      </c>
      <c r="F652" s="20">
        <v>5500</v>
      </c>
      <c r="G652" s="24" t="s">
        <v>7107</v>
      </c>
      <c r="H652" s="20">
        <f t="shared" si="47"/>
        <v>0</v>
      </c>
      <c r="I652" s="21">
        <v>320</v>
      </c>
      <c r="J652" s="21">
        <f>X652</f>
        <v>0</v>
      </c>
    </row>
    <row r="653" spans="1:10" x14ac:dyDescent="0.3">
      <c r="A653" s="2" t="s">
        <v>646</v>
      </c>
      <c r="B653" s="1" t="s">
        <v>2152</v>
      </c>
      <c r="C653" s="6" t="s">
        <v>2789</v>
      </c>
      <c r="D653" s="6" t="s">
        <v>4959</v>
      </c>
      <c r="E653" s="20">
        <f t="shared" si="46"/>
        <v>0</v>
      </c>
      <c r="F653" s="20">
        <v>3500</v>
      </c>
      <c r="G653" s="24" t="s">
        <v>7108</v>
      </c>
      <c r="H653" s="20">
        <f t="shared" si="47"/>
        <v>0</v>
      </c>
      <c r="I653" s="21">
        <v>320</v>
      </c>
      <c r="J653" s="21">
        <v>300</v>
      </c>
    </row>
    <row r="654" spans="1:10" ht="27.6" x14ac:dyDescent="0.3">
      <c r="A654" s="2" t="s">
        <v>647</v>
      </c>
      <c r="B654" s="1" t="s">
        <v>2152</v>
      </c>
      <c r="C654" s="6" t="s">
        <v>2793</v>
      </c>
      <c r="D654" s="6" t="s">
        <v>4960</v>
      </c>
      <c r="E654" s="20">
        <f t="shared" si="46"/>
        <v>0</v>
      </c>
      <c r="F654" s="20">
        <v>6000</v>
      </c>
      <c r="G654" s="24" t="s">
        <v>7109</v>
      </c>
      <c r="H654" s="20">
        <f t="shared" si="47"/>
        <v>0</v>
      </c>
      <c r="I654" s="21">
        <v>630</v>
      </c>
      <c r="J654" s="21">
        <f>X654</f>
        <v>0</v>
      </c>
    </row>
    <row r="655" spans="1:10" ht="69" x14ac:dyDescent="0.3">
      <c r="A655" s="2" t="s">
        <v>648</v>
      </c>
      <c r="B655" s="1" t="s">
        <v>2152</v>
      </c>
      <c r="C655" s="6" t="s">
        <v>2794</v>
      </c>
      <c r="D655" s="6" t="s">
        <v>4961</v>
      </c>
      <c r="E655" s="20">
        <f t="shared" si="46"/>
        <v>0</v>
      </c>
      <c r="F655" s="20">
        <v>55000</v>
      </c>
      <c r="G655" s="24" t="s">
        <v>7110</v>
      </c>
      <c r="H655" s="20">
        <f t="shared" si="47"/>
        <v>0</v>
      </c>
      <c r="I655" s="21">
        <v>7500</v>
      </c>
      <c r="J655" s="21">
        <v>7000</v>
      </c>
    </row>
    <row r="656" spans="1:10" x14ac:dyDescent="0.3">
      <c r="A656" s="2" t="s">
        <v>649</v>
      </c>
      <c r="B656" s="1" t="s">
        <v>2152</v>
      </c>
      <c r="C656" s="6" t="s">
        <v>2795</v>
      </c>
      <c r="D656" s="6" t="s">
        <v>4962</v>
      </c>
      <c r="E656" s="20">
        <f t="shared" si="46"/>
        <v>0</v>
      </c>
      <c r="F656" s="20"/>
      <c r="G656" s="24" t="s">
        <v>7111</v>
      </c>
      <c r="H656" s="20">
        <f t="shared" si="47"/>
        <v>0</v>
      </c>
      <c r="I656" s="21">
        <f>W656</f>
        <v>0</v>
      </c>
      <c r="J656" s="21">
        <f>X656</f>
        <v>0</v>
      </c>
    </row>
    <row r="657" spans="1:10" x14ac:dyDescent="0.3">
      <c r="A657" s="2" t="s">
        <v>650</v>
      </c>
      <c r="B657" s="1" t="s">
        <v>2152</v>
      </c>
      <c r="C657" s="6" t="s">
        <v>2789</v>
      </c>
      <c r="D657" s="6" t="s">
        <v>4963</v>
      </c>
      <c r="E657" s="20">
        <f t="shared" si="46"/>
        <v>0</v>
      </c>
      <c r="F657" s="20">
        <v>1000</v>
      </c>
      <c r="G657" s="24" t="s">
        <v>7112</v>
      </c>
      <c r="H657" s="20">
        <f t="shared" si="47"/>
        <v>0</v>
      </c>
      <c r="I657" s="21">
        <v>350</v>
      </c>
      <c r="J657" s="21">
        <v>320</v>
      </c>
    </row>
    <row r="658" spans="1:10" ht="27.6" x14ac:dyDescent="0.3">
      <c r="A658" s="2" t="s">
        <v>651</v>
      </c>
      <c r="B658" s="1" t="s">
        <v>2152</v>
      </c>
      <c r="C658" s="6" t="s">
        <v>2796</v>
      </c>
      <c r="D658" s="6" t="s">
        <v>4964</v>
      </c>
      <c r="E658" s="20">
        <f t="shared" si="46"/>
        <v>0</v>
      </c>
      <c r="F658" s="20"/>
      <c r="G658" s="24" t="s">
        <v>7113</v>
      </c>
      <c r="H658" s="20">
        <f t="shared" si="47"/>
        <v>0</v>
      </c>
      <c r="I658" s="21">
        <f>W658</f>
        <v>0</v>
      </c>
      <c r="J658" s="21">
        <f t="shared" ref="J658:J678" si="48">X658</f>
        <v>0</v>
      </c>
    </row>
    <row r="659" spans="1:10" ht="96.6" x14ac:dyDescent="0.3">
      <c r="A659" s="2" t="s">
        <v>652</v>
      </c>
      <c r="B659" s="1" t="s">
        <v>2152</v>
      </c>
      <c r="C659" s="6" t="s">
        <v>2797</v>
      </c>
      <c r="D659" s="6" t="s">
        <v>4965</v>
      </c>
      <c r="E659" s="20">
        <f t="shared" si="46"/>
        <v>0</v>
      </c>
      <c r="F659" s="20">
        <f>'[26]MANUEL MARSHALL TOKMAK'!$L$2</f>
        <v>2750</v>
      </c>
      <c r="G659" s="24" t="s">
        <v>7114</v>
      </c>
      <c r="H659" s="20">
        <f t="shared" si="47"/>
        <v>0</v>
      </c>
      <c r="I659" s="21">
        <v>750</v>
      </c>
      <c r="J659" s="21">
        <f t="shared" si="48"/>
        <v>0</v>
      </c>
    </row>
    <row r="660" spans="1:10" x14ac:dyDescent="0.3">
      <c r="A660" s="2" t="s">
        <v>653</v>
      </c>
      <c r="B660" s="1" t="s">
        <v>2152</v>
      </c>
      <c r="C660" s="6" t="s">
        <v>2798</v>
      </c>
      <c r="D660" s="6" t="s">
        <v>4966</v>
      </c>
      <c r="E660" s="20">
        <f t="shared" si="46"/>
        <v>0</v>
      </c>
      <c r="F660" s="20"/>
      <c r="G660" s="24" t="s">
        <v>7115</v>
      </c>
      <c r="H660" s="20">
        <f t="shared" si="47"/>
        <v>0</v>
      </c>
      <c r="I660" s="21">
        <v>290</v>
      </c>
      <c r="J660" s="21">
        <f t="shared" si="48"/>
        <v>0</v>
      </c>
    </row>
    <row r="661" spans="1:10" x14ac:dyDescent="0.3">
      <c r="A661" s="2" t="s">
        <v>654</v>
      </c>
      <c r="B661" s="1" t="s">
        <v>2152</v>
      </c>
      <c r="C661" s="6" t="s">
        <v>2799</v>
      </c>
      <c r="D661" s="6" t="s">
        <v>4967</v>
      </c>
      <c r="E661" s="20">
        <f t="shared" si="46"/>
        <v>0</v>
      </c>
      <c r="F661" s="20"/>
      <c r="G661" s="24" t="s">
        <v>7116</v>
      </c>
      <c r="H661" s="20">
        <f t="shared" si="47"/>
        <v>0</v>
      </c>
      <c r="I661" s="21">
        <v>150</v>
      </c>
      <c r="J661" s="21">
        <f t="shared" si="48"/>
        <v>0</v>
      </c>
    </row>
    <row r="662" spans="1:10" ht="82.8" x14ac:dyDescent="0.3">
      <c r="A662" s="3" t="s">
        <v>655</v>
      </c>
      <c r="B662" s="1" t="s">
        <v>2152</v>
      </c>
      <c r="C662" s="6" t="s">
        <v>2800</v>
      </c>
      <c r="D662" s="6" t="s">
        <v>4968</v>
      </c>
      <c r="E662" s="20">
        <f t="shared" si="46"/>
        <v>0</v>
      </c>
      <c r="F662" s="20">
        <v>60000</v>
      </c>
      <c r="G662" s="24" t="s">
        <v>7117</v>
      </c>
      <c r="H662" s="20">
        <f t="shared" si="47"/>
        <v>0</v>
      </c>
      <c r="I662" s="21">
        <v>2109</v>
      </c>
      <c r="J662" s="21">
        <f t="shared" si="48"/>
        <v>0</v>
      </c>
    </row>
    <row r="663" spans="1:10" ht="82.8" x14ac:dyDescent="0.3">
      <c r="A663" s="2" t="s">
        <v>656</v>
      </c>
      <c r="B663" s="1" t="s">
        <v>2152</v>
      </c>
      <c r="C663" s="6" t="s">
        <v>2801</v>
      </c>
      <c r="D663" s="6" t="s">
        <v>4969</v>
      </c>
      <c r="E663" s="20">
        <f t="shared" si="46"/>
        <v>0</v>
      </c>
      <c r="F663" s="20">
        <v>60000</v>
      </c>
      <c r="G663" s="24" t="s">
        <v>7118</v>
      </c>
      <c r="H663" s="20">
        <f t="shared" si="47"/>
        <v>0</v>
      </c>
      <c r="I663" s="21">
        <v>2109</v>
      </c>
      <c r="J663" s="21">
        <f t="shared" si="48"/>
        <v>0</v>
      </c>
    </row>
    <row r="664" spans="1:10" ht="55.2" x14ac:dyDescent="0.3">
      <c r="A664" s="2" t="s">
        <v>657</v>
      </c>
      <c r="B664" s="1" t="s">
        <v>2152</v>
      </c>
      <c r="C664" s="6" t="s">
        <v>2802</v>
      </c>
      <c r="D664" s="6" t="s">
        <v>4970</v>
      </c>
      <c r="E664" s="20">
        <f t="shared" si="46"/>
        <v>0</v>
      </c>
      <c r="F664" s="20">
        <f>'[27]MARSHALL KALIP'!$L$3</f>
        <v>852</v>
      </c>
      <c r="G664" s="24" t="s">
        <v>7119</v>
      </c>
      <c r="H664" s="20">
        <f t="shared" si="47"/>
        <v>0</v>
      </c>
      <c r="I664" s="21">
        <v>65</v>
      </c>
      <c r="J664" s="21">
        <f t="shared" si="48"/>
        <v>0</v>
      </c>
    </row>
    <row r="665" spans="1:10" x14ac:dyDescent="0.3">
      <c r="A665" s="2" t="s">
        <v>658</v>
      </c>
      <c r="B665" s="1" t="s">
        <v>2152</v>
      </c>
      <c r="C665" s="6" t="s">
        <v>2803</v>
      </c>
      <c r="D665" s="6" t="s">
        <v>4971</v>
      </c>
      <c r="E665" s="20">
        <f t="shared" si="46"/>
        <v>0</v>
      </c>
      <c r="F665" s="20"/>
      <c r="G665" s="24" t="s">
        <v>7120</v>
      </c>
      <c r="H665" s="20">
        <f t="shared" si="47"/>
        <v>0</v>
      </c>
      <c r="I665" s="21">
        <v>28</v>
      </c>
      <c r="J665" s="21">
        <f t="shared" si="48"/>
        <v>0</v>
      </c>
    </row>
    <row r="666" spans="1:10" x14ac:dyDescent="0.3">
      <c r="A666" s="2" t="s">
        <v>659</v>
      </c>
      <c r="B666" s="1" t="s">
        <v>2152</v>
      </c>
      <c r="C666" s="6" t="s">
        <v>2804</v>
      </c>
      <c r="D666" s="6" t="s">
        <v>4972</v>
      </c>
      <c r="E666" s="20">
        <f t="shared" si="46"/>
        <v>0</v>
      </c>
      <c r="F666" s="20"/>
      <c r="G666" s="24" t="s">
        <v>7121</v>
      </c>
      <c r="H666" s="20">
        <f t="shared" si="47"/>
        <v>0</v>
      </c>
      <c r="I666" s="21">
        <v>20</v>
      </c>
      <c r="J666" s="21">
        <f t="shared" si="48"/>
        <v>0</v>
      </c>
    </row>
    <row r="667" spans="1:10" x14ac:dyDescent="0.3">
      <c r="A667" s="2" t="s">
        <v>660</v>
      </c>
      <c r="B667" s="1" t="s">
        <v>2152</v>
      </c>
      <c r="C667" s="6" t="s">
        <v>2805</v>
      </c>
      <c r="D667" s="6" t="s">
        <v>4973</v>
      </c>
      <c r="E667" s="20">
        <f t="shared" si="46"/>
        <v>0</v>
      </c>
      <c r="F667" s="20"/>
      <c r="G667" s="24" t="s">
        <v>7122</v>
      </c>
      <c r="H667" s="20">
        <f t="shared" si="47"/>
        <v>0</v>
      </c>
      <c r="I667" s="21">
        <v>17</v>
      </c>
      <c r="J667" s="21">
        <f t="shared" si="48"/>
        <v>0</v>
      </c>
    </row>
    <row r="668" spans="1:10" ht="55.2" x14ac:dyDescent="0.3">
      <c r="A668" s="2" t="s">
        <v>661</v>
      </c>
      <c r="B668" s="1" t="s">
        <v>2152</v>
      </c>
      <c r="C668" s="6" t="s">
        <v>2806</v>
      </c>
      <c r="D668" s="6" t="s">
        <v>4974</v>
      </c>
      <c r="E668" s="20">
        <f t="shared" si="46"/>
        <v>0</v>
      </c>
      <c r="F668" s="20">
        <f>'[28]MANUEL NUMUNE ÇIKARICI'!$L$3</f>
        <v>2970</v>
      </c>
      <c r="G668" s="24" t="s">
        <v>7123</v>
      </c>
      <c r="H668" s="20">
        <f t="shared" si="47"/>
        <v>0</v>
      </c>
      <c r="I668" s="21">
        <v>437</v>
      </c>
      <c r="J668" s="21">
        <f t="shared" si="48"/>
        <v>0</v>
      </c>
    </row>
    <row r="669" spans="1:10" ht="138" x14ac:dyDescent="0.3">
      <c r="A669" s="2" t="s">
        <v>662</v>
      </c>
      <c r="B669" s="1" t="s">
        <v>2152</v>
      </c>
      <c r="C669" s="6" t="s">
        <v>2807</v>
      </c>
      <c r="D669" s="6" t="s">
        <v>4975</v>
      </c>
      <c r="E669" s="20">
        <f t="shared" si="46"/>
        <v>0</v>
      </c>
      <c r="F669" s="20">
        <f>'[29]MARSHALL STABİLİTE'!$L$2</f>
        <v>54801</v>
      </c>
      <c r="G669" s="24" t="s">
        <v>7124</v>
      </c>
      <c r="H669" s="20">
        <f t="shared" si="47"/>
        <v>0</v>
      </c>
      <c r="I669" s="21">
        <v>3400</v>
      </c>
      <c r="J669" s="21">
        <f t="shared" si="48"/>
        <v>0</v>
      </c>
    </row>
    <row r="670" spans="1:10" x14ac:dyDescent="0.3">
      <c r="A670" s="2" t="s">
        <v>663</v>
      </c>
      <c r="B670" s="1" t="s">
        <v>2152</v>
      </c>
      <c r="C670" s="6" t="s">
        <v>2808</v>
      </c>
      <c r="D670" s="6" t="s">
        <v>4976</v>
      </c>
      <c r="E670" s="20">
        <f t="shared" si="46"/>
        <v>0</v>
      </c>
      <c r="F670" s="20"/>
      <c r="G670" s="24" t="s">
        <v>7125</v>
      </c>
      <c r="H670" s="20">
        <f t="shared" si="47"/>
        <v>0</v>
      </c>
      <c r="I670" s="21">
        <v>210</v>
      </c>
      <c r="J670" s="21">
        <f t="shared" si="48"/>
        <v>0</v>
      </c>
    </row>
    <row r="671" spans="1:10" x14ac:dyDescent="0.3">
      <c r="A671" s="2" t="s">
        <v>664</v>
      </c>
      <c r="B671" s="1" t="s">
        <v>2152</v>
      </c>
      <c r="C671" s="6" t="s">
        <v>2809</v>
      </c>
      <c r="D671" s="6" t="s">
        <v>4977</v>
      </c>
      <c r="E671" s="20">
        <f t="shared" si="46"/>
        <v>0</v>
      </c>
      <c r="F671" s="20"/>
      <c r="G671" s="24" t="s">
        <v>7126</v>
      </c>
      <c r="H671" s="20">
        <f t="shared" si="47"/>
        <v>0</v>
      </c>
      <c r="I671" s="21">
        <v>270</v>
      </c>
      <c r="J671" s="21">
        <f t="shared" si="48"/>
        <v>0</v>
      </c>
    </row>
    <row r="672" spans="1:10" x14ac:dyDescent="0.3">
      <c r="A672" s="2" t="s">
        <v>665</v>
      </c>
      <c r="B672" s="1" t="s">
        <v>2152</v>
      </c>
      <c r="C672" s="6" t="s">
        <v>2810</v>
      </c>
      <c r="D672" s="6" t="s">
        <v>4978</v>
      </c>
      <c r="E672" s="20">
        <f t="shared" si="46"/>
        <v>0</v>
      </c>
      <c r="F672" s="20"/>
      <c r="G672" s="24" t="s">
        <v>7127</v>
      </c>
      <c r="H672" s="20">
        <f t="shared" si="47"/>
        <v>0</v>
      </c>
      <c r="I672" s="21">
        <v>264</v>
      </c>
      <c r="J672" s="21">
        <f t="shared" si="48"/>
        <v>0</v>
      </c>
    </row>
    <row r="673" spans="1:10" x14ac:dyDescent="0.3">
      <c r="A673" s="2" t="s">
        <v>666</v>
      </c>
      <c r="B673" s="1" t="s">
        <v>2152</v>
      </c>
      <c r="C673" s="6" t="s">
        <v>2811</v>
      </c>
      <c r="D673" s="6" t="s">
        <v>4979</v>
      </c>
      <c r="E673" s="20">
        <f t="shared" si="46"/>
        <v>0</v>
      </c>
      <c r="F673" s="20">
        <v>2600</v>
      </c>
      <c r="G673" s="24" t="s">
        <v>7128</v>
      </c>
      <c r="H673" s="20">
        <f t="shared" si="47"/>
        <v>0</v>
      </c>
      <c r="I673" s="21">
        <v>324</v>
      </c>
      <c r="J673" s="21">
        <f t="shared" si="48"/>
        <v>0</v>
      </c>
    </row>
    <row r="674" spans="1:10" ht="27.6" x14ac:dyDescent="0.3">
      <c r="A674" s="2" t="s">
        <v>667</v>
      </c>
      <c r="B674" s="1" t="s">
        <v>2152</v>
      </c>
      <c r="C674" s="6" t="s">
        <v>2812</v>
      </c>
      <c r="D674" s="6" t="s">
        <v>4980</v>
      </c>
      <c r="E674" s="20">
        <f t="shared" si="46"/>
        <v>0</v>
      </c>
      <c r="F674" s="20"/>
      <c r="G674" s="24" t="s">
        <v>7129</v>
      </c>
      <c r="H674" s="20">
        <f t="shared" si="47"/>
        <v>0</v>
      </c>
      <c r="I674" s="21">
        <v>210</v>
      </c>
      <c r="J674" s="21">
        <f t="shared" si="48"/>
        <v>0</v>
      </c>
    </row>
    <row r="675" spans="1:10" ht="27.6" x14ac:dyDescent="0.3">
      <c r="A675" s="2" t="s">
        <v>668</v>
      </c>
      <c r="B675" s="1" t="s">
        <v>2152</v>
      </c>
      <c r="C675" s="6" t="s">
        <v>2813</v>
      </c>
      <c r="D675" s="6" t="s">
        <v>4981</v>
      </c>
      <c r="E675" s="20">
        <f t="shared" si="46"/>
        <v>0</v>
      </c>
      <c r="F675" s="20"/>
      <c r="G675" s="24" t="s">
        <v>7130</v>
      </c>
      <c r="H675" s="20">
        <f t="shared" si="47"/>
        <v>0</v>
      </c>
      <c r="I675" s="21">
        <v>260</v>
      </c>
      <c r="J675" s="21">
        <f t="shared" si="48"/>
        <v>0</v>
      </c>
    </row>
    <row r="676" spans="1:10" x14ac:dyDescent="0.3">
      <c r="A676" s="2" t="s">
        <v>669</v>
      </c>
      <c r="B676" s="1" t="s">
        <v>2152</v>
      </c>
      <c r="C676" s="6" t="s">
        <v>2814</v>
      </c>
      <c r="D676" s="6" t="s">
        <v>4982</v>
      </c>
      <c r="E676" s="20">
        <f t="shared" si="46"/>
        <v>0</v>
      </c>
      <c r="F676" s="20"/>
      <c r="G676" s="24" t="s">
        <v>7131</v>
      </c>
      <c r="H676" s="20">
        <f t="shared" si="47"/>
        <v>0</v>
      </c>
      <c r="I676" s="21">
        <v>35</v>
      </c>
      <c r="J676" s="21">
        <f t="shared" si="48"/>
        <v>0</v>
      </c>
    </row>
    <row r="677" spans="1:10" x14ac:dyDescent="0.3">
      <c r="A677" s="2" t="s">
        <v>670</v>
      </c>
      <c r="B677" s="1" t="s">
        <v>2152</v>
      </c>
      <c r="C677" s="6" t="s">
        <v>2815</v>
      </c>
      <c r="D677" s="6" t="s">
        <v>4983</v>
      </c>
      <c r="E677" s="20">
        <f t="shared" si="46"/>
        <v>0</v>
      </c>
      <c r="F677" s="20"/>
      <c r="G677" s="24" t="s">
        <v>7132</v>
      </c>
      <c r="H677" s="20">
        <f t="shared" si="47"/>
        <v>0</v>
      </c>
      <c r="I677" s="21">
        <v>61</v>
      </c>
      <c r="J677" s="21">
        <f t="shared" si="48"/>
        <v>0</v>
      </c>
    </row>
    <row r="678" spans="1:10" ht="27.6" x14ac:dyDescent="0.3">
      <c r="A678" s="2" t="s">
        <v>671</v>
      </c>
      <c r="B678" s="1" t="s">
        <v>2152</v>
      </c>
      <c r="C678" s="6" t="s">
        <v>2816</v>
      </c>
      <c r="D678" s="6" t="s">
        <v>4984</v>
      </c>
      <c r="E678" s="20">
        <f t="shared" si="46"/>
        <v>0</v>
      </c>
      <c r="F678" s="20">
        <v>1000</v>
      </c>
      <c r="G678" s="24" t="s">
        <v>7133</v>
      </c>
      <c r="H678" s="20">
        <f t="shared" si="47"/>
        <v>0</v>
      </c>
      <c r="I678" s="21">
        <v>550</v>
      </c>
      <c r="J678" s="21">
        <f t="shared" si="48"/>
        <v>0</v>
      </c>
    </row>
    <row r="679" spans="1:10" ht="82.8" x14ac:dyDescent="0.3">
      <c r="A679" s="2" t="s">
        <v>672</v>
      </c>
      <c r="B679" s="1" t="s">
        <v>2152</v>
      </c>
      <c r="C679" s="6" t="s">
        <v>2817</v>
      </c>
      <c r="D679" s="6" t="s">
        <v>4985</v>
      </c>
      <c r="E679" s="20">
        <f t="shared" si="46"/>
        <v>0</v>
      </c>
      <c r="F679" s="20">
        <v>2500</v>
      </c>
      <c r="G679" s="24" t="s">
        <v>7134</v>
      </c>
      <c r="H679" s="20">
        <f t="shared" si="47"/>
        <v>0</v>
      </c>
      <c r="I679" s="21">
        <v>1800</v>
      </c>
      <c r="J679" s="21">
        <f>X679</f>
        <v>0</v>
      </c>
    </row>
    <row r="680" spans="1:10" x14ac:dyDescent="0.3">
      <c r="A680" s="2" t="s">
        <v>673</v>
      </c>
      <c r="B680" s="1" t="s">
        <v>2152</v>
      </c>
      <c r="C680" s="6" t="s">
        <v>2818</v>
      </c>
      <c r="D680" s="6" t="s">
        <v>4986</v>
      </c>
      <c r="E680" s="20">
        <f t="shared" si="46"/>
        <v>0</v>
      </c>
      <c r="F680" s="20"/>
      <c r="G680" s="24" t="s">
        <v>7135</v>
      </c>
      <c r="H680" s="20">
        <f t="shared" si="47"/>
        <v>0</v>
      </c>
      <c r="I680" s="21">
        <f>W680</f>
        <v>0</v>
      </c>
      <c r="J680" s="21">
        <f>X680</f>
        <v>0</v>
      </c>
    </row>
    <row r="681" spans="1:10" x14ac:dyDescent="0.3">
      <c r="A681" s="2" t="s">
        <v>674</v>
      </c>
      <c r="B681" s="1" t="s">
        <v>2152</v>
      </c>
      <c r="C681" s="6" t="s">
        <v>2819</v>
      </c>
      <c r="D681" s="6" t="s">
        <v>4987</v>
      </c>
      <c r="E681" s="20">
        <f t="shared" si="46"/>
        <v>0</v>
      </c>
      <c r="F681" s="20"/>
      <c r="G681" s="24" t="s">
        <v>7136</v>
      </c>
      <c r="H681" s="20">
        <f t="shared" si="47"/>
        <v>0</v>
      </c>
      <c r="I681" s="21">
        <f>W681</f>
        <v>0</v>
      </c>
      <c r="J681" s="21">
        <f>X681</f>
        <v>0</v>
      </c>
    </row>
    <row r="682" spans="1:10" x14ac:dyDescent="0.3">
      <c r="A682" s="2" t="s">
        <v>675</v>
      </c>
      <c r="B682" s="1" t="s">
        <v>2152</v>
      </c>
      <c r="C682" s="6" t="s">
        <v>2820</v>
      </c>
      <c r="D682" s="6" t="s">
        <v>4988</v>
      </c>
      <c r="E682" s="20">
        <f t="shared" si="46"/>
        <v>0</v>
      </c>
      <c r="F682" s="20"/>
      <c r="G682" s="24" t="s">
        <v>7137</v>
      </c>
      <c r="H682" s="20">
        <f t="shared" si="47"/>
        <v>0</v>
      </c>
      <c r="I682" s="21">
        <f>W682</f>
        <v>0</v>
      </c>
      <c r="J682" s="21">
        <f>X682</f>
        <v>0</v>
      </c>
    </row>
    <row r="683" spans="1:10" ht="82.8" x14ac:dyDescent="0.3">
      <c r="A683" s="2" t="s">
        <v>676</v>
      </c>
      <c r="B683" s="1" t="s">
        <v>2152</v>
      </c>
      <c r="C683" s="6" t="s">
        <v>2821</v>
      </c>
      <c r="D683" s="6" t="s">
        <v>4989</v>
      </c>
      <c r="E683" s="20">
        <f t="shared" si="46"/>
        <v>0</v>
      </c>
      <c r="F683" s="20">
        <v>17800</v>
      </c>
      <c r="G683" s="24" t="s">
        <v>7138</v>
      </c>
      <c r="H683" s="20">
        <f t="shared" si="47"/>
        <v>0</v>
      </c>
      <c r="I683" s="21">
        <v>735</v>
      </c>
      <c r="J683" s="21">
        <f t="shared" ref="J683:J691" si="49">X683</f>
        <v>0</v>
      </c>
    </row>
    <row r="684" spans="1:10" x14ac:dyDescent="0.3">
      <c r="A684" s="2" t="s">
        <v>677</v>
      </c>
      <c r="B684" s="1" t="s">
        <v>2152</v>
      </c>
      <c r="C684" s="6" t="s">
        <v>2822</v>
      </c>
      <c r="D684" s="6" t="s">
        <v>4990</v>
      </c>
      <c r="E684" s="20">
        <f t="shared" si="46"/>
        <v>0</v>
      </c>
      <c r="F684" s="20">
        <v>35</v>
      </c>
      <c r="G684" s="24" t="s">
        <v>7139</v>
      </c>
      <c r="H684" s="20">
        <f t="shared" si="47"/>
        <v>0</v>
      </c>
      <c r="I684" s="21">
        <v>33</v>
      </c>
      <c r="J684" s="21">
        <f t="shared" si="49"/>
        <v>0</v>
      </c>
    </row>
    <row r="685" spans="1:10" x14ac:dyDescent="0.3">
      <c r="A685" s="2" t="s">
        <v>678</v>
      </c>
      <c r="B685" s="1" t="s">
        <v>2152</v>
      </c>
      <c r="C685" s="6" t="s">
        <v>2823</v>
      </c>
      <c r="D685" s="6" t="s">
        <v>4991</v>
      </c>
      <c r="E685" s="20">
        <f t="shared" si="46"/>
        <v>0</v>
      </c>
      <c r="F685" s="20">
        <v>40</v>
      </c>
      <c r="G685" s="24" t="s">
        <v>7140</v>
      </c>
      <c r="H685" s="20">
        <f t="shared" si="47"/>
        <v>0</v>
      </c>
      <c r="I685" s="21">
        <v>6.75</v>
      </c>
      <c r="J685" s="21">
        <f t="shared" si="49"/>
        <v>0</v>
      </c>
    </row>
    <row r="686" spans="1:10" ht="27.6" x14ac:dyDescent="0.3">
      <c r="A686" s="2" t="s">
        <v>679</v>
      </c>
      <c r="B686" s="1" t="s">
        <v>2152</v>
      </c>
      <c r="C686" s="6" t="s">
        <v>2824</v>
      </c>
      <c r="D686" s="6" t="s">
        <v>4992</v>
      </c>
      <c r="E686" s="20">
        <f t="shared" si="46"/>
        <v>0</v>
      </c>
      <c r="F686" s="20"/>
      <c r="G686" s="24" t="s">
        <v>7141</v>
      </c>
      <c r="H686" s="20">
        <f t="shared" si="47"/>
        <v>0</v>
      </c>
      <c r="I686" s="21">
        <v>129</v>
      </c>
      <c r="J686" s="21">
        <f t="shared" si="49"/>
        <v>0</v>
      </c>
    </row>
    <row r="687" spans="1:10" ht="27.6" x14ac:dyDescent="0.3">
      <c r="A687" s="2" t="s">
        <v>680</v>
      </c>
      <c r="B687" s="1" t="s">
        <v>2152</v>
      </c>
      <c r="C687" s="6" t="s">
        <v>2825</v>
      </c>
      <c r="D687" s="6" t="s">
        <v>4993</v>
      </c>
      <c r="E687" s="20">
        <f t="shared" si="46"/>
        <v>0</v>
      </c>
      <c r="F687" s="20"/>
      <c r="G687" s="24" t="s">
        <v>7142</v>
      </c>
      <c r="H687" s="20">
        <f t="shared" si="47"/>
        <v>0</v>
      </c>
      <c r="I687" s="21">
        <v>129</v>
      </c>
      <c r="J687" s="21">
        <f t="shared" si="49"/>
        <v>0</v>
      </c>
    </row>
    <row r="688" spans="1:10" ht="27.6" x14ac:dyDescent="0.3">
      <c r="A688" s="2" t="s">
        <v>681</v>
      </c>
      <c r="B688" s="1" t="s">
        <v>2152</v>
      </c>
      <c r="C688" s="6" t="s">
        <v>2826</v>
      </c>
      <c r="D688" s="6" t="s">
        <v>4994</v>
      </c>
      <c r="E688" s="20">
        <f t="shared" si="46"/>
        <v>0</v>
      </c>
      <c r="F688" s="20"/>
      <c r="G688" s="24" t="s">
        <v>7143</v>
      </c>
      <c r="H688" s="20">
        <f t="shared" si="47"/>
        <v>0</v>
      </c>
      <c r="I688" s="21">
        <v>66</v>
      </c>
      <c r="J688" s="21">
        <f t="shared" si="49"/>
        <v>0</v>
      </c>
    </row>
    <row r="689" spans="1:10" x14ac:dyDescent="0.3">
      <c r="A689" s="2" t="s">
        <v>682</v>
      </c>
      <c r="B689" s="1" t="s">
        <v>2152</v>
      </c>
      <c r="C689" s="6" t="s">
        <v>2827</v>
      </c>
      <c r="D689" s="6" t="s">
        <v>4995</v>
      </c>
      <c r="E689" s="20">
        <f t="shared" si="46"/>
        <v>0</v>
      </c>
      <c r="F689" s="20"/>
      <c r="G689" s="24" t="s">
        <v>7144</v>
      </c>
      <c r="H689" s="20">
        <f t="shared" si="47"/>
        <v>0</v>
      </c>
      <c r="I689" s="21">
        <v>87</v>
      </c>
      <c r="J689" s="21">
        <f t="shared" si="49"/>
        <v>0</v>
      </c>
    </row>
    <row r="690" spans="1:10" x14ac:dyDescent="0.3">
      <c r="A690" s="2" t="s">
        <v>491</v>
      </c>
      <c r="B690" s="1" t="s">
        <v>2152</v>
      </c>
      <c r="C690" s="6" t="s">
        <v>2637</v>
      </c>
      <c r="D690" s="6" t="s">
        <v>4996</v>
      </c>
      <c r="E690" s="20">
        <f t="shared" si="46"/>
        <v>0</v>
      </c>
      <c r="F690" s="20">
        <v>40</v>
      </c>
      <c r="G690" s="24" t="s">
        <v>7145</v>
      </c>
      <c r="H690" s="20">
        <f t="shared" si="47"/>
        <v>0</v>
      </c>
      <c r="I690" s="21">
        <v>3.13</v>
      </c>
      <c r="J690" s="21">
        <f t="shared" si="49"/>
        <v>0</v>
      </c>
    </row>
    <row r="691" spans="1:10" x14ac:dyDescent="0.3">
      <c r="A691" s="2" t="s">
        <v>683</v>
      </c>
      <c r="B691" s="1" t="s">
        <v>2152</v>
      </c>
      <c r="C691" s="6" t="s">
        <v>2828</v>
      </c>
      <c r="D691" s="6" t="s">
        <v>4997</v>
      </c>
      <c r="E691" s="20">
        <f t="shared" si="46"/>
        <v>0</v>
      </c>
      <c r="F691" s="20">
        <v>50</v>
      </c>
      <c r="G691" s="24" t="s">
        <v>7146</v>
      </c>
      <c r="H691" s="20">
        <f t="shared" si="47"/>
        <v>0</v>
      </c>
      <c r="I691" s="21">
        <v>4.5</v>
      </c>
      <c r="J691" s="21">
        <f t="shared" si="49"/>
        <v>0</v>
      </c>
    </row>
    <row r="692" spans="1:10" ht="82.8" x14ac:dyDescent="0.3">
      <c r="A692" s="2" t="s">
        <v>684</v>
      </c>
      <c r="B692" s="1" t="s">
        <v>2152</v>
      </c>
      <c r="C692" s="6" t="s">
        <v>2829</v>
      </c>
      <c r="D692" s="6" t="s">
        <v>4998</v>
      </c>
      <c r="E692" s="20">
        <f t="shared" si="46"/>
        <v>0</v>
      </c>
      <c r="F692" s="20">
        <f>'[30]OTOMATİK PENOTROMETRE'!$L$2</f>
        <v>48709</v>
      </c>
      <c r="G692" s="24" t="s">
        <v>7147</v>
      </c>
      <c r="H692" s="20">
        <f t="shared" si="47"/>
        <v>0</v>
      </c>
      <c r="I692" s="21">
        <v>6500</v>
      </c>
    </row>
    <row r="693" spans="1:10" ht="55.2" x14ac:dyDescent="0.3">
      <c r="A693" s="2" t="s">
        <v>685</v>
      </c>
      <c r="B693" s="1" t="s">
        <v>2152</v>
      </c>
      <c r="C693" s="6" t="s">
        <v>2830</v>
      </c>
      <c r="D693" s="6" t="s">
        <v>4999</v>
      </c>
      <c r="E693" s="20">
        <f t="shared" si="46"/>
        <v>0</v>
      </c>
      <c r="F693" s="20">
        <f>'[31]SU BANYOSU 15 LT'!$H$24</f>
        <v>14701.8</v>
      </c>
      <c r="G693" s="24" t="s">
        <v>7148</v>
      </c>
      <c r="H693" s="20">
        <f t="shared" si="47"/>
        <v>0</v>
      </c>
      <c r="I693" s="21">
        <v>720</v>
      </c>
      <c r="J693" s="21">
        <f t="shared" ref="J693:J719" si="50">X693</f>
        <v>0</v>
      </c>
    </row>
    <row r="694" spans="1:10" ht="55.2" x14ac:dyDescent="0.3">
      <c r="A694" s="2" t="s">
        <v>686</v>
      </c>
      <c r="B694" s="1" t="s">
        <v>2152</v>
      </c>
      <c r="C694" s="6" t="s">
        <v>2831</v>
      </c>
      <c r="D694" s="6" t="s">
        <v>5000</v>
      </c>
      <c r="E694" s="20">
        <f t="shared" si="46"/>
        <v>0</v>
      </c>
      <c r="F694" s="20">
        <f>'[31]SU BANYOSU 30 LT'!$H$24</f>
        <v>15928</v>
      </c>
      <c r="G694" s="24" t="s">
        <v>7149</v>
      </c>
      <c r="H694" s="20">
        <f t="shared" si="47"/>
        <v>0</v>
      </c>
      <c r="I694" s="21">
        <v>840</v>
      </c>
      <c r="J694" s="21">
        <f t="shared" si="50"/>
        <v>0</v>
      </c>
    </row>
    <row r="695" spans="1:10" ht="55.2" x14ac:dyDescent="0.3">
      <c r="A695" s="2" t="s">
        <v>687</v>
      </c>
      <c r="B695" s="1" t="s">
        <v>2152</v>
      </c>
      <c r="C695" s="6" t="s">
        <v>2832</v>
      </c>
      <c r="D695" s="6" t="s">
        <v>5001</v>
      </c>
      <c r="E695" s="20">
        <f t="shared" si="46"/>
        <v>0</v>
      </c>
      <c r="F695" s="20">
        <f>'[31]SU BANYOSU 48 LT'!$H$24</f>
        <v>18230.199999999997</v>
      </c>
      <c r="G695" s="24" t="s">
        <v>7150</v>
      </c>
      <c r="H695" s="20">
        <f t="shared" si="47"/>
        <v>0</v>
      </c>
      <c r="I695" s="21">
        <v>960</v>
      </c>
      <c r="J695" s="21">
        <f t="shared" si="50"/>
        <v>0</v>
      </c>
    </row>
    <row r="696" spans="1:10" ht="41.4" x14ac:dyDescent="0.3">
      <c r="A696" s="2" t="s">
        <v>688</v>
      </c>
      <c r="B696" s="1" t="s">
        <v>2152</v>
      </c>
      <c r="C696" s="6" t="s">
        <v>2833</v>
      </c>
      <c r="D696" s="6" t="s">
        <v>5002</v>
      </c>
      <c r="E696" s="20">
        <f t="shared" si="46"/>
        <v>0</v>
      </c>
      <c r="F696" s="20">
        <f>'[31]SOĞUTMALI SU BANYOSU(15LT'!$H$26</f>
        <v>23941.800000000003</v>
      </c>
      <c r="G696" s="24" t="s">
        <v>7151</v>
      </c>
      <c r="H696" s="20">
        <f t="shared" si="47"/>
        <v>0</v>
      </c>
      <c r="I696" s="21">
        <v>1920</v>
      </c>
      <c r="J696" s="21">
        <f t="shared" si="50"/>
        <v>0</v>
      </c>
    </row>
    <row r="697" spans="1:10" ht="41.4" x14ac:dyDescent="0.3">
      <c r="A697" s="2" t="s">
        <v>689</v>
      </c>
      <c r="B697" s="1" t="s">
        <v>2152</v>
      </c>
      <c r="C697" s="6" t="s">
        <v>2834</v>
      </c>
      <c r="D697" s="6" t="s">
        <v>5003</v>
      </c>
      <c r="E697" s="20">
        <f t="shared" si="46"/>
        <v>0</v>
      </c>
      <c r="F697" s="20">
        <f>'[31]SOĞUTMALI SU BANYOSU 30 LT'!$H$26</f>
        <v>25168</v>
      </c>
      <c r="G697" s="24" t="s">
        <v>7152</v>
      </c>
      <c r="H697" s="20">
        <f t="shared" si="47"/>
        <v>0</v>
      </c>
      <c r="I697" s="21">
        <v>2117</v>
      </c>
      <c r="J697" s="21">
        <f t="shared" si="50"/>
        <v>0</v>
      </c>
    </row>
    <row r="698" spans="1:10" ht="41.4" x14ac:dyDescent="0.3">
      <c r="A698" s="2" t="s">
        <v>690</v>
      </c>
      <c r="B698" s="1" t="s">
        <v>2152</v>
      </c>
      <c r="C698" s="6" t="s">
        <v>2835</v>
      </c>
      <c r="D698" s="6" t="s">
        <v>5004</v>
      </c>
      <c r="E698" s="20">
        <f t="shared" si="46"/>
        <v>0</v>
      </c>
      <c r="F698" s="20">
        <f>'[31]SOĞUTMALI SU BANYOSU 48 LT '!$H$26</f>
        <v>27470.2</v>
      </c>
      <c r="G698" s="24" t="s">
        <v>7153</v>
      </c>
      <c r="H698" s="20">
        <f t="shared" si="47"/>
        <v>0</v>
      </c>
      <c r="I698" s="21">
        <v>2275</v>
      </c>
      <c r="J698" s="21">
        <f t="shared" si="50"/>
        <v>0</v>
      </c>
    </row>
    <row r="699" spans="1:10" ht="124.2" x14ac:dyDescent="0.3">
      <c r="A699" s="2" t="s">
        <v>691</v>
      </c>
      <c r="B699" s="1" t="s">
        <v>2152</v>
      </c>
      <c r="C699" s="6" t="s">
        <v>2836</v>
      </c>
      <c r="D699" s="6" t="s">
        <v>5005</v>
      </c>
      <c r="E699" s="20">
        <f t="shared" si="46"/>
        <v>0</v>
      </c>
      <c r="F699" s="20">
        <v>87000</v>
      </c>
      <c r="G699" s="24" t="s">
        <v>7154</v>
      </c>
      <c r="H699" s="20">
        <f t="shared" si="47"/>
        <v>0</v>
      </c>
      <c r="I699" s="21">
        <v>4320</v>
      </c>
      <c r="J699" s="21">
        <f t="shared" si="50"/>
        <v>0</v>
      </c>
    </row>
    <row r="700" spans="1:10" x14ac:dyDescent="0.3">
      <c r="A700" s="2" t="s">
        <v>692</v>
      </c>
      <c r="B700" s="1" t="s">
        <v>2152</v>
      </c>
      <c r="C700" s="6" t="s">
        <v>2837</v>
      </c>
      <c r="D700" s="6" t="s">
        <v>5006</v>
      </c>
      <c r="E700" s="20">
        <f t="shared" si="46"/>
        <v>0</v>
      </c>
      <c r="F700" s="20">
        <v>50</v>
      </c>
      <c r="G700" s="24" t="s">
        <v>7155</v>
      </c>
      <c r="H700" s="20">
        <f t="shared" si="47"/>
        <v>0</v>
      </c>
      <c r="I700" s="21">
        <v>45</v>
      </c>
      <c r="J700" s="21">
        <f t="shared" si="50"/>
        <v>0</v>
      </c>
    </row>
    <row r="701" spans="1:10" ht="27.6" x14ac:dyDescent="0.3">
      <c r="A701" s="2" t="s">
        <v>693</v>
      </c>
      <c r="B701" s="1" t="s">
        <v>2152</v>
      </c>
      <c r="C701" s="6" t="s">
        <v>2838</v>
      </c>
      <c r="D701" s="6" t="s">
        <v>5007</v>
      </c>
      <c r="E701" s="20">
        <f t="shared" si="46"/>
        <v>0</v>
      </c>
      <c r="F701" s="20">
        <v>6500</v>
      </c>
      <c r="G701" s="24" t="s">
        <v>7156</v>
      </c>
      <c r="H701" s="20">
        <f t="shared" si="47"/>
        <v>0</v>
      </c>
      <c r="I701" s="21">
        <v>345</v>
      </c>
      <c r="J701" s="21">
        <f t="shared" si="50"/>
        <v>0</v>
      </c>
    </row>
    <row r="702" spans="1:10" ht="69" x14ac:dyDescent="0.3">
      <c r="A702" s="2" t="s">
        <v>694</v>
      </c>
      <c r="B702" s="1" t="s">
        <v>2152</v>
      </c>
      <c r="C702" s="6" t="s">
        <v>2839</v>
      </c>
      <c r="D702" s="6" t="s">
        <v>5008</v>
      </c>
      <c r="E702" s="20">
        <f t="shared" si="46"/>
        <v>0</v>
      </c>
      <c r="F702" s="20">
        <v>73000</v>
      </c>
      <c r="G702" s="24" t="s">
        <v>7157</v>
      </c>
      <c r="H702" s="20">
        <f t="shared" si="47"/>
        <v>0</v>
      </c>
      <c r="I702" s="21">
        <v>1987</v>
      </c>
      <c r="J702" s="21">
        <f t="shared" si="50"/>
        <v>0</v>
      </c>
    </row>
    <row r="703" spans="1:10" ht="27.6" x14ac:dyDescent="0.3">
      <c r="A703" s="2" t="s">
        <v>695</v>
      </c>
      <c r="B703" s="1" t="s">
        <v>2152</v>
      </c>
      <c r="C703" s="6" t="s">
        <v>2840</v>
      </c>
      <c r="D703" s="6" t="s">
        <v>5009</v>
      </c>
      <c r="E703" s="20">
        <f t="shared" si="46"/>
        <v>0</v>
      </c>
      <c r="F703" s="20"/>
      <c r="G703" s="24" t="s">
        <v>7158</v>
      </c>
      <c r="H703" s="20">
        <f t="shared" si="47"/>
        <v>0</v>
      </c>
      <c r="I703" s="21">
        <v>168</v>
      </c>
      <c r="J703" s="21">
        <f t="shared" si="50"/>
        <v>0</v>
      </c>
    </row>
    <row r="704" spans="1:10" x14ac:dyDescent="0.3">
      <c r="A704" s="2" t="s">
        <v>491</v>
      </c>
      <c r="B704" s="1" t="s">
        <v>2152</v>
      </c>
      <c r="C704" s="6" t="s">
        <v>2841</v>
      </c>
      <c r="D704" s="6" t="s">
        <v>5010</v>
      </c>
      <c r="E704" s="20">
        <f t="shared" si="46"/>
        <v>0</v>
      </c>
      <c r="F704" s="20">
        <v>360</v>
      </c>
      <c r="G704" s="24" t="s">
        <v>7159</v>
      </c>
      <c r="H704" s="20">
        <f t="shared" si="47"/>
        <v>0</v>
      </c>
      <c r="I704" s="21">
        <v>29</v>
      </c>
      <c r="J704" s="21">
        <f t="shared" si="50"/>
        <v>0</v>
      </c>
    </row>
    <row r="705" spans="1:10" ht="27.6" x14ac:dyDescent="0.3">
      <c r="A705" s="2" t="s">
        <v>696</v>
      </c>
      <c r="B705" s="1" t="s">
        <v>2152</v>
      </c>
      <c r="C705" s="6" t="s">
        <v>2842</v>
      </c>
      <c r="D705" s="6" t="s">
        <v>5011</v>
      </c>
      <c r="E705" s="20">
        <f t="shared" si="46"/>
        <v>0</v>
      </c>
      <c r="F705" s="20"/>
      <c r="G705" s="24" t="s">
        <v>7160</v>
      </c>
      <c r="H705" s="20">
        <f t="shared" si="47"/>
        <v>0</v>
      </c>
      <c r="I705" s="21">
        <v>195</v>
      </c>
      <c r="J705" s="21">
        <f t="shared" si="50"/>
        <v>0</v>
      </c>
    </row>
    <row r="706" spans="1:10" x14ac:dyDescent="0.3">
      <c r="A706" s="2" t="s">
        <v>697</v>
      </c>
      <c r="B706" s="1" t="s">
        <v>2152</v>
      </c>
      <c r="C706" s="6" t="s">
        <v>2843</v>
      </c>
      <c r="D706" s="6" t="s">
        <v>5012</v>
      </c>
      <c r="E706" s="20">
        <f t="shared" si="46"/>
        <v>0</v>
      </c>
      <c r="F706" s="20">
        <v>140</v>
      </c>
      <c r="G706" s="24" t="s">
        <v>7161</v>
      </c>
      <c r="H706" s="20">
        <f t="shared" si="47"/>
        <v>0</v>
      </c>
      <c r="I706" s="21">
        <v>47</v>
      </c>
      <c r="J706" s="21">
        <f t="shared" si="50"/>
        <v>0</v>
      </c>
    </row>
    <row r="707" spans="1:10" ht="110.4" x14ac:dyDescent="0.3">
      <c r="A707" s="2" t="s">
        <v>698</v>
      </c>
      <c r="B707" s="1" t="s">
        <v>2152</v>
      </c>
      <c r="C707" s="6" t="s">
        <v>2844</v>
      </c>
      <c r="D707" s="6" t="s">
        <v>5013</v>
      </c>
      <c r="E707" s="20">
        <f t="shared" si="46"/>
        <v>0</v>
      </c>
      <c r="F707" s="20">
        <f>[32]DÜKTİLİTE!$L$2</f>
        <v>34978</v>
      </c>
      <c r="G707" s="24" t="s">
        <v>7162</v>
      </c>
      <c r="H707" s="20">
        <f t="shared" si="47"/>
        <v>0</v>
      </c>
      <c r="I707" s="21">
        <v>2666</v>
      </c>
      <c r="J707" s="21">
        <f t="shared" si="50"/>
        <v>0</v>
      </c>
    </row>
    <row r="708" spans="1:10" ht="138" x14ac:dyDescent="0.3">
      <c r="A708" s="2" t="s">
        <v>699</v>
      </c>
      <c r="B708" s="1" t="s">
        <v>2152</v>
      </c>
      <c r="C708" s="6" t="s">
        <v>2845</v>
      </c>
      <c r="D708" s="6" t="s">
        <v>5014</v>
      </c>
      <c r="E708" s="20">
        <f t="shared" si="46"/>
        <v>0</v>
      </c>
      <c r="F708" s="20">
        <f>'[32]SOĞUTMALI DÜKTİLİTE'!$L$2</f>
        <v>49248</v>
      </c>
      <c r="G708" s="24" t="s">
        <v>7163</v>
      </c>
      <c r="H708" s="20">
        <f t="shared" si="47"/>
        <v>0</v>
      </c>
      <c r="I708" s="21">
        <v>3216</v>
      </c>
      <c r="J708" s="21">
        <f t="shared" si="50"/>
        <v>0</v>
      </c>
    </row>
    <row r="709" spans="1:10" ht="138" x14ac:dyDescent="0.3">
      <c r="A709" s="2" t="s">
        <v>700</v>
      </c>
      <c r="B709" s="1" t="s">
        <v>2152</v>
      </c>
      <c r="C709" s="6" t="s">
        <v>2846</v>
      </c>
      <c r="D709" s="6" t="s">
        <v>5015</v>
      </c>
      <c r="E709" s="20">
        <f t="shared" ref="E709:E772" si="51">H709*1.8*1.4</f>
        <v>0</v>
      </c>
      <c r="F709" s="20">
        <v>45000</v>
      </c>
      <c r="G709" s="24" t="s">
        <v>7164</v>
      </c>
      <c r="H709" s="20">
        <f t="shared" ref="H709:H772" si="52">K709*1.8*1.4</f>
        <v>0</v>
      </c>
      <c r="I709" s="21">
        <v>9500</v>
      </c>
      <c r="J709" s="21">
        <f t="shared" si="50"/>
        <v>0</v>
      </c>
    </row>
    <row r="710" spans="1:10" x14ac:dyDescent="0.3">
      <c r="A710" s="2" t="s">
        <v>701</v>
      </c>
      <c r="B710" s="1" t="s">
        <v>2152</v>
      </c>
      <c r="C710" s="6" t="s">
        <v>2847</v>
      </c>
      <c r="D710" s="6" t="s">
        <v>5016</v>
      </c>
      <c r="E710" s="20">
        <f t="shared" si="51"/>
        <v>0</v>
      </c>
      <c r="F710" s="20">
        <f>'[33]ASTM D133'!$L$2</f>
        <v>609.79999999999995</v>
      </c>
      <c r="G710" s="24" t="s">
        <v>7165</v>
      </c>
      <c r="H710" s="20">
        <f t="shared" si="52"/>
        <v>0</v>
      </c>
      <c r="I710" s="21">
        <v>117</v>
      </c>
      <c r="J710" s="21">
        <f t="shared" si="50"/>
        <v>0</v>
      </c>
    </row>
    <row r="711" spans="1:10" x14ac:dyDescent="0.3">
      <c r="A711" s="2" t="s">
        <v>702</v>
      </c>
      <c r="B711" s="1" t="s">
        <v>2152</v>
      </c>
      <c r="C711" s="6" t="s">
        <v>2848</v>
      </c>
      <c r="D711" s="6" t="s">
        <v>5017</v>
      </c>
      <c r="E711" s="20">
        <f t="shared" si="51"/>
        <v>0</v>
      </c>
      <c r="F711" s="20">
        <f>'[33]ASTM D133'!$L$2</f>
        <v>609.79999999999995</v>
      </c>
      <c r="G711" s="24" t="s">
        <v>7166</v>
      </c>
      <c r="H711" s="20">
        <f t="shared" si="52"/>
        <v>0</v>
      </c>
      <c r="I711" s="21">
        <v>117</v>
      </c>
      <c r="J711" s="21">
        <f t="shared" si="50"/>
        <v>0</v>
      </c>
    </row>
    <row r="712" spans="1:10" x14ac:dyDescent="0.3">
      <c r="A712" s="2" t="s">
        <v>703</v>
      </c>
      <c r="B712" s="1" t="s">
        <v>2152</v>
      </c>
      <c r="C712" s="6" t="s">
        <v>2849</v>
      </c>
      <c r="D712" s="6" t="s">
        <v>5018</v>
      </c>
      <c r="E712" s="20">
        <f t="shared" si="51"/>
        <v>0</v>
      </c>
      <c r="F712" s="20"/>
      <c r="G712" s="24" t="s">
        <v>7167</v>
      </c>
      <c r="H712" s="20">
        <f t="shared" si="52"/>
        <v>0</v>
      </c>
      <c r="I712" s="21">
        <v>60</v>
      </c>
      <c r="J712" s="21">
        <f t="shared" si="50"/>
        <v>0</v>
      </c>
    </row>
    <row r="713" spans="1:10" ht="69" x14ac:dyDescent="0.3">
      <c r="A713" s="2" t="s">
        <v>704</v>
      </c>
      <c r="B713" s="1" t="s">
        <v>2152</v>
      </c>
      <c r="C713" s="6" t="s">
        <v>2850</v>
      </c>
      <c r="D713" s="6" t="s">
        <v>5019</v>
      </c>
      <c r="E713" s="20">
        <f t="shared" si="51"/>
        <v>0</v>
      </c>
      <c r="F713" s="20">
        <f>'[34]YUMUŞAMA NOKTASI'!$L$2</f>
        <v>13474</v>
      </c>
      <c r="G713" s="24" t="s">
        <v>7168</v>
      </c>
      <c r="H713" s="20">
        <f t="shared" si="52"/>
        <v>0</v>
      </c>
      <c r="I713" s="21">
        <v>789</v>
      </c>
      <c r="J713" s="21">
        <f t="shared" si="50"/>
        <v>0</v>
      </c>
    </row>
    <row r="714" spans="1:10" ht="69" x14ac:dyDescent="0.3">
      <c r="A714" s="2" t="s">
        <v>38</v>
      </c>
      <c r="B714" s="1" t="s">
        <v>2152</v>
      </c>
      <c r="C714" s="6" t="s">
        <v>2851</v>
      </c>
      <c r="D714" s="6" t="s">
        <v>4353</v>
      </c>
      <c r="E714" s="20">
        <f t="shared" si="51"/>
        <v>0</v>
      </c>
      <c r="F714" s="20">
        <v>12000</v>
      </c>
      <c r="G714" s="24" t="s">
        <v>7169</v>
      </c>
      <c r="H714" s="20">
        <f t="shared" si="52"/>
        <v>0</v>
      </c>
      <c r="I714" s="21">
        <v>720</v>
      </c>
      <c r="J714" s="21">
        <f t="shared" si="50"/>
        <v>0</v>
      </c>
    </row>
    <row r="715" spans="1:10" x14ac:dyDescent="0.3">
      <c r="A715" s="2" t="s">
        <v>705</v>
      </c>
      <c r="B715" s="1" t="s">
        <v>2152</v>
      </c>
      <c r="C715" s="6" t="s">
        <v>2852</v>
      </c>
      <c r="D715" s="6" t="s">
        <v>5020</v>
      </c>
      <c r="E715" s="20">
        <f t="shared" si="51"/>
        <v>0</v>
      </c>
      <c r="F715" s="20">
        <f>'[35]YUMUŞAMA NOKTASI'!$C$5</f>
        <v>30</v>
      </c>
      <c r="G715" s="24" t="s">
        <v>7170</v>
      </c>
      <c r="H715" s="20">
        <f t="shared" si="52"/>
        <v>0</v>
      </c>
      <c r="I715" s="21">
        <v>4.8</v>
      </c>
      <c r="J715" s="21">
        <f t="shared" si="50"/>
        <v>0</v>
      </c>
    </row>
    <row r="716" spans="1:10" x14ac:dyDescent="0.3">
      <c r="A716" s="2" t="s">
        <v>706</v>
      </c>
      <c r="B716" s="1" t="s">
        <v>2152</v>
      </c>
      <c r="C716" s="6" t="s">
        <v>2853</v>
      </c>
      <c r="D716" s="6" t="s">
        <v>5021</v>
      </c>
      <c r="E716" s="20">
        <f t="shared" si="51"/>
        <v>0</v>
      </c>
      <c r="F716" s="20">
        <v>35</v>
      </c>
      <c r="G716" s="24" t="s">
        <v>7171</v>
      </c>
      <c r="H716" s="20">
        <f t="shared" si="52"/>
        <v>0</v>
      </c>
      <c r="I716" s="21">
        <v>24</v>
      </c>
      <c r="J716" s="21">
        <f t="shared" si="50"/>
        <v>0</v>
      </c>
    </row>
    <row r="717" spans="1:10" x14ac:dyDescent="0.3">
      <c r="A717" s="2" t="s">
        <v>707</v>
      </c>
      <c r="B717" s="1" t="s">
        <v>2152</v>
      </c>
      <c r="C717" s="6" t="s">
        <v>2854</v>
      </c>
      <c r="D717" s="6" t="s">
        <v>5022</v>
      </c>
      <c r="E717" s="20">
        <f t="shared" si="51"/>
        <v>0</v>
      </c>
      <c r="F717" s="20">
        <v>15</v>
      </c>
      <c r="G717" s="24" t="s">
        <v>7172</v>
      </c>
      <c r="H717" s="20">
        <f t="shared" si="52"/>
        <v>0</v>
      </c>
      <c r="I717" s="21">
        <v>18</v>
      </c>
      <c r="J717" s="21">
        <f t="shared" si="50"/>
        <v>0</v>
      </c>
    </row>
    <row r="718" spans="1:10" x14ac:dyDescent="0.3">
      <c r="A718" s="2" t="s">
        <v>708</v>
      </c>
      <c r="B718" s="1" t="s">
        <v>2152</v>
      </c>
      <c r="C718" s="6" t="s">
        <v>2855</v>
      </c>
      <c r="D718" s="6" t="s">
        <v>5023</v>
      </c>
      <c r="E718" s="20">
        <f t="shared" si="51"/>
        <v>0</v>
      </c>
      <c r="F718" s="20">
        <v>125</v>
      </c>
      <c r="G718" s="24" t="s">
        <v>7173</v>
      </c>
      <c r="H718" s="20">
        <f t="shared" si="52"/>
        <v>0</v>
      </c>
      <c r="I718" s="21">
        <v>8.4</v>
      </c>
      <c r="J718" s="21">
        <f t="shared" si="50"/>
        <v>0</v>
      </c>
    </row>
    <row r="719" spans="1:10" x14ac:dyDescent="0.3">
      <c r="A719" s="2" t="s">
        <v>709</v>
      </c>
      <c r="B719" s="1" t="s">
        <v>2152</v>
      </c>
      <c r="C719" s="6" t="s">
        <v>2856</v>
      </c>
      <c r="D719" s="6" t="s">
        <v>5024</v>
      </c>
      <c r="E719" s="20">
        <f t="shared" si="51"/>
        <v>0</v>
      </c>
      <c r="F719" s="20">
        <v>111</v>
      </c>
      <c r="G719" s="24" t="s">
        <v>7174</v>
      </c>
      <c r="H719" s="20">
        <f t="shared" si="52"/>
        <v>0</v>
      </c>
      <c r="I719" s="21">
        <v>9</v>
      </c>
      <c r="J719" s="21">
        <f t="shared" si="50"/>
        <v>0</v>
      </c>
    </row>
    <row r="720" spans="1:10" ht="69" x14ac:dyDescent="0.3">
      <c r="A720" s="2" t="s">
        <v>710</v>
      </c>
      <c r="B720" s="1" t="s">
        <v>2152</v>
      </c>
      <c r="C720" s="6" t="s">
        <v>2857</v>
      </c>
      <c r="D720" s="6" t="s">
        <v>5025</v>
      </c>
      <c r="E720" s="20">
        <f t="shared" si="51"/>
        <v>0</v>
      </c>
      <c r="F720" s="20">
        <f>'[36]OTOMATİK YUMUŞAMA NOKTASI'!$L$2</f>
        <v>58515</v>
      </c>
      <c r="G720" s="24" t="s">
        <v>7175</v>
      </c>
      <c r="H720" s="20">
        <f t="shared" si="52"/>
        <v>0</v>
      </c>
      <c r="I720" s="21">
        <v>6750</v>
      </c>
    </row>
    <row r="721" spans="1:10" ht="41.4" x14ac:dyDescent="0.3">
      <c r="A721" s="2" t="s">
        <v>711</v>
      </c>
      <c r="B721" s="1" t="s">
        <v>2152</v>
      </c>
      <c r="C721" s="6" t="s">
        <v>2858</v>
      </c>
      <c r="D721" s="6" t="s">
        <v>5026</v>
      </c>
      <c r="E721" s="20">
        <f t="shared" si="51"/>
        <v>0</v>
      </c>
      <c r="F721" s="20"/>
      <c r="G721" s="24" t="s">
        <v>7176</v>
      </c>
      <c r="H721" s="20">
        <f t="shared" si="52"/>
        <v>0</v>
      </c>
      <c r="I721" s="21">
        <v>900</v>
      </c>
      <c r="J721" s="21">
        <f>X721</f>
        <v>0</v>
      </c>
    </row>
    <row r="722" spans="1:10" x14ac:dyDescent="0.3">
      <c r="A722" s="2" t="s">
        <v>712</v>
      </c>
      <c r="B722" s="1" t="s">
        <v>2152</v>
      </c>
      <c r="C722" s="6" t="s">
        <v>2859</v>
      </c>
      <c r="D722" s="6" t="s">
        <v>5027</v>
      </c>
      <c r="E722" s="20">
        <f t="shared" si="51"/>
        <v>0</v>
      </c>
      <c r="F722" s="20"/>
      <c r="G722" s="24" t="s">
        <v>7177</v>
      </c>
      <c r="H722" s="20">
        <f t="shared" si="52"/>
        <v>0</v>
      </c>
      <c r="I722" s="21">
        <f>W722</f>
        <v>0</v>
      </c>
      <c r="J722" s="21">
        <f>X722</f>
        <v>0</v>
      </c>
    </row>
    <row r="723" spans="1:10" x14ac:dyDescent="0.3">
      <c r="A723" s="2" t="s">
        <v>713</v>
      </c>
      <c r="B723" s="1" t="s">
        <v>2152</v>
      </c>
      <c r="C723" s="6" t="s">
        <v>2860</v>
      </c>
      <c r="D723" s="6" t="s">
        <v>5028</v>
      </c>
      <c r="E723" s="20">
        <f t="shared" si="51"/>
        <v>0</v>
      </c>
      <c r="F723" s="20"/>
      <c r="G723" s="24" t="s">
        <v>7178</v>
      </c>
      <c r="H723" s="20">
        <f t="shared" si="52"/>
        <v>0</v>
      </c>
      <c r="I723" s="21">
        <f>W723</f>
        <v>0</v>
      </c>
      <c r="J723" s="21">
        <f>X723</f>
        <v>0</v>
      </c>
    </row>
    <row r="724" spans="1:10" ht="96.6" x14ac:dyDescent="0.3">
      <c r="A724" s="2" t="s">
        <v>714</v>
      </c>
      <c r="B724" s="1" t="s">
        <v>2152</v>
      </c>
      <c r="C724" s="6" t="s">
        <v>2861</v>
      </c>
      <c r="D724" s="6" t="s">
        <v>5029</v>
      </c>
      <c r="E724" s="20">
        <f t="shared" si="51"/>
        <v>0</v>
      </c>
      <c r="F724" s="20">
        <f>'[37]SAYBOLT VİSKOZİMETRE'!$L$3</f>
        <v>11112</v>
      </c>
      <c r="G724" s="24" t="s">
        <v>7179</v>
      </c>
      <c r="H724" s="20">
        <f t="shared" si="52"/>
        <v>0</v>
      </c>
      <c r="I724" s="21">
        <v>1470</v>
      </c>
      <c r="J724" s="21">
        <f t="shared" ref="J724:J729" si="53">X724</f>
        <v>0</v>
      </c>
    </row>
    <row r="725" spans="1:10" x14ac:dyDescent="0.3">
      <c r="A725" s="2" t="s">
        <v>715</v>
      </c>
      <c r="B725" s="1" t="s">
        <v>2152</v>
      </c>
      <c r="C725" s="6" t="s">
        <v>2862</v>
      </c>
      <c r="D725" s="6" t="s">
        <v>5030</v>
      </c>
      <c r="E725" s="20">
        <f t="shared" si="51"/>
        <v>0</v>
      </c>
      <c r="F725" s="20"/>
      <c r="G725" s="24" t="s">
        <v>7180</v>
      </c>
      <c r="H725" s="20">
        <f t="shared" si="52"/>
        <v>0</v>
      </c>
      <c r="I725" s="21">
        <f>W725</f>
        <v>0</v>
      </c>
      <c r="J725" s="21">
        <f t="shared" si="53"/>
        <v>0</v>
      </c>
    </row>
    <row r="726" spans="1:10" x14ac:dyDescent="0.3">
      <c r="A726" s="2" t="s">
        <v>716</v>
      </c>
      <c r="B726" s="1" t="s">
        <v>2152</v>
      </c>
      <c r="C726" s="6" t="s">
        <v>2863</v>
      </c>
      <c r="D726" s="6" t="s">
        <v>5031</v>
      </c>
      <c r="E726" s="20">
        <f t="shared" si="51"/>
        <v>0</v>
      </c>
      <c r="F726" s="20"/>
      <c r="G726" s="24" t="s">
        <v>7181</v>
      </c>
      <c r="H726" s="20">
        <f t="shared" si="52"/>
        <v>0</v>
      </c>
      <c r="I726" s="21">
        <f>W726</f>
        <v>0</v>
      </c>
      <c r="J726" s="21">
        <f t="shared" si="53"/>
        <v>0</v>
      </c>
    </row>
    <row r="727" spans="1:10" x14ac:dyDescent="0.3">
      <c r="A727" s="2" t="s">
        <v>717</v>
      </c>
      <c r="B727" s="1" t="s">
        <v>2152</v>
      </c>
      <c r="C727" s="6" t="s">
        <v>2864</v>
      </c>
      <c r="D727" s="6" t="s">
        <v>5032</v>
      </c>
      <c r="E727" s="20">
        <f t="shared" si="51"/>
        <v>0</v>
      </c>
      <c r="F727" s="20">
        <v>40</v>
      </c>
      <c r="G727" s="24" t="s">
        <v>7182</v>
      </c>
      <c r="H727" s="20">
        <f t="shared" si="52"/>
        <v>0</v>
      </c>
      <c r="I727" s="21">
        <v>48</v>
      </c>
      <c r="J727" s="21">
        <f t="shared" si="53"/>
        <v>0</v>
      </c>
    </row>
    <row r="728" spans="1:10" x14ac:dyDescent="0.3">
      <c r="A728" s="2" t="s">
        <v>718</v>
      </c>
      <c r="B728" s="1" t="s">
        <v>2152</v>
      </c>
      <c r="C728" s="6" t="s">
        <v>2865</v>
      </c>
      <c r="D728" s="6" t="s">
        <v>5033</v>
      </c>
      <c r="E728" s="20">
        <f t="shared" si="51"/>
        <v>0</v>
      </c>
      <c r="F728" s="20"/>
      <c r="G728" s="24" t="s">
        <v>7183</v>
      </c>
      <c r="H728" s="20">
        <f t="shared" si="52"/>
        <v>0</v>
      </c>
      <c r="I728" s="21">
        <f>W728</f>
        <v>0</v>
      </c>
      <c r="J728" s="21">
        <f t="shared" si="53"/>
        <v>0</v>
      </c>
    </row>
    <row r="729" spans="1:10" x14ac:dyDescent="0.3">
      <c r="A729" s="2" t="s">
        <v>719</v>
      </c>
      <c r="B729" s="1" t="s">
        <v>2152</v>
      </c>
      <c r="C729" s="6" t="s">
        <v>2866</v>
      </c>
      <c r="D729" s="6" t="s">
        <v>5034</v>
      </c>
      <c r="E729" s="20">
        <f t="shared" si="51"/>
        <v>0</v>
      </c>
      <c r="F729" s="20">
        <v>40</v>
      </c>
      <c r="G729" s="24" t="s">
        <v>7184</v>
      </c>
      <c r="H729" s="20">
        <f t="shared" si="52"/>
        <v>0</v>
      </c>
      <c r="I729" s="21">
        <v>21</v>
      </c>
      <c r="J729" s="21">
        <f t="shared" si="53"/>
        <v>0</v>
      </c>
    </row>
    <row r="730" spans="1:10" ht="96.6" x14ac:dyDescent="0.3">
      <c r="A730" s="2" t="s">
        <v>720</v>
      </c>
      <c r="B730" s="1" t="s">
        <v>2152</v>
      </c>
      <c r="C730" s="6" t="s">
        <v>2867</v>
      </c>
      <c r="D730" s="6" t="s">
        <v>5035</v>
      </c>
      <c r="E730" s="20">
        <f t="shared" si="51"/>
        <v>0</v>
      </c>
      <c r="F730" s="20"/>
      <c r="G730" s="24" t="s">
        <v>7185</v>
      </c>
      <c r="H730" s="20">
        <f t="shared" si="52"/>
        <v>0</v>
      </c>
      <c r="I730" s="21">
        <f>W730</f>
        <v>0</v>
      </c>
      <c r="J730" s="21">
        <f>X730</f>
        <v>0</v>
      </c>
    </row>
    <row r="731" spans="1:10" ht="138" x14ac:dyDescent="0.3">
      <c r="A731" s="2" t="s">
        <v>721</v>
      </c>
      <c r="B731" s="1" t="s">
        <v>2152</v>
      </c>
      <c r="C731" s="6" t="s">
        <v>2868</v>
      </c>
      <c r="D731" s="6" t="s">
        <v>5035</v>
      </c>
      <c r="E731" s="20">
        <f t="shared" si="51"/>
        <v>0</v>
      </c>
      <c r="F731" s="20"/>
      <c r="G731" s="24" t="s">
        <v>7186</v>
      </c>
      <c r="H731" s="20">
        <f t="shared" si="52"/>
        <v>0</v>
      </c>
      <c r="I731" s="21">
        <v>5280</v>
      </c>
      <c r="J731" s="21">
        <f>X731</f>
        <v>0</v>
      </c>
    </row>
    <row r="732" spans="1:10" ht="55.2" x14ac:dyDescent="0.3">
      <c r="A732" s="2" t="s">
        <v>722</v>
      </c>
      <c r="B732" s="1" t="s">
        <v>2152</v>
      </c>
      <c r="C732" s="6" t="s">
        <v>2869</v>
      </c>
      <c r="D732" s="6" t="s">
        <v>5036</v>
      </c>
      <c r="E732" s="20">
        <f t="shared" si="51"/>
        <v>0</v>
      </c>
      <c r="F732" s="20">
        <v>2000</v>
      </c>
      <c r="G732" s="24" t="s">
        <v>7187</v>
      </c>
      <c r="H732" s="20">
        <f t="shared" si="52"/>
        <v>0</v>
      </c>
      <c r="I732" s="21">
        <v>1250</v>
      </c>
      <c r="J732" s="21">
        <f>X732</f>
        <v>0</v>
      </c>
    </row>
    <row r="733" spans="1:10" x14ac:dyDescent="0.3">
      <c r="A733" s="2" t="s">
        <v>723</v>
      </c>
      <c r="B733" s="1" t="s">
        <v>2152</v>
      </c>
      <c r="C733" s="6" t="s">
        <v>2870</v>
      </c>
      <c r="D733" s="6" t="s">
        <v>5037</v>
      </c>
      <c r="E733" s="20">
        <f t="shared" si="51"/>
        <v>0</v>
      </c>
      <c r="F733" s="20"/>
      <c r="G733" s="24" t="s">
        <v>7188</v>
      </c>
      <c r="H733" s="20">
        <f t="shared" si="52"/>
        <v>0</v>
      </c>
      <c r="I733" s="21">
        <f>W733</f>
        <v>0</v>
      </c>
      <c r="J733" s="21">
        <f>X733</f>
        <v>0</v>
      </c>
    </row>
    <row r="734" spans="1:10" ht="69" x14ac:dyDescent="0.3">
      <c r="A734" s="2" t="s">
        <v>724</v>
      </c>
      <c r="B734" s="1" t="s">
        <v>2152</v>
      </c>
      <c r="C734" s="6" t="s">
        <v>2871</v>
      </c>
      <c r="D734" s="6" t="s">
        <v>5038</v>
      </c>
      <c r="E734" s="20">
        <f t="shared" si="51"/>
        <v>0</v>
      </c>
      <c r="F734" s="20">
        <f>'[38]KANGO ÇEKİCİ'!$L$2</f>
        <v>17548.838709677417</v>
      </c>
      <c r="G734" s="24" t="s">
        <v>7189</v>
      </c>
      <c r="H734" s="20">
        <f t="shared" si="52"/>
        <v>0</v>
      </c>
      <c r="I734" s="21">
        <v>2475</v>
      </c>
      <c r="J734" s="21">
        <f>X734</f>
        <v>0</v>
      </c>
    </row>
    <row r="735" spans="1:10" x14ac:dyDescent="0.3">
      <c r="A735" s="2" t="s">
        <v>725</v>
      </c>
      <c r="B735" s="1" t="s">
        <v>2152</v>
      </c>
      <c r="C735" s="6" t="s">
        <v>2872</v>
      </c>
      <c r="D735" s="6" t="s">
        <v>5039</v>
      </c>
      <c r="E735" s="20">
        <f t="shared" si="51"/>
        <v>0</v>
      </c>
      <c r="F735" s="20"/>
      <c r="G735" s="24" t="s">
        <v>7190</v>
      </c>
      <c r="H735" s="20">
        <f t="shared" si="52"/>
        <v>0</v>
      </c>
      <c r="I735" s="21">
        <f t="shared" ref="I735:J740" si="54">W735</f>
        <v>0</v>
      </c>
      <c r="J735" s="21">
        <f t="shared" si="54"/>
        <v>0</v>
      </c>
    </row>
    <row r="736" spans="1:10" x14ac:dyDescent="0.3">
      <c r="A736" s="2" t="s">
        <v>726</v>
      </c>
      <c r="B736" s="1" t="s">
        <v>2152</v>
      </c>
      <c r="C736" s="6" t="s">
        <v>2873</v>
      </c>
      <c r="D736" s="6" t="s">
        <v>5040</v>
      </c>
      <c r="E736" s="20">
        <f t="shared" si="51"/>
        <v>0</v>
      </c>
      <c r="F736" s="20"/>
      <c r="G736" s="24" t="s">
        <v>7191</v>
      </c>
      <c r="H736" s="20">
        <f t="shared" si="52"/>
        <v>0</v>
      </c>
      <c r="I736" s="21">
        <f t="shared" si="54"/>
        <v>0</v>
      </c>
      <c r="J736" s="21">
        <f t="shared" si="54"/>
        <v>0</v>
      </c>
    </row>
    <row r="737" spans="1:10" x14ac:dyDescent="0.3">
      <c r="A737" s="2" t="s">
        <v>727</v>
      </c>
      <c r="B737" s="1" t="s">
        <v>2152</v>
      </c>
      <c r="C737" s="6" t="s">
        <v>2874</v>
      </c>
      <c r="D737" s="6" t="s">
        <v>5041</v>
      </c>
      <c r="E737" s="20">
        <f t="shared" si="51"/>
        <v>0</v>
      </c>
      <c r="F737" s="20"/>
      <c r="G737" s="24" t="s">
        <v>7192</v>
      </c>
      <c r="H737" s="20">
        <f t="shared" si="52"/>
        <v>0</v>
      </c>
      <c r="I737" s="21">
        <f t="shared" si="54"/>
        <v>0</v>
      </c>
      <c r="J737" s="21">
        <f t="shared" si="54"/>
        <v>0</v>
      </c>
    </row>
    <row r="738" spans="1:10" x14ac:dyDescent="0.3">
      <c r="A738" s="2" t="s">
        <v>728</v>
      </c>
      <c r="B738" s="1" t="s">
        <v>2152</v>
      </c>
      <c r="C738" s="6" t="s">
        <v>2875</v>
      </c>
      <c r="D738" s="6" t="s">
        <v>5042</v>
      </c>
      <c r="E738" s="20">
        <f t="shared" si="51"/>
        <v>0</v>
      </c>
      <c r="F738" s="20"/>
      <c r="G738" s="24" t="s">
        <v>7193</v>
      </c>
      <c r="H738" s="20">
        <f t="shared" si="52"/>
        <v>0</v>
      </c>
      <c r="I738" s="21">
        <f t="shared" si="54"/>
        <v>0</v>
      </c>
      <c r="J738" s="21">
        <f t="shared" si="54"/>
        <v>0</v>
      </c>
    </row>
    <row r="739" spans="1:10" x14ac:dyDescent="0.3">
      <c r="A739" s="2" t="s">
        <v>729</v>
      </c>
      <c r="B739" s="1" t="s">
        <v>2152</v>
      </c>
      <c r="C739" s="6" t="s">
        <v>2876</v>
      </c>
      <c r="D739" s="6" t="s">
        <v>5043</v>
      </c>
      <c r="E739" s="20">
        <f t="shared" si="51"/>
        <v>0</v>
      </c>
      <c r="F739" s="20"/>
      <c r="G739" s="24" t="s">
        <v>7194</v>
      </c>
      <c r="H739" s="20">
        <f t="shared" si="52"/>
        <v>0</v>
      </c>
      <c r="I739" s="21">
        <f t="shared" si="54"/>
        <v>0</v>
      </c>
      <c r="J739" s="21">
        <f t="shared" si="54"/>
        <v>0</v>
      </c>
    </row>
    <row r="740" spans="1:10" x14ac:dyDescent="0.3">
      <c r="A740" s="2" t="s">
        <v>730</v>
      </c>
      <c r="B740" s="1" t="s">
        <v>2152</v>
      </c>
      <c r="C740" s="6" t="s">
        <v>2877</v>
      </c>
      <c r="D740" s="6" t="s">
        <v>5044</v>
      </c>
      <c r="E740" s="20">
        <f t="shared" si="51"/>
        <v>0</v>
      </c>
      <c r="F740" s="20"/>
      <c r="G740" s="24" t="s">
        <v>7195</v>
      </c>
      <c r="H740" s="20">
        <f t="shared" si="52"/>
        <v>0</v>
      </c>
      <c r="I740" s="21">
        <f t="shared" si="54"/>
        <v>0</v>
      </c>
      <c r="J740" s="21">
        <f t="shared" si="54"/>
        <v>0</v>
      </c>
    </row>
    <row r="741" spans="1:10" ht="41.4" x14ac:dyDescent="0.3">
      <c r="A741" s="2" t="s">
        <v>731</v>
      </c>
      <c r="B741" s="1" t="s">
        <v>2152</v>
      </c>
      <c r="C741" s="6" t="s">
        <v>2878</v>
      </c>
      <c r="D741" s="6" t="s">
        <v>5045</v>
      </c>
      <c r="E741" s="20">
        <f t="shared" si="51"/>
        <v>0</v>
      </c>
      <c r="F741" s="20">
        <v>650</v>
      </c>
      <c r="G741" s="24" t="s">
        <v>7196</v>
      </c>
      <c r="H741" s="20">
        <f t="shared" si="52"/>
        <v>0</v>
      </c>
      <c r="I741" s="21">
        <v>750</v>
      </c>
      <c r="J741" s="21">
        <f>X741</f>
        <v>0</v>
      </c>
    </row>
    <row r="742" spans="1:10" ht="27.6" x14ac:dyDescent="0.3">
      <c r="A742" s="2" t="s">
        <v>732</v>
      </c>
      <c r="B742" s="1" t="s">
        <v>2152</v>
      </c>
      <c r="C742" s="6" t="s">
        <v>2879</v>
      </c>
      <c r="D742" s="6" t="s">
        <v>5046</v>
      </c>
      <c r="E742" s="20">
        <f t="shared" si="51"/>
        <v>0</v>
      </c>
      <c r="F742" s="20"/>
      <c r="G742" s="24" t="s">
        <v>7197</v>
      </c>
      <c r="H742" s="20">
        <f t="shared" si="52"/>
        <v>0</v>
      </c>
      <c r="I742" s="21">
        <v>444</v>
      </c>
      <c r="J742" s="21">
        <f>X742</f>
        <v>0</v>
      </c>
    </row>
    <row r="743" spans="1:10" ht="27.6" x14ac:dyDescent="0.3">
      <c r="A743" s="2" t="s">
        <v>733</v>
      </c>
      <c r="B743" s="1" t="s">
        <v>2152</v>
      </c>
      <c r="C743" s="6" t="s">
        <v>2880</v>
      </c>
      <c r="D743" s="6" t="s">
        <v>5047</v>
      </c>
      <c r="E743" s="20">
        <f t="shared" si="51"/>
        <v>0</v>
      </c>
      <c r="F743" s="20"/>
      <c r="G743" s="24" t="s">
        <v>7198</v>
      </c>
      <c r="H743" s="20">
        <f t="shared" si="52"/>
        <v>0</v>
      </c>
      <c r="I743" s="21">
        <v>306</v>
      </c>
      <c r="J743" s="21">
        <f>X743</f>
        <v>0</v>
      </c>
    </row>
    <row r="744" spans="1:10" ht="96.6" x14ac:dyDescent="0.3">
      <c r="A744" s="2" t="s">
        <v>734</v>
      </c>
      <c r="B744" s="1" t="s">
        <v>2152</v>
      </c>
      <c r="C744" s="6" t="s">
        <v>2881</v>
      </c>
      <c r="D744" s="6" t="s">
        <v>5048</v>
      </c>
      <c r="E744" s="20"/>
      <c r="F744" s="20"/>
      <c r="G744" s="24" t="s">
        <v>7199</v>
      </c>
      <c r="H744" s="20"/>
    </row>
    <row r="745" spans="1:10" x14ac:dyDescent="0.3">
      <c r="A745" s="2" t="s">
        <v>735</v>
      </c>
      <c r="B745" s="1" t="s">
        <v>2152</v>
      </c>
      <c r="C745" s="6" t="s">
        <v>2882</v>
      </c>
      <c r="D745" s="6" t="s">
        <v>5049</v>
      </c>
      <c r="E745" s="20"/>
      <c r="F745" s="20"/>
      <c r="G745" s="24" t="s">
        <v>7200</v>
      </c>
      <c r="H745" s="20"/>
    </row>
    <row r="746" spans="1:10" x14ac:dyDescent="0.3">
      <c r="A746" s="2" t="s">
        <v>736</v>
      </c>
      <c r="B746" s="1" t="s">
        <v>2152</v>
      </c>
      <c r="C746" s="6" t="s">
        <v>2883</v>
      </c>
      <c r="D746" s="6" t="s">
        <v>5050</v>
      </c>
      <c r="E746" s="20"/>
      <c r="F746" s="20"/>
      <c r="G746" s="24" t="s">
        <v>7201</v>
      </c>
      <c r="H746" s="20"/>
    </row>
    <row r="747" spans="1:10" x14ac:dyDescent="0.3">
      <c r="A747" s="2" t="s">
        <v>737</v>
      </c>
      <c r="B747" s="1" t="s">
        <v>2152</v>
      </c>
      <c r="C747" s="6" t="s">
        <v>2884</v>
      </c>
      <c r="D747" s="6" t="s">
        <v>5051</v>
      </c>
      <c r="E747" s="20"/>
      <c r="F747" s="20"/>
      <c r="G747" s="24" t="s">
        <v>7202</v>
      </c>
      <c r="H747" s="20"/>
    </row>
    <row r="748" spans="1:10" ht="124.2" x14ac:dyDescent="0.3">
      <c r="A748" s="2" t="s">
        <v>738</v>
      </c>
      <c r="B748" s="1" t="s">
        <v>2152</v>
      </c>
      <c r="C748" s="6" t="s">
        <v>2885</v>
      </c>
      <c r="D748" s="6" t="s">
        <v>5052</v>
      </c>
      <c r="E748" s="20"/>
      <c r="F748" s="20"/>
      <c r="G748" s="24" t="s">
        <v>7203</v>
      </c>
      <c r="H748" s="20"/>
    </row>
    <row r="749" spans="1:10" ht="69" x14ac:dyDescent="0.3">
      <c r="A749" s="2" t="s">
        <v>739</v>
      </c>
      <c r="B749" s="1" t="s">
        <v>2152</v>
      </c>
      <c r="C749" s="6" t="s">
        <v>2886</v>
      </c>
      <c r="D749" s="6" t="s">
        <v>5053</v>
      </c>
      <c r="E749" s="20"/>
      <c r="F749" s="20"/>
      <c r="G749" s="24" t="s">
        <v>7204</v>
      </c>
      <c r="H749" s="20"/>
    </row>
    <row r="750" spans="1:10" ht="165.6" x14ac:dyDescent="0.3">
      <c r="A750" s="2" t="s">
        <v>740</v>
      </c>
      <c r="B750" s="1" t="s">
        <v>2152</v>
      </c>
      <c r="C750" s="6" t="s">
        <v>2887</v>
      </c>
      <c r="D750" s="6" t="s">
        <v>5054</v>
      </c>
      <c r="E750" s="20"/>
      <c r="F750" s="20"/>
      <c r="G750" s="24" t="s">
        <v>7205</v>
      </c>
      <c r="H750" s="20"/>
    </row>
    <row r="751" spans="1:10" ht="96.6" x14ac:dyDescent="0.3">
      <c r="A751" s="2" t="s">
        <v>741</v>
      </c>
      <c r="B751" s="1" t="s">
        <v>2152</v>
      </c>
      <c r="C751" s="6" t="s">
        <v>2888</v>
      </c>
      <c r="D751" s="6" t="s">
        <v>5055</v>
      </c>
      <c r="E751" s="20"/>
      <c r="F751" s="20"/>
      <c r="G751" s="24" t="s">
        <v>7206</v>
      </c>
      <c r="H751" s="20"/>
    </row>
    <row r="752" spans="1:10" ht="55.2" x14ac:dyDescent="0.3">
      <c r="A752" s="2" t="s">
        <v>742</v>
      </c>
      <c r="B752" s="1" t="s">
        <v>2152</v>
      </c>
      <c r="C752" s="6" t="s">
        <v>2889</v>
      </c>
      <c r="D752" s="6" t="s">
        <v>5056</v>
      </c>
      <c r="E752" s="20"/>
      <c r="F752" s="20"/>
      <c r="G752" s="24" t="s">
        <v>7207</v>
      </c>
      <c r="H752" s="20"/>
    </row>
    <row r="753" spans="1:10" ht="110.4" x14ac:dyDescent="0.3">
      <c r="A753" s="3" t="s">
        <v>599</v>
      </c>
      <c r="B753" s="1" t="s">
        <v>2152</v>
      </c>
      <c r="C753" s="6" t="s">
        <v>2890</v>
      </c>
      <c r="D753" s="6" t="s">
        <v>4911</v>
      </c>
      <c r="E753" s="20">
        <f t="shared" si="51"/>
        <v>0</v>
      </c>
      <c r="F753" s="20">
        <f>'[17]200 TON PRES'!$H$53</f>
        <v>134072.5</v>
      </c>
      <c r="G753" s="24" t="s">
        <v>7208</v>
      </c>
      <c r="H753" s="20">
        <f t="shared" si="52"/>
        <v>0</v>
      </c>
      <c r="I753" s="21">
        <v>8100</v>
      </c>
      <c r="J753" s="21">
        <f t="shared" ref="J753:J761" si="55">X753</f>
        <v>0</v>
      </c>
    </row>
    <row r="754" spans="1:10" ht="110.4" x14ac:dyDescent="0.3">
      <c r="A754" s="2" t="s">
        <v>743</v>
      </c>
      <c r="B754" s="1" t="s">
        <v>2152</v>
      </c>
      <c r="C754" s="6" t="s">
        <v>2891</v>
      </c>
      <c r="D754" s="6" t="s">
        <v>5057</v>
      </c>
      <c r="E754" s="20">
        <f t="shared" si="51"/>
        <v>0</v>
      </c>
      <c r="F754" s="20">
        <f>'[17]200 TON PRES'!$L$2</f>
        <v>134072.5</v>
      </c>
      <c r="G754" s="24" t="s">
        <v>7209</v>
      </c>
      <c r="H754" s="20">
        <f t="shared" si="52"/>
        <v>0</v>
      </c>
      <c r="I754" s="21">
        <v>7600</v>
      </c>
      <c r="J754" s="21">
        <f t="shared" si="55"/>
        <v>0</v>
      </c>
    </row>
    <row r="755" spans="1:10" ht="110.4" x14ac:dyDescent="0.3">
      <c r="A755" s="2" t="s">
        <v>744</v>
      </c>
      <c r="B755" s="1" t="s">
        <v>2152</v>
      </c>
      <c r="C755" s="6" t="s">
        <v>2892</v>
      </c>
      <c r="D755" s="6" t="s">
        <v>5058</v>
      </c>
      <c r="E755" s="20">
        <f t="shared" si="51"/>
        <v>0</v>
      </c>
      <c r="F755" s="20">
        <f>'[17]300 TON PRES'!$H$53</f>
        <v>157288.5</v>
      </c>
      <c r="G755" s="24" t="s">
        <v>7210</v>
      </c>
      <c r="H755" s="20">
        <f t="shared" si="52"/>
        <v>0</v>
      </c>
      <c r="I755" s="21">
        <v>9100</v>
      </c>
      <c r="J755" s="21">
        <f t="shared" si="55"/>
        <v>0</v>
      </c>
    </row>
    <row r="756" spans="1:10" ht="110.4" x14ac:dyDescent="0.3">
      <c r="A756" s="2" t="s">
        <v>745</v>
      </c>
      <c r="B756" s="1" t="s">
        <v>2152</v>
      </c>
      <c r="C756" s="6" t="s">
        <v>2893</v>
      </c>
      <c r="D756" s="6" t="s">
        <v>5059</v>
      </c>
      <c r="E756" s="20">
        <f t="shared" si="51"/>
        <v>0</v>
      </c>
      <c r="F756" s="20">
        <v>133494</v>
      </c>
      <c r="G756" s="24" t="s">
        <v>7211</v>
      </c>
      <c r="H756" s="20">
        <f t="shared" si="52"/>
        <v>0</v>
      </c>
      <c r="I756" s="21">
        <v>8600</v>
      </c>
      <c r="J756" s="21">
        <f t="shared" si="55"/>
        <v>0</v>
      </c>
    </row>
    <row r="757" spans="1:10" ht="110.4" x14ac:dyDescent="0.3">
      <c r="A757" s="2" t="s">
        <v>746</v>
      </c>
      <c r="B757" s="1" t="s">
        <v>2152</v>
      </c>
      <c r="C757" s="6" t="s">
        <v>2894</v>
      </c>
      <c r="D757" s="6" t="s">
        <v>5060</v>
      </c>
      <c r="E757" s="20">
        <f t="shared" si="51"/>
        <v>0</v>
      </c>
      <c r="F757" s="20">
        <f>'[39]200 ton kolonlu'!$L$2</f>
        <v>162198.5</v>
      </c>
      <c r="G757" s="24" t="s">
        <v>7212</v>
      </c>
      <c r="H757" s="20">
        <f t="shared" si="52"/>
        <v>0</v>
      </c>
      <c r="I757" s="21">
        <v>8200</v>
      </c>
      <c r="J757" s="21">
        <f t="shared" si="55"/>
        <v>0</v>
      </c>
    </row>
    <row r="758" spans="1:10" ht="110.4" x14ac:dyDescent="0.3">
      <c r="A758" s="2" t="s">
        <v>747</v>
      </c>
      <c r="B758" s="1" t="s">
        <v>2152</v>
      </c>
      <c r="C758" s="6" t="s">
        <v>2895</v>
      </c>
      <c r="D758" s="6" t="s">
        <v>5061</v>
      </c>
      <c r="E758" s="20">
        <f t="shared" si="51"/>
        <v>0</v>
      </c>
      <c r="F758" s="20">
        <f>[39]İPTALLL!$L$2</f>
        <v>154551.20000000001</v>
      </c>
      <c r="G758" s="24" t="s">
        <v>7213</v>
      </c>
      <c r="H758" s="20">
        <f t="shared" si="52"/>
        <v>0</v>
      </c>
      <c r="I758" s="21">
        <v>9350</v>
      </c>
      <c r="J758" s="21">
        <f t="shared" si="55"/>
        <v>0</v>
      </c>
    </row>
    <row r="759" spans="1:10" ht="110.4" x14ac:dyDescent="0.3">
      <c r="A759" s="2" t="s">
        <v>748</v>
      </c>
      <c r="B759" s="1" t="s">
        <v>2152</v>
      </c>
      <c r="C759" s="6" t="s">
        <v>2896</v>
      </c>
      <c r="D759" s="6" t="s">
        <v>5062</v>
      </c>
      <c r="E759" s="20">
        <f t="shared" si="51"/>
        <v>0</v>
      </c>
      <c r="F759" s="20"/>
      <c r="G759" s="24" t="s">
        <v>7214</v>
      </c>
      <c r="H759" s="20">
        <f t="shared" si="52"/>
        <v>0</v>
      </c>
      <c r="I759" s="21">
        <v>11900</v>
      </c>
      <c r="J759" s="21">
        <f t="shared" si="55"/>
        <v>0</v>
      </c>
    </row>
    <row r="760" spans="1:10" ht="110.4" x14ac:dyDescent="0.3">
      <c r="A760" s="2" t="s">
        <v>749</v>
      </c>
      <c r="B760" s="1" t="s">
        <v>2152</v>
      </c>
      <c r="C760" s="6" t="s">
        <v>2897</v>
      </c>
      <c r="D760" s="6" t="s">
        <v>5063</v>
      </c>
      <c r="E760" s="20">
        <f t="shared" si="51"/>
        <v>0</v>
      </c>
      <c r="F760" s="20"/>
      <c r="G760" s="24" t="s">
        <v>7215</v>
      </c>
      <c r="H760" s="20">
        <f t="shared" si="52"/>
        <v>0</v>
      </c>
      <c r="I760" s="21">
        <v>14600</v>
      </c>
      <c r="J760" s="21">
        <f t="shared" si="55"/>
        <v>0</v>
      </c>
    </row>
    <row r="761" spans="1:10" ht="124.2" x14ac:dyDescent="0.3">
      <c r="A761" s="2" t="s">
        <v>750</v>
      </c>
      <c r="B761" s="1" t="s">
        <v>2152</v>
      </c>
      <c r="C761" s="6" t="s">
        <v>2898</v>
      </c>
      <c r="D761" s="6" t="s">
        <v>5064</v>
      </c>
      <c r="E761" s="20">
        <f t="shared" si="51"/>
        <v>0</v>
      </c>
      <c r="F761" s="20">
        <v>16000</v>
      </c>
      <c r="G761" s="24" t="s">
        <v>7216</v>
      </c>
      <c r="H761" s="20">
        <f t="shared" si="52"/>
        <v>0</v>
      </c>
      <c r="I761" s="21">
        <v>7700</v>
      </c>
      <c r="J761" s="21">
        <f t="shared" si="55"/>
        <v>0</v>
      </c>
    </row>
    <row r="762" spans="1:10" ht="179.4" x14ac:dyDescent="0.3">
      <c r="A762" s="6" t="s">
        <v>751</v>
      </c>
      <c r="B762" s="1" t="s">
        <v>2152</v>
      </c>
      <c r="C762" s="6" t="s">
        <v>2899</v>
      </c>
      <c r="D762" s="6" t="s">
        <v>5065</v>
      </c>
      <c r="E762" s="20">
        <f t="shared" si="51"/>
        <v>0</v>
      </c>
      <c r="F762" s="20">
        <v>19250</v>
      </c>
      <c r="G762" s="24" t="s">
        <v>7217</v>
      </c>
      <c r="H762" s="20">
        <f t="shared" si="52"/>
        <v>0</v>
      </c>
      <c r="I762" s="21">
        <v>10280</v>
      </c>
      <c r="J762" s="21">
        <f>X762</f>
        <v>0</v>
      </c>
    </row>
    <row r="763" spans="1:10" ht="69" x14ac:dyDescent="0.3">
      <c r="A763" s="2" t="s">
        <v>752</v>
      </c>
      <c r="B763" s="1" t="s">
        <v>2152</v>
      </c>
      <c r="C763" s="6" t="s">
        <v>2900</v>
      </c>
      <c r="D763" s="6" t="s">
        <v>5066</v>
      </c>
      <c r="E763" s="20">
        <f t="shared" si="51"/>
        <v>0</v>
      </c>
      <c r="F763" s="20">
        <f>'[17]200 TON PRES'!$H$21</f>
        <v>78461</v>
      </c>
      <c r="G763" s="24" t="s">
        <v>7218</v>
      </c>
      <c r="H763" s="20">
        <f t="shared" si="52"/>
        <v>0</v>
      </c>
      <c r="I763" s="21">
        <v>3510</v>
      </c>
      <c r="J763" s="21">
        <f t="shared" ref="J763:J808" si="56">X763</f>
        <v>0</v>
      </c>
    </row>
    <row r="764" spans="1:10" ht="69" x14ac:dyDescent="0.3">
      <c r="A764" s="2" t="s">
        <v>753</v>
      </c>
      <c r="B764" s="1" t="s">
        <v>2152</v>
      </c>
      <c r="C764" s="6" t="s">
        <v>2901</v>
      </c>
      <c r="D764" s="6" t="s">
        <v>5067</v>
      </c>
      <c r="E764" s="20">
        <f t="shared" si="51"/>
        <v>0</v>
      </c>
      <c r="F764" s="20">
        <v>7690</v>
      </c>
      <c r="G764" s="24" t="s">
        <v>7219</v>
      </c>
      <c r="H764" s="20">
        <f t="shared" si="52"/>
        <v>0</v>
      </c>
      <c r="I764" s="21">
        <v>3400</v>
      </c>
      <c r="J764" s="21">
        <f t="shared" si="56"/>
        <v>0</v>
      </c>
    </row>
    <row r="765" spans="1:10" ht="69" x14ac:dyDescent="0.3">
      <c r="A765" s="2" t="s">
        <v>754</v>
      </c>
      <c r="B765" s="1" t="s">
        <v>2152</v>
      </c>
      <c r="C765" s="6" t="s">
        <v>2902</v>
      </c>
      <c r="D765" s="6" t="s">
        <v>5068</v>
      </c>
      <c r="E765" s="20">
        <f t="shared" si="51"/>
        <v>0</v>
      </c>
      <c r="F765" s="20">
        <f>'[17]300 TON PRES'!$H$21</f>
        <v>102636</v>
      </c>
      <c r="G765" s="24" t="s">
        <v>7220</v>
      </c>
      <c r="H765" s="20">
        <f t="shared" si="52"/>
        <v>0</v>
      </c>
      <c r="I765" s="21">
        <v>5490</v>
      </c>
      <c r="J765" s="21">
        <f t="shared" si="56"/>
        <v>0</v>
      </c>
    </row>
    <row r="766" spans="1:10" ht="69" x14ac:dyDescent="0.3">
      <c r="A766" s="2" t="s">
        <v>755</v>
      </c>
      <c r="B766" s="1" t="s">
        <v>2152</v>
      </c>
      <c r="C766" s="6" t="s">
        <v>2903</v>
      </c>
      <c r="D766" s="6" t="s">
        <v>5069</v>
      </c>
      <c r="E766" s="20">
        <f t="shared" si="51"/>
        <v>0</v>
      </c>
      <c r="F766" s="20">
        <v>10275</v>
      </c>
      <c r="G766" s="24" t="s">
        <v>7221</v>
      </c>
      <c r="H766" s="20">
        <f t="shared" si="52"/>
        <v>0</v>
      </c>
      <c r="I766" s="21">
        <v>5300</v>
      </c>
      <c r="J766" s="21">
        <f t="shared" si="56"/>
        <v>0</v>
      </c>
    </row>
    <row r="767" spans="1:10" ht="69" x14ac:dyDescent="0.3">
      <c r="A767" s="2" t="s">
        <v>756</v>
      </c>
      <c r="B767" s="1" t="s">
        <v>2152</v>
      </c>
      <c r="C767" s="6" t="s">
        <v>2904</v>
      </c>
      <c r="D767" s="6" t="s">
        <v>5070</v>
      </c>
      <c r="E767" s="20">
        <f t="shared" si="51"/>
        <v>0</v>
      </c>
      <c r="F767" s="20">
        <f>'[17]200 ton kolonlu'!$L$2</f>
        <v>162198.5</v>
      </c>
      <c r="G767" s="24" t="s">
        <v>7222</v>
      </c>
      <c r="H767" s="20">
        <f t="shared" si="52"/>
        <v>0</v>
      </c>
      <c r="I767" s="21">
        <v>4750</v>
      </c>
      <c r="J767" s="21">
        <f t="shared" si="56"/>
        <v>0</v>
      </c>
    </row>
    <row r="768" spans="1:10" ht="69" x14ac:dyDescent="0.3">
      <c r="A768" s="2" t="s">
        <v>757</v>
      </c>
      <c r="B768" s="1" t="s">
        <v>2152</v>
      </c>
      <c r="C768" s="6" t="s">
        <v>2905</v>
      </c>
      <c r="D768" s="6" t="s">
        <v>5071</v>
      </c>
      <c r="E768" s="20">
        <f t="shared" si="51"/>
        <v>0</v>
      </c>
      <c r="F768" s="20">
        <f>'[17]300 TON GÜNCEL'!$H$22</f>
        <v>133416</v>
      </c>
      <c r="G768" s="24" t="s">
        <v>7223</v>
      </c>
      <c r="H768" s="20">
        <f t="shared" si="52"/>
        <v>0</v>
      </c>
      <c r="I768" s="21">
        <v>6030</v>
      </c>
      <c r="J768" s="21">
        <f t="shared" si="56"/>
        <v>0</v>
      </c>
    </row>
    <row r="769" spans="1:10" ht="69" x14ac:dyDescent="0.3">
      <c r="A769" s="2" t="s">
        <v>758</v>
      </c>
      <c r="B769" s="1" t="s">
        <v>2152</v>
      </c>
      <c r="C769" s="6" t="s">
        <v>2906</v>
      </c>
      <c r="D769" s="6" t="s">
        <v>5072</v>
      </c>
      <c r="E769" s="20">
        <f t="shared" si="51"/>
        <v>0</v>
      </c>
      <c r="F769" s="20">
        <f>'[17]400 TON GÜNCEL'!$H$22</f>
        <v>185716</v>
      </c>
      <c r="G769" s="24" t="s">
        <v>7224</v>
      </c>
      <c r="H769" s="20">
        <f t="shared" si="52"/>
        <v>0</v>
      </c>
      <c r="I769" s="21">
        <v>8920</v>
      </c>
      <c r="J769" s="21">
        <f t="shared" si="56"/>
        <v>0</v>
      </c>
    </row>
    <row r="770" spans="1:10" ht="69" x14ac:dyDescent="0.3">
      <c r="A770" s="2" t="s">
        <v>759</v>
      </c>
      <c r="B770" s="1" t="s">
        <v>2152</v>
      </c>
      <c r="C770" s="6" t="s">
        <v>2907</v>
      </c>
      <c r="D770" s="6" t="s">
        <v>5073</v>
      </c>
      <c r="E770" s="20">
        <f t="shared" si="51"/>
        <v>0</v>
      </c>
      <c r="F770" s="20">
        <f>'[17]500 TON GÜNCEL'!$H$22</f>
        <v>216306</v>
      </c>
      <c r="G770" s="24" t="s">
        <v>7225</v>
      </c>
      <c r="H770" s="20">
        <f t="shared" si="52"/>
        <v>0</v>
      </c>
      <c r="I770" s="21">
        <v>12168</v>
      </c>
      <c r="J770" s="21">
        <f t="shared" si="56"/>
        <v>0</v>
      </c>
    </row>
    <row r="771" spans="1:10" ht="124.2" x14ac:dyDescent="0.3">
      <c r="A771" s="2" t="s">
        <v>760</v>
      </c>
      <c r="B771" s="1" t="s">
        <v>2152</v>
      </c>
      <c r="C771" s="6" t="s">
        <v>2908</v>
      </c>
      <c r="D771" s="6" t="s">
        <v>5074</v>
      </c>
      <c r="E771" s="20">
        <f t="shared" si="51"/>
        <v>0</v>
      </c>
      <c r="F771" s="20">
        <v>9190</v>
      </c>
      <c r="G771" s="24" t="s">
        <v>7226</v>
      </c>
      <c r="H771" s="20">
        <f t="shared" si="52"/>
        <v>0</v>
      </c>
      <c r="I771" s="21">
        <v>3400</v>
      </c>
      <c r="J771" s="21">
        <f t="shared" si="56"/>
        <v>0</v>
      </c>
    </row>
    <row r="772" spans="1:10" ht="27.6" x14ac:dyDescent="0.3">
      <c r="A772" s="2" t="s">
        <v>761</v>
      </c>
      <c r="B772" s="1" t="s">
        <v>2152</v>
      </c>
      <c r="C772" s="6" t="s">
        <v>2909</v>
      </c>
      <c r="D772" s="6" t="s">
        <v>5075</v>
      </c>
      <c r="E772" s="20">
        <f t="shared" si="51"/>
        <v>0</v>
      </c>
      <c r="F772" s="20">
        <v>1500</v>
      </c>
      <c r="G772" s="24" t="s">
        <v>7227</v>
      </c>
      <c r="H772" s="20">
        <f t="shared" si="52"/>
        <v>0</v>
      </c>
      <c r="I772" s="21">
        <v>1800</v>
      </c>
      <c r="J772" s="21">
        <f t="shared" si="56"/>
        <v>0</v>
      </c>
    </row>
    <row r="773" spans="1:10" ht="41.4" x14ac:dyDescent="0.3">
      <c r="A773" s="2" t="s">
        <v>762</v>
      </c>
      <c r="B773" s="1" t="s">
        <v>2152</v>
      </c>
      <c r="C773" s="6" t="s">
        <v>2910</v>
      </c>
      <c r="D773" s="6" t="s">
        <v>5076</v>
      </c>
      <c r="E773" s="20">
        <f t="shared" ref="E773:E838" si="57">H773*1.8*1.4</f>
        <v>0</v>
      </c>
      <c r="F773" s="20"/>
      <c r="G773" s="24" t="s">
        <v>7228</v>
      </c>
      <c r="H773" s="20">
        <f t="shared" ref="H773:H838" si="58">K773*1.8*1.4</f>
        <v>0</v>
      </c>
      <c r="I773" s="21">
        <f>W773</f>
        <v>0</v>
      </c>
      <c r="J773" s="21">
        <f t="shared" si="56"/>
        <v>0</v>
      </c>
    </row>
    <row r="774" spans="1:10" ht="41.4" x14ac:dyDescent="0.3">
      <c r="A774" s="2" t="s">
        <v>763</v>
      </c>
      <c r="B774" s="1" t="s">
        <v>2152</v>
      </c>
      <c r="C774" s="6" t="s">
        <v>2911</v>
      </c>
      <c r="D774" s="6" t="s">
        <v>5077</v>
      </c>
      <c r="E774" s="20">
        <f t="shared" si="57"/>
        <v>0</v>
      </c>
      <c r="F774" s="20">
        <v>750</v>
      </c>
      <c r="G774" s="24" t="s">
        <v>7229</v>
      </c>
      <c r="H774" s="20">
        <f t="shared" si="58"/>
        <v>0</v>
      </c>
      <c r="I774" s="21">
        <f>W774</f>
        <v>0</v>
      </c>
      <c r="J774" s="21">
        <f t="shared" si="56"/>
        <v>0</v>
      </c>
    </row>
    <row r="775" spans="1:10" ht="41.4" x14ac:dyDescent="0.3">
      <c r="A775" s="2" t="s">
        <v>764</v>
      </c>
      <c r="B775" s="1" t="s">
        <v>2152</v>
      </c>
      <c r="C775" s="6" t="s">
        <v>2912</v>
      </c>
      <c r="D775" s="6" t="s">
        <v>5078</v>
      </c>
      <c r="E775" s="20">
        <f t="shared" si="57"/>
        <v>0</v>
      </c>
      <c r="F775" s="20">
        <v>1000</v>
      </c>
      <c r="G775" s="24" t="s">
        <v>7230</v>
      </c>
      <c r="H775" s="20">
        <f t="shared" si="58"/>
        <v>0</v>
      </c>
      <c r="I775" s="21">
        <f>W775</f>
        <v>0</v>
      </c>
      <c r="J775" s="21">
        <f t="shared" si="56"/>
        <v>0</v>
      </c>
    </row>
    <row r="776" spans="1:10" ht="41.4" x14ac:dyDescent="0.3">
      <c r="A776" s="2" t="s">
        <v>765</v>
      </c>
      <c r="B776" s="1" t="s">
        <v>2152</v>
      </c>
      <c r="C776" s="6" t="s">
        <v>2913</v>
      </c>
      <c r="D776" s="6" t="s">
        <v>5079</v>
      </c>
      <c r="E776" s="20">
        <f t="shared" si="57"/>
        <v>0</v>
      </c>
      <c r="F776" s="20">
        <v>1200</v>
      </c>
      <c r="G776" s="24" t="s">
        <v>7231</v>
      </c>
      <c r="H776" s="20">
        <f t="shared" si="58"/>
        <v>0</v>
      </c>
      <c r="I776" s="21">
        <f>W776</f>
        <v>0</v>
      </c>
      <c r="J776" s="21">
        <f t="shared" si="56"/>
        <v>0</v>
      </c>
    </row>
    <row r="777" spans="1:10" ht="27.6" x14ac:dyDescent="0.3">
      <c r="A777" s="2" t="s">
        <v>766</v>
      </c>
      <c r="B777" s="1" t="s">
        <v>2152</v>
      </c>
      <c r="C777" s="6" t="s">
        <v>2914</v>
      </c>
      <c r="D777" s="6" t="s">
        <v>5080</v>
      </c>
      <c r="E777" s="20">
        <f t="shared" si="57"/>
        <v>0</v>
      </c>
      <c r="F777" s="20">
        <v>2200</v>
      </c>
      <c r="G777" s="24" t="s">
        <v>7232</v>
      </c>
      <c r="H777" s="20">
        <f t="shared" si="58"/>
        <v>0</v>
      </c>
      <c r="I777" s="21">
        <f>W777</f>
        <v>0</v>
      </c>
      <c r="J777" s="21">
        <f t="shared" si="56"/>
        <v>0</v>
      </c>
    </row>
    <row r="778" spans="1:10" ht="96.6" x14ac:dyDescent="0.3">
      <c r="A778" s="2" t="s">
        <v>581</v>
      </c>
      <c r="B778" s="1" t="s">
        <v>2152</v>
      </c>
      <c r="C778" s="6" t="s">
        <v>2915</v>
      </c>
      <c r="D778" s="6" t="s">
        <v>4893</v>
      </c>
      <c r="E778" s="20">
        <f t="shared" si="57"/>
        <v>0</v>
      </c>
      <c r="F778" s="20">
        <v>6500</v>
      </c>
      <c r="G778" s="24" t="s">
        <v>7233</v>
      </c>
      <c r="H778" s="20">
        <f t="shared" si="58"/>
        <v>0</v>
      </c>
      <c r="I778" s="21">
        <v>38100</v>
      </c>
      <c r="J778" s="21">
        <f t="shared" si="56"/>
        <v>0</v>
      </c>
    </row>
    <row r="779" spans="1:10" ht="27.6" x14ac:dyDescent="0.3">
      <c r="A779" s="2" t="s">
        <v>582</v>
      </c>
      <c r="B779" s="1" t="s">
        <v>2152</v>
      </c>
      <c r="C779" s="6" t="s">
        <v>2728</v>
      </c>
      <c r="D779" s="6" t="s">
        <v>4894</v>
      </c>
      <c r="E779" s="20">
        <f t="shared" si="57"/>
        <v>0</v>
      </c>
      <c r="F779" s="20">
        <v>4500</v>
      </c>
      <c r="G779" s="24" t="s">
        <v>7234</v>
      </c>
      <c r="H779" s="20">
        <f t="shared" si="58"/>
        <v>0</v>
      </c>
      <c r="I779" s="21">
        <v>2300</v>
      </c>
      <c r="J779" s="21">
        <f t="shared" si="56"/>
        <v>0</v>
      </c>
    </row>
    <row r="780" spans="1:10" ht="27.6" x14ac:dyDescent="0.3">
      <c r="A780" s="2" t="s">
        <v>583</v>
      </c>
      <c r="B780" s="1" t="s">
        <v>2152</v>
      </c>
      <c r="C780" s="6" t="s">
        <v>2729</v>
      </c>
      <c r="D780" s="6" t="s">
        <v>4895</v>
      </c>
      <c r="E780" s="20">
        <f t="shared" si="57"/>
        <v>0</v>
      </c>
      <c r="F780" s="20">
        <v>2000</v>
      </c>
      <c r="G780" s="24" t="s">
        <v>7235</v>
      </c>
      <c r="H780" s="20">
        <f t="shared" si="58"/>
        <v>0</v>
      </c>
      <c r="I780" s="21">
        <v>2510</v>
      </c>
      <c r="J780" s="21">
        <f t="shared" si="56"/>
        <v>0</v>
      </c>
    </row>
    <row r="781" spans="1:10" x14ac:dyDescent="0.3">
      <c r="A781" s="2" t="s">
        <v>584</v>
      </c>
      <c r="B781" s="1" t="s">
        <v>2152</v>
      </c>
      <c r="C781" s="6" t="s">
        <v>2730</v>
      </c>
      <c r="D781" s="6" t="s">
        <v>4896</v>
      </c>
      <c r="E781" s="20">
        <f t="shared" si="57"/>
        <v>0</v>
      </c>
      <c r="F781" s="20">
        <v>1225</v>
      </c>
      <c r="G781" s="24" t="s">
        <v>7236</v>
      </c>
      <c r="H781" s="20">
        <f t="shared" si="58"/>
        <v>0</v>
      </c>
      <c r="I781" s="21">
        <v>210</v>
      </c>
      <c r="J781" s="21">
        <f t="shared" si="56"/>
        <v>0</v>
      </c>
    </row>
    <row r="782" spans="1:10" x14ac:dyDescent="0.3">
      <c r="A782" s="2" t="s">
        <v>585</v>
      </c>
      <c r="B782" s="1" t="s">
        <v>2152</v>
      </c>
      <c r="C782" s="6" t="s">
        <v>2731</v>
      </c>
      <c r="D782" s="6" t="s">
        <v>4897</v>
      </c>
      <c r="E782" s="20">
        <f t="shared" si="57"/>
        <v>0</v>
      </c>
      <c r="F782" s="20"/>
      <c r="G782" s="24" t="s">
        <v>7237</v>
      </c>
      <c r="H782" s="20">
        <f t="shared" si="58"/>
        <v>0</v>
      </c>
      <c r="I782" s="21">
        <v>60</v>
      </c>
      <c r="J782" s="21">
        <f t="shared" si="56"/>
        <v>0</v>
      </c>
    </row>
    <row r="783" spans="1:10" x14ac:dyDescent="0.3">
      <c r="A783" s="2" t="s">
        <v>586</v>
      </c>
      <c r="B783" s="1" t="s">
        <v>2152</v>
      </c>
      <c r="C783" s="6" t="s">
        <v>2916</v>
      </c>
      <c r="D783" s="6" t="s">
        <v>5081</v>
      </c>
      <c r="E783" s="20">
        <f t="shared" si="57"/>
        <v>0</v>
      </c>
      <c r="F783" s="20">
        <f>[40]Sayfa1!$I$12</f>
        <v>0</v>
      </c>
      <c r="G783" s="24" t="s">
        <v>7238</v>
      </c>
      <c r="H783" s="20">
        <f t="shared" si="58"/>
        <v>0</v>
      </c>
      <c r="I783" s="21">
        <v>72</v>
      </c>
      <c r="J783" s="21">
        <f t="shared" si="56"/>
        <v>0</v>
      </c>
    </row>
    <row r="784" spans="1:10" x14ac:dyDescent="0.3">
      <c r="A784" s="2" t="s">
        <v>587</v>
      </c>
      <c r="B784" s="1" t="s">
        <v>2152</v>
      </c>
      <c r="C784" s="6" t="s">
        <v>2917</v>
      </c>
      <c r="D784" s="6" t="s">
        <v>5082</v>
      </c>
      <c r="E784" s="20">
        <f t="shared" si="57"/>
        <v>0</v>
      </c>
      <c r="F784" s="20">
        <v>110</v>
      </c>
      <c r="G784" s="24" t="s">
        <v>7239</v>
      </c>
      <c r="H784" s="20">
        <f t="shared" si="58"/>
        <v>0</v>
      </c>
      <c r="I784" s="21">
        <v>84</v>
      </c>
      <c r="J784" s="21">
        <f t="shared" si="56"/>
        <v>0</v>
      </c>
    </row>
    <row r="785" spans="1:10" x14ac:dyDescent="0.3">
      <c r="A785" s="2" t="s">
        <v>588</v>
      </c>
      <c r="B785" s="1" t="s">
        <v>2152</v>
      </c>
      <c r="C785" s="6" t="s">
        <v>2918</v>
      </c>
      <c r="D785" s="6" t="s">
        <v>5083</v>
      </c>
      <c r="E785" s="20">
        <f t="shared" si="57"/>
        <v>0</v>
      </c>
      <c r="F785" s="20">
        <v>160</v>
      </c>
      <c r="G785" s="24" t="s">
        <v>7240</v>
      </c>
      <c r="H785" s="20">
        <f t="shared" si="58"/>
        <v>0</v>
      </c>
      <c r="I785" s="21">
        <v>96</v>
      </c>
      <c r="J785" s="21">
        <f t="shared" si="56"/>
        <v>0</v>
      </c>
    </row>
    <row r="786" spans="1:10" x14ac:dyDescent="0.3">
      <c r="A786" s="2" t="s">
        <v>767</v>
      </c>
      <c r="B786" s="1" t="s">
        <v>2152</v>
      </c>
      <c r="C786" s="6" t="s">
        <v>2919</v>
      </c>
      <c r="D786" s="6" t="s">
        <v>5084</v>
      </c>
      <c r="E786" s="20">
        <f t="shared" si="57"/>
        <v>0</v>
      </c>
      <c r="F786" s="20">
        <v>145</v>
      </c>
      <c r="G786" s="24" t="s">
        <v>7241</v>
      </c>
      <c r="H786" s="20">
        <f t="shared" si="58"/>
        <v>0</v>
      </c>
      <c r="I786" s="21">
        <v>66</v>
      </c>
      <c r="J786" s="21">
        <f t="shared" si="56"/>
        <v>0</v>
      </c>
    </row>
    <row r="787" spans="1:10" x14ac:dyDescent="0.3">
      <c r="A787" s="2" t="s">
        <v>768</v>
      </c>
      <c r="B787" s="1" t="s">
        <v>2152</v>
      </c>
      <c r="C787" s="6" t="s">
        <v>2920</v>
      </c>
      <c r="D787" s="6" t="s">
        <v>5085</v>
      </c>
      <c r="E787" s="20">
        <f t="shared" si="57"/>
        <v>0</v>
      </c>
      <c r="F787" s="20">
        <v>65</v>
      </c>
      <c r="G787" s="24" t="s">
        <v>7242</v>
      </c>
      <c r="H787" s="20">
        <f t="shared" si="58"/>
        <v>0</v>
      </c>
      <c r="I787" s="21">
        <v>60</v>
      </c>
      <c r="J787" s="21">
        <f t="shared" si="56"/>
        <v>0</v>
      </c>
    </row>
    <row r="788" spans="1:10" x14ac:dyDescent="0.3">
      <c r="A788" s="2" t="s">
        <v>769</v>
      </c>
      <c r="B788" s="1" t="s">
        <v>2152</v>
      </c>
      <c r="C788" s="6" t="s">
        <v>2921</v>
      </c>
      <c r="D788" s="6" t="s">
        <v>5086</v>
      </c>
      <c r="E788" s="20">
        <f t="shared" si="57"/>
        <v>0</v>
      </c>
      <c r="F788" s="20">
        <v>105</v>
      </c>
      <c r="G788" s="24" t="s">
        <v>7243</v>
      </c>
      <c r="H788" s="20">
        <f t="shared" si="58"/>
        <v>0</v>
      </c>
      <c r="I788" s="21">
        <v>72</v>
      </c>
      <c r="J788" s="21">
        <f t="shared" si="56"/>
        <v>0</v>
      </c>
    </row>
    <row r="789" spans="1:10" x14ac:dyDescent="0.3">
      <c r="A789" s="2" t="s">
        <v>770</v>
      </c>
      <c r="B789" s="1" t="s">
        <v>2152</v>
      </c>
      <c r="C789" s="6" t="s">
        <v>2922</v>
      </c>
      <c r="D789" s="6" t="s">
        <v>5087</v>
      </c>
      <c r="E789" s="20">
        <f t="shared" si="57"/>
        <v>0</v>
      </c>
      <c r="F789" s="20">
        <v>140</v>
      </c>
      <c r="G789" s="24" t="s">
        <v>7244</v>
      </c>
      <c r="H789" s="20">
        <f t="shared" si="58"/>
        <v>0</v>
      </c>
      <c r="I789" s="21">
        <v>84</v>
      </c>
      <c r="J789" s="21">
        <f t="shared" si="56"/>
        <v>0</v>
      </c>
    </row>
    <row r="790" spans="1:10" x14ac:dyDescent="0.3">
      <c r="A790" s="2" t="s">
        <v>771</v>
      </c>
      <c r="B790" s="1" t="s">
        <v>2152</v>
      </c>
      <c r="C790" s="6" t="s">
        <v>2923</v>
      </c>
      <c r="D790" s="6" t="s">
        <v>5088</v>
      </c>
      <c r="E790" s="20">
        <f t="shared" si="57"/>
        <v>0</v>
      </c>
      <c r="F790" s="20">
        <v>130</v>
      </c>
      <c r="G790" s="24" t="s">
        <v>7245</v>
      </c>
      <c r="H790" s="20">
        <f t="shared" si="58"/>
        <v>0</v>
      </c>
      <c r="I790" s="21">
        <v>54</v>
      </c>
      <c r="J790" s="21">
        <f t="shared" si="56"/>
        <v>0</v>
      </c>
    </row>
    <row r="791" spans="1:10" x14ac:dyDescent="0.3">
      <c r="A791" s="2" t="s">
        <v>589</v>
      </c>
      <c r="B791" s="1" t="s">
        <v>2152</v>
      </c>
      <c r="C791" s="6" t="s">
        <v>2735</v>
      </c>
      <c r="D791" s="6" t="s">
        <v>4901</v>
      </c>
      <c r="E791" s="20">
        <f t="shared" si="57"/>
        <v>0</v>
      </c>
      <c r="F791" s="20">
        <v>3300</v>
      </c>
      <c r="G791" s="24" t="s">
        <v>7246</v>
      </c>
      <c r="H791" s="20">
        <f t="shared" si="58"/>
        <v>0</v>
      </c>
      <c r="I791" s="21">
        <v>1170</v>
      </c>
      <c r="J791" s="21">
        <f t="shared" si="56"/>
        <v>0</v>
      </c>
    </row>
    <row r="792" spans="1:10" ht="96.6" x14ac:dyDescent="0.3">
      <c r="A792" s="2" t="s">
        <v>772</v>
      </c>
      <c r="B792" s="1" t="s">
        <v>2152</v>
      </c>
      <c r="C792" s="6" t="s">
        <v>2924</v>
      </c>
      <c r="D792" s="6" t="s">
        <v>5089</v>
      </c>
      <c r="E792" s="20">
        <f t="shared" si="57"/>
        <v>0</v>
      </c>
      <c r="F792" s="20"/>
      <c r="G792" s="24" t="s">
        <v>7247</v>
      </c>
      <c r="H792" s="20">
        <f t="shared" si="58"/>
        <v>0</v>
      </c>
      <c r="I792" s="21">
        <v>6750</v>
      </c>
      <c r="J792" s="21">
        <f t="shared" si="56"/>
        <v>0</v>
      </c>
    </row>
    <row r="793" spans="1:10" ht="96.6" x14ac:dyDescent="0.3">
      <c r="A793" s="2" t="s">
        <v>773</v>
      </c>
      <c r="B793" s="1" t="s">
        <v>2152</v>
      </c>
      <c r="C793" s="6" t="s">
        <v>2925</v>
      </c>
      <c r="D793" s="6" t="s">
        <v>5090</v>
      </c>
      <c r="E793" s="20">
        <f t="shared" si="57"/>
        <v>0</v>
      </c>
      <c r="F793" s="20"/>
      <c r="G793" s="24" t="s">
        <v>7248</v>
      </c>
      <c r="H793" s="20">
        <f t="shared" si="58"/>
        <v>0</v>
      </c>
      <c r="I793" s="21">
        <v>6890</v>
      </c>
      <c r="J793" s="21">
        <f t="shared" si="56"/>
        <v>0</v>
      </c>
    </row>
    <row r="794" spans="1:10" ht="96.6" x14ac:dyDescent="0.3">
      <c r="A794" s="2" t="s">
        <v>774</v>
      </c>
      <c r="B794" s="1" t="s">
        <v>2152</v>
      </c>
      <c r="C794" s="6" t="s">
        <v>2926</v>
      </c>
      <c r="D794" s="6" t="s">
        <v>5091</v>
      </c>
      <c r="E794" s="20">
        <f t="shared" si="57"/>
        <v>0</v>
      </c>
      <c r="F794" s="20"/>
      <c r="G794" s="24" t="s">
        <v>7249</v>
      </c>
      <c r="H794" s="20">
        <f t="shared" si="58"/>
        <v>0</v>
      </c>
      <c r="I794" s="21">
        <v>6750</v>
      </c>
      <c r="J794" s="21">
        <f t="shared" si="56"/>
        <v>0</v>
      </c>
    </row>
    <row r="795" spans="1:10" ht="96.6" x14ac:dyDescent="0.3">
      <c r="A795" s="2" t="s">
        <v>775</v>
      </c>
      <c r="B795" s="1" t="s">
        <v>2152</v>
      </c>
      <c r="C795" s="6" t="s">
        <v>2927</v>
      </c>
      <c r="D795" s="6" t="s">
        <v>5092</v>
      </c>
      <c r="E795" s="20">
        <f t="shared" si="57"/>
        <v>0</v>
      </c>
      <c r="F795" s="20"/>
      <c r="G795" s="24" t="s">
        <v>7250</v>
      </c>
      <c r="H795" s="20">
        <f t="shared" si="58"/>
        <v>0</v>
      </c>
      <c r="I795" s="21">
        <v>6890</v>
      </c>
      <c r="J795" s="21">
        <f t="shared" si="56"/>
        <v>0</v>
      </c>
    </row>
    <row r="796" spans="1:10" ht="96.6" x14ac:dyDescent="0.3">
      <c r="A796" s="2" t="s">
        <v>776</v>
      </c>
      <c r="B796" s="1" t="s">
        <v>2152</v>
      </c>
      <c r="C796" s="6" t="s">
        <v>2928</v>
      </c>
      <c r="D796" s="6" t="s">
        <v>5093</v>
      </c>
      <c r="E796" s="20">
        <f t="shared" si="57"/>
        <v>0</v>
      </c>
      <c r="F796" s="20"/>
      <c r="G796" s="24" t="s">
        <v>7251</v>
      </c>
      <c r="H796" s="20">
        <f t="shared" si="58"/>
        <v>0</v>
      </c>
      <c r="I796" s="21">
        <v>6590</v>
      </c>
      <c r="J796" s="21">
        <f t="shared" si="56"/>
        <v>0</v>
      </c>
    </row>
    <row r="797" spans="1:10" ht="96.6" x14ac:dyDescent="0.3">
      <c r="A797" s="2" t="s">
        <v>777</v>
      </c>
      <c r="B797" s="1" t="s">
        <v>2152</v>
      </c>
      <c r="C797" s="6" t="s">
        <v>2929</v>
      </c>
      <c r="D797" s="6" t="s">
        <v>5094</v>
      </c>
      <c r="E797" s="20">
        <f t="shared" si="57"/>
        <v>0</v>
      </c>
      <c r="F797" s="20"/>
      <c r="G797" s="24" t="s">
        <v>7252</v>
      </c>
      <c r="H797" s="20">
        <f t="shared" si="58"/>
        <v>0</v>
      </c>
      <c r="I797" s="21">
        <v>8510</v>
      </c>
      <c r="J797" s="21">
        <f t="shared" si="56"/>
        <v>0</v>
      </c>
    </row>
    <row r="798" spans="1:10" ht="27.6" x14ac:dyDescent="0.3">
      <c r="A798" s="2" t="s">
        <v>778</v>
      </c>
      <c r="B798" s="1" t="s">
        <v>2152</v>
      </c>
      <c r="C798" s="6" t="s">
        <v>2930</v>
      </c>
      <c r="D798" s="6" t="s">
        <v>5095</v>
      </c>
      <c r="E798" s="20">
        <f t="shared" si="57"/>
        <v>0</v>
      </c>
      <c r="F798" s="20"/>
      <c r="G798" s="24" t="s">
        <v>7253</v>
      </c>
      <c r="H798" s="20">
        <f t="shared" si="58"/>
        <v>0</v>
      </c>
      <c r="I798" s="21">
        <v>3200</v>
      </c>
      <c r="J798" s="21">
        <f t="shared" si="56"/>
        <v>0</v>
      </c>
    </row>
    <row r="799" spans="1:10" x14ac:dyDescent="0.3">
      <c r="A799" s="2" t="s">
        <v>779</v>
      </c>
      <c r="B799" s="1" t="s">
        <v>2152</v>
      </c>
      <c r="C799" s="6" t="s">
        <v>2931</v>
      </c>
      <c r="D799" s="6" t="s">
        <v>5096</v>
      </c>
      <c r="E799" s="20">
        <f t="shared" si="57"/>
        <v>0</v>
      </c>
      <c r="F799" s="20"/>
      <c r="G799" s="24" t="s">
        <v>7254</v>
      </c>
      <c r="H799" s="20">
        <f t="shared" si="58"/>
        <v>0</v>
      </c>
      <c r="I799" s="21">
        <v>22210</v>
      </c>
      <c r="J799" s="21">
        <f t="shared" si="56"/>
        <v>0</v>
      </c>
    </row>
    <row r="800" spans="1:10" x14ac:dyDescent="0.3">
      <c r="A800" s="2" t="s">
        <v>780</v>
      </c>
      <c r="B800" s="1" t="s">
        <v>2152</v>
      </c>
      <c r="C800" s="6" t="s">
        <v>2932</v>
      </c>
      <c r="D800" s="6" t="s">
        <v>5097</v>
      </c>
      <c r="E800" s="20">
        <f t="shared" si="57"/>
        <v>0</v>
      </c>
      <c r="F800" s="20"/>
      <c r="G800" s="24" t="s">
        <v>7255</v>
      </c>
      <c r="H800" s="20">
        <f t="shared" si="58"/>
        <v>0</v>
      </c>
      <c r="I800" s="21">
        <v>1100</v>
      </c>
      <c r="J800" s="21">
        <f t="shared" si="56"/>
        <v>0</v>
      </c>
    </row>
    <row r="801" spans="1:10" ht="110.4" x14ac:dyDescent="0.3">
      <c r="A801" s="2" t="s">
        <v>781</v>
      </c>
      <c r="B801" s="1" t="s">
        <v>2152</v>
      </c>
      <c r="C801" s="6" t="s">
        <v>2933</v>
      </c>
      <c r="D801" s="6" t="s">
        <v>5098</v>
      </c>
      <c r="E801" s="20">
        <f t="shared" si="57"/>
        <v>0</v>
      </c>
      <c r="F801" s="20">
        <f>'[41]EĞİLME TEST PRESİ 10TON U GÖVDE'!$L$2</f>
        <v>34713.75</v>
      </c>
      <c r="G801" s="24" t="s">
        <v>7256</v>
      </c>
      <c r="H801" s="20">
        <f t="shared" si="58"/>
        <v>0</v>
      </c>
      <c r="I801" s="21">
        <v>6950</v>
      </c>
      <c r="J801" s="21">
        <f t="shared" si="56"/>
        <v>0</v>
      </c>
    </row>
    <row r="802" spans="1:10" ht="110.4" x14ac:dyDescent="0.3">
      <c r="A802" s="3" t="s">
        <v>782</v>
      </c>
      <c r="B802" s="1" t="s">
        <v>2152</v>
      </c>
      <c r="C802" s="6" t="s">
        <v>2934</v>
      </c>
      <c r="D802" s="6" t="s">
        <v>5099</v>
      </c>
      <c r="E802" s="20">
        <f t="shared" si="57"/>
        <v>0</v>
      </c>
      <c r="F802" s="20">
        <f>'[41]EĞİLME TEST PRESİ 20TON U GÖVDE'!$L$3</f>
        <v>39267.75</v>
      </c>
      <c r="G802" s="24" t="s">
        <v>7257</v>
      </c>
      <c r="H802" s="20">
        <f t="shared" si="58"/>
        <v>0</v>
      </c>
      <c r="I802" s="21">
        <v>7100</v>
      </c>
      <c r="J802" s="21">
        <f t="shared" si="56"/>
        <v>0</v>
      </c>
    </row>
    <row r="803" spans="1:10" ht="110.4" x14ac:dyDescent="0.3">
      <c r="A803" s="2" t="s">
        <v>783</v>
      </c>
      <c r="B803" s="1" t="s">
        <v>2152</v>
      </c>
      <c r="C803" s="6" t="s">
        <v>2935</v>
      </c>
      <c r="D803" s="6" t="s">
        <v>5100</v>
      </c>
      <c r="E803" s="20">
        <f t="shared" si="57"/>
        <v>0</v>
      </c>
      <c r="F803" s="20">
        <f>'[41]EĞİLME TEST PRESİ 30TON U GÖVDE'!$L$2</f>
        <v>48785</v>
      </c>
      <c r="G803" s="24" t="s">
        <v>7258</v>
      </c>
      <c r="H803" s="20">
        <f t="shared" si="58"/>
        <v>0</v>
      </c>
      <c r="I803" s="21">
        <v>7400</v>
      </c>
      <c r="J803" s="21">
        <f t="shared" si="56"/>
        <v>0</v>
      </c>
    </row>
    <row r="804" spans="1:10" ht="110.4" x14ac:dyDescent="0.3">
      <c r="A804" s="2" t="s">
        <v>784</v>
      </c>
      <c r="B804" s="1" t="s">
        <v>2152</v>
      </c>
      <c r="C804" s="6" t="s">
        <v>2936</v>
      </c>
      <c r="D804" s="6" t="s">
        <v>5101</v>
      </c>
      <c r="E804" s="20">
        <f t="shared" si="57"/>
        <v>0</v>
      </c>
      <c r="F804" s="20">
        <f>[42]Sayfa1!$L$2</f>
        <v>119518.64000000001</v>
      </c>
      <c r="G804" s="24" t="s">
        <v>7259</v>
      </c>
      <c r="H804" s="20">
        <f t="shared" si="58"/>
        <v>0</v>
      </c>
      <c r="I804" s="21">
        <v>9200</v>
      </c>
      <c r="J804" s="21">
        <f t="shared" si="56"/>
        <v>0</v>
      </c>
    </row>
    <row r="805" spans="1:10" ht="110.4" x14ac:dyDescent="0.3">
      <c r="A805" s="2" t="s">
        <v>785</v>
      </c>
      <c r="B805" s="1" t="s">
        <v>2152</v>
      </c>
      <c r="C805" s="6" t="s">
        <v>2937</v>
      </c>
      <c r="D805" s="6" t="s">
        <v>5102</v>
      </c>
      <c r="E805" s="20">
        <f t="shared" si="57"/>
        <v>0</v>
      </c>
      <c r="F805" s="20">
        <v>0</v>
      </c>
      <c r="G805" s="24" t="s">
        <v>7260</v>
      </c>
      <c r="H805" s="20">
        <f t="shared" si="58"/>
        <v>0</v>
      </c>
      <c r="I805" s="21">
        <v>10676</v>
      </c>
      <c r="J805" s="21">
        <f t="shared" si="56"/>
        <v>0</v>
      </c>
    </row>
    <row r="806" spans="1:10" ht="110.4" x14ac:dyDescent="0.3">
      <c r="A806" s="2" t="s">
        <v>786</v>
      </c>
      <c r="B806" s="1" t="s">
        <v>2152</v>
      </c>
      <c r="C806" s="6" t="s">
        <v>2938</v>
      </c>
      <c r="D806" s="6" t="s">
        <v>5103</v>
      </c>
      <c r="E806" s="20">
        <f t="shared" si="57"/>
        <v>0</v>
      </c>
      <c r="F806" s="20">
        <f>'[41]EĞİLME 20TON İKİ KOLONLU GÖVDE'!$L$2</f>
        <v>37815.75</v>
      </c>
      <c r="G806" s="24" t="s">
        <v>7261</v>
      </c>
      <c r="H806" s="20">
        <f t="shared" si="58"/>
        <v>0</v>
      </c>
      <c r="I806" s="21">
        <v>7670</v>
      </c>
      <c r="J806" s="21">
        <f t="shared" si="56"/>
        <v>0</v>
      </c>
    </row>
    <row r="807" spans="1:10" ht="110.4" x14ac:dyDescent="0.3">
      <c r="A807" s="2" t="s">
        <v>787</v>
      </c>
      <c r="B807" s="1" t="s">
        <v>2152</v>
      </c>
      <c r="C807" s="6" t="s">
        <v>2939</v>
      </c>
      <c r="D807" s="6" t="s">
        <v>5104</v>
      </c>
      <c r="E807" s="20">
        <f t="shared" si="57"/>
        <v>0</v>
      </c>
      <c r="F807" s="20">
        <f>'[41]EĞİLME 30TON İKİ KOLONLU GÖVDE'!$L$2</f>
        <v>28340</v>
      </c>
      <c r="G807" s="24" t="s">
        <v>7262</v>
      </c>
      <c r="H807" s="20">
        <f t="shared" si="58"/>
        <v>0</v>
      </c>
      <c r="I807" s="21">
        <v>7790</v>
      </c>
      <c r="J807" s="21">
        <f t="shared" si="56"/>
        <v>0</v>
      </c>
    </row>
    <row r="808" spans="1:10" ht="110.4" x14ac:dyDescent="0.3">
      <c r="A808" s="2" t="s">
        <v>788</v>
      </c>
      <c r="B808" s="1" t="s">
        <v>2152</v>
      </c>
      <c r="C808" s="6" t="s">
        <v>2940</v>
      </c>
      <c r="D808" s="6" t="s">
        <v>5105</v>
      </c>
      <c r="E808" s="20">
        <f t="shared" si="57"/>
        <v>0</v>
      </c>
      <c r="F808" s="20">
        <f>'[41]EĞİLME 40TON İKİ KOLONLU GÖVDE'!$L$2</f>
        <v>39618.75</v>
      </c>
      <c r="G808" s="24" t="s">
        <v>7263</v>
      </c>
      <c r="H808" s="20">
        <f t="shared" si="58"/>
        <v>0</v>
      </c>
      <c r="I808" s="21">
        <v>8060</v>
      </c>
      <c r="J808" s="21">
        <f t="shared" si="56"/>
        <v>0</v>
      </c>
    </row>
    <row r="809" spans="1:10" ht="96.6" x14ac:dyDescent="0.3">
      <c r="A809" s="2" t="s">
        <v>788</v>
      </c>
      <c r="B809" s="1" t="s">
        <v>2152</v>
      </c>
      <c r="C809" s="6" t="s">
        <v>2941</v>
      </c>
      <c r="D809" s="6" t="s">
        <v>5106</v>
      </c>
      <c r="E809" s="21">
        <v>25000</v>
      </c>
      <c r="F809" s="20">
        <f>'[41]EĞİLME 40TON İKİ KOLONLU GÖVDE'!$L$2</f>
        <v>39618.75</v>
      </c>
      <c r="G809" s="24" t="s">
        <v>7264</v>
      </c>
      <c r="H809" s="21">
        <v>25000</v>
      </c>
      <c r="I809" s="21">
        <v>25000</v>
      </c>
      <c r="J809" s="21">
        <v>23500</v>
      </c>
    </row>
    <row r="810" spans="1:10" ht="110.4" x14ac:dyDescent="0.3">
      <c r="A810" s="2" t="s">
        <v>789</v>
      </c>
      <c r="B810" s="1" t="s">
        <v>2152</v>
      </c>
      <c r="C810" s="6" t="s">
        <v>2942</v>
      </c>
      <c r="D810" s="6" t="s">
        <v>5107</v>
      </c>
      <c r="E810" s="21">
        <v>40000</v>
      </c>
      <c r="F810" s="20">
        <f>'[41]EĞİLME 40TON İKİ KOLONLU GÖVDE'!$L$2</f>
        <v>39618.75</v>
      </c>
      <c r="G810" s="24" t="s">
        <v>7265</v>
      </c>
      <c r="H810" s="21">
        <v>40000</v>
      </c>
      <c r="I810" s="21">
        <v>40000</v>
      </c>
      <c r="J810" s="21">
        <v>37500</v>
      </c>
    </row>
    <row r="811" spans="1:10" x14ac:dyDescent="0.3">
      <c r="A811" s="2" t="s">
        <v>790</v>
      </c>
      <c r="B811" s="1" t="s">
        <v>2152</v>
      </c>
      <c r="C811" s="6" t="s">
        <v>2943</v>
      </c>
      <c r="E811" s="20">
        <f t="shared" si="57"/>
        <v>0</v>
      </c>
      <c r="F811" s="20">
        <f>[43]Sayfa1!$L$2</f>
        <v>43919</v>
      </c>
      <c r="G811" s="24" t="s">
        <v>7266</v>
      </c>
      <c r="H811" s="20">
        <f t="shared" si="58"/>
        <v>0</v>
      </c>
    </row>
    <row r="812" spans="1:10" ht="55.2" x14ac:dyDescent="0.3">
      <c r="A812" s="2" t="s">
        <v>791</v>
      </c>
      <c r="B812" s="1" t="s">
        <v>2152</v>
      </c>
      <c r="C812" s="6" t="s">
        <v>2944</v>
      </c>
      <c r="D812" s="6" t="s">
        <v>5108</v>
      </c>
      <c r="E812" s="20">
        <f t="shared" si="57"/>
        <v>0</v>
      </c>
      <c r="F812" s="20"/>
      <c r="G812" s="24" t="s">
        <v>7267</v>
      </c>
      <c r="H812" s="20">
        <f t="shared" si="58"/>
        <v>0</v>
      </c>
      <c r="I812" s="21">
        <v>3420</v>
      </c>
      <c r="J812" s="21">
        <f t="shared" ref="J812:J834" si="59">X812</f>
        <v>0</v>
      </c>
    </row>
    <row r="813" spans="1:10" x14ac:dyDescent="0.3">
      <c r="A813" s="2" t="s">
        <v>792</v>
      </c>
      <c r="B813" s="1" t="s">
        <v>2152</v>
      </c>
      <c r="C813" s="6" t="s">
        <v>2945</v>
      </c>
      <c r="D813" s="6" t="s">
        <v>5109</v>
      </c>
      <c r="E813" s="20">
        <f t="shared" si="57"/>
        <v>0</v>
      </c>
      <c r="F813" s="20"/>
      <c r="G813" s="24" t="s">
        <v>7268</v>
      </c>
      <c r="H813" s="20">
        <f t="shared" si="58"/>
        <v>0</v>
      </c>
      <c r="I813" s="21">
        <v>480</v>
      </c>
      <c r="J813" s="21">
        <f t="shared" si="59"/>
        <v>0</v>
      </c>
    </row>
    <row r="814" spans="1:10" ht="55.2" x14ac:dyDescent="0.3">
      <c r="A814" s="2" t="s">
        <v>793</v>
      </c>
      <c r="B814" s="1" t="s">
        <v>2152</v>
      </c>
      <c r="C814" s="6" t="s">
        <v>2946</v>
      </c>
      <c r="D814" s="6" t="s">
        <v>5110</v>
      </c>
      <c r="E814" s="20">
        <f t="shared" si="57"/>
        <v>0</v>
      </c>
      <c r="F814" s="20"/>
      <c r="G814" s="24" t="s">
        <v>7269</v>
      </c>
      <c r="H814" s="20">
        <f t="shared" si="58"/>
        <v>0</v>
      </c>
      <c r="I814" s="21">
        <v>3577</v>
      </c>
      <c r="J814" s="21">
        <f t="shared" si="59"/>
        <v>0</v>
      </c>
    </row>
    <row r="815" spans="1:10" x14ac:dyDescent="0.3">
      <c r="A815" s="2" t="s">
        <v>794</v>
      </c>
      <c r="B815" s="1" t="s">
        <v>2152</v>
      </c>
      <c r="C815" s="6" t="s">
        <v>2947</v>
      </c>
      <c r="D815" s="6" t="s">
        <v>5111</v>
      </c>
      <c r="E815" s="20">
        <f t="shared" si="57"/>
        <v>0</v>
      </c>
      <c r="F815" s="20"/>
      <c r="G815" s="24" t="s">
        <v>7270</v>
      </c>
      <c r="H815" s="20">
        <f t="shared" si="58"/>
        <v>0</v>
      </c>
      <c r="I815" s="21">
        <v>480</v>
      </c>
      <c r="J815" s="21">
        <f t="shared" si="59"/>
        <v>0</v>
      </c>
    </row>
    <row r="816" spans="1:10" ht="55.2" x14ac:dyDescent="0.3">
      <c r="A816" s="2" t="s">
        <v>795</v>
      </c>
      <c r="B816" s="1" t="s">
        <v>2152</v>
      </c>
      <c r="C816" s="6" t="s">
        <v>2948</v>
      </c>
      <c r="D816" s="6" t="s">
        <v>5112</v>
      </c>
      <c r="E816" s="20">
        <f t="shared" si="57"/>
        <v>0</v>
      </c>
      <c r="F816" s="20">
        <v>15000</v>
      </c>
      <c r="G816" s="24" t="s">
        <v>7271</v>
      </c>
      <c r="H816" s="20">
        <f t="shared" si="58"/>
        <v>0</v>
      </c>
      <c r="I816" s="21">
        <v>3840</v>
      </c>
      <c r="J816" s="21">
        <f t="shared" si="59"/>
        <v>0</v>
      </c>
    </row>
    <row r="817" spans="1:10" x14ac:dyDescent="0.3">
      <c r="A817" s="2" t="s">
        <v>796</v>
      </c>
      <c r="B817" s="1" t="s">
        <v>2152</v>
      </c>
      <c r="C817" s="6" t="s">
        <v>2949</v>
      </c>
      <c r="D817" s="6" t="s">
        <v>5113</v>
      </c>
      <c r="E817" s="20">
        <f t="shared" si="57"/>
        <v>0</v>
      </c>
      <c r="F817" s="20"/>
      <c r="G817" s="24" t="s">
        <v>7272</v>
      </c>
      <c r="H817" s="20">
        <f t="shared" si="58"/>
        <v>0</v>
      </c>
      <c r="I817" s="21">
        <v>480</v>
      </c>
      <c r="J817" s="21">
        <f t="shared" si="59"/>
        <v>0</v>
      </c>
    </row>
    <row r="818" spans="1:10" ht="55.2" x14ac:dyDescent="0.3">
      <c r="A818" s="2" t="s">
        <v>797</v>
      </c>
      <c r="B818" s="1" t="s">
        <v>2152</v>
      </c>
      <c r="C818" s="6" t="s">
        <v>2950</v>
      </c>
      <c r="D818" s="6" t="s">
        <v>5114</v>
      </c>
      <c r="E818" s="20">
        <f t="shared" si="57"/>
        <v>0</v>
      </c>
      <c r="F818" s="20"/>
      <c r="G818" s="24" t="s">
        <v>7273</v>
      </c>
      <c r="H818" s="20">
        <f t="shared" si="58"/>
        <v>0</v>
      </c>
      <c r="I818" s="21">
        <f>W818</f>
        <v>0</v>
      </c>
      <c r="J818" s="21">
        <f t="shared" si="59"/>
        <v>0</v>
      </c>
    </row>
    <row r="819" spans="1:10" x14ac:dyDescent="0.3">
      <c r="A819" s="2" t="s">
        <v>796</v>
      </c>
      <c r="B819" s="1" t="s">
        <v>2152</v>
      </c>
      <c r="C819" s="6" t="s">
        <v>2949</v>
      </c>
      <c r="D819" s="6" t="s">
        <v>5113</v>
      </c>
      <c r="E819" s="20">
        <f t="shared" si="57"/>
        <v>0</v>
      </c>
      <c r="F819" s="20"/>
      <c r="G819" s="24" t="s">
        <v>7274</v>
      </c>
      <c r="H819" s="20">
        <f t="shared" si="58"/>
        <v>0</v>
      </c>
      <c r="I819" s="21">
        <v>480</v>
      </c>
      <c r="J819" s="21">
        <f t="shared" si="59"/>
        <v>0</v>
      </c>
    </row>
    <row r="820" spans="1:10" ht="55.2" x14ac:dyDescent="0.3">
      <c r="A820" s="2" t="s">
        <v>798</v>
      </c>
      <c r="B820" s="1" t="s">
        <v>2152</v>
      </c>
      <c r="C820" s="6" t="s">
        <v>2951</v>
      </c>
      <c r="D820" s="6" t="s">
        <v>5115</v>
      </c>
      <c r="E820" s="20">
        <f t="shared" si="57"/>
        <v>0</v>
      </c>
      <c r="F820" s="20"/>
      <c r="G820" s="24" t="s">
        <v>7275</v>
      </c>
      <c r="H820" s="20">
        <f t="shared" si="58"/>
        <v>0</v>
      </c>
      <c r="I820" s="21">
        <f>W820</f>
        <v>0</v>
      </c>
      <c r="J820" s="21">
        <f t="shared" si="59"/>
        <v>0</v>
      </c>
    </row>
    <row r="821" spans="1:10" x14ac:dyDescent="0.3">
      <c r="A821" s="2" t="s">
        <v>799</v>
      </c>
      <c r="B821" s="1" t="s">
        <v>2152</v>
      </c>
      <c r="C821" s="6" t="s">
        <v>2952</v>
      </c>
      <c r="D821" s="6" t="s">
        <v>5116</v>
      </c>
      <c r="E821" s="20">
        <f t="shared" si="57"/>
        <v>0</v>
      </c>
      <c r="F821" s="20"/>
      <c r="G821" s="24" t="s">
        <v>7276</v>
      </c>
      <c r="H821" s="20">
        <f t="shared" si="58"/>
        <v>0</v>
      </c>
      <c r="I821" s="21">
        <v>552</v>
      </c>
      <c r="J821" s="21">
        <f t="shared" si="59"/>
        <v>0</v>
      </c>
    </row>
    <row r="822" spans="1:10" ht="55.2" x14ac:dyDescent="0.3">
      <c r="A822" s="2" t="s">
        <v>800</v>
      </c>
      <c r="B822" s="1" t="s">
        <v>2152</v>
      </c>
      <c r="C822" s="6" t="s">
        <v>2953</v>
      </c>
      <c r="D822" s="6" t="s">
        <v>5117</v>
      </c>
      <c r="E822" s="20">
        <f t="shared" si="57"/>
        <v>0</v>
      </c>
      <c r="F822" s="20"/>
      <c r="G822" s="24" t="s">
        <v>7277</v>
      </c>
      <c r="H822" s="20">
        <f t="shared" si="58"/>
        <v>0</v>
      </c>
      <c r="I822" s="21">
        <v>4177</v>
      </c>
      <c r="J822" s="21">
        <f t="shared" si="59"/>
        <v>0</v>
      </c>
    </row>
    <row r="823" spans="1:10" x14ac:dyDescent="0.3">
      <c r="A823" s="2" t="s">
        <v>794</v>
      </c>
      <c r="B823" s="1" t="s">
        <v>2152</v>
      </c>
      <c r="C823" s="6" t="s">
        <v>2947</v>
      </c>
      <c r="D823" s="6" t="s">
        <v>5111</v>
      </c>
      <c r="E823" s="20">
        <f t="shared" si="57"/>
        <v>0</v>
      </c>
      <c r="F823" s="20"/>
      <c r="G823" s="24" t="s">
        <v>7278</v>
      </c>
      <c r="H823" s="20">
        <f t="shared" si="58"/>
        <v>0</v>
      </c>
      <c r="I823" s="21">
        <v>552</v>
      </c>
      <c r="J823" s="21">
        <f t="shared" si="59"/>
        <v>0</v>
      </c>
    </row>
    <row r="824" spans="1:10" ht="55.2" x14ac:dyDescent="0.3">
      <c r="A824" s="2" t="s">
        <v>801</v>
      </c>
      <c r="B824" s="1" t="s">
        <v>2152</v>
      </c>
      <c r="C824" s="6" t="s">
        <v>2954</v>
      </c>
      <c r="D824" s="6" t="s">
        <v>5118</v>
      </c>
      <c r="E824" s="20">
        <f t="shared" si="57"/>
        <v>0</v>
      </c>
      <c r="F824" s="20"/>
      <c r="G824" s="24" t="s">
        <v>7279</v>
      </c>
      <c r="H824" s="20">
        <f t="shared" si="58"/>
        <v>0</v>
      </c>
      <c r="I824" s="21">
        <v>4320</v>
      </c>
      <c r="J824" s="21">
        <f t="shared" si="59"/>
        <v>0</v>
      </c>
    </row>
    <row r="825" spans="1:10" x14ac:dyDescent="0.3">
      <c r="A825" s="2" t="s">
        <v>796</v>
      </c>
      <c r="B825" s="1" t="s">
        <v>2152</v>
      </c>
      <c r="C825" s="6" t="s">
        <v>2949</v>
      </c>
      <c r="D825" s="6" t="s">
        <v>5113</v>
      </c>
      <c r="E825" s="20">
        <f t="shared" si="57"/>
        <v>0</v>
      </c>
      <c r="F825" s="20"/>
      <c r="G825" s="24" t="s">
        <v>7280</v>
      </c>
      <c r="H825" s="20">
        <f t="shared" si="58"/>
        <v>0</v>
      </c>
      <c r="I825" s="21">
        <v>480</v>
      </c>
      <c r="J825" s="21">
        <f t="shared" si="59"/>
        <v>0</v>
      </c>
    </row>
    <row r="826" spans="1:10" ht="55.2" x14ac:dyDescent="0.3">
      <c r="A826" s="2" t="s">
        <v>802</v>
      </c>
      <c r="B826" s="1" t="s">
        <v>2152</v>
      </c>
      <c r="C826" s="6" t="s">
        <v>2955</v>
      </c>
      <c r="D826" s="6" t="s">
        <v>5119</v>
      </c>
      <c r="E826" s="20">
        <f t="shared" si="57"/>
        <v>0</v>
      </c>
      <c r="F826" s="20"/>
      <c r="G826" s="24" t="s">
        <v>7281</v>
      </c>
      <c r="H826" s="20">
        <f t="shared" si="58"/>
        <v>0</v>
      </c>
      <c r="I826" s="21">
        <v>4620</v>
      </c>
      <c r="J826" s="21">
        <f t="shared" si="59"/>
        <v>0</v>
      </c>
    </row>
    <row r="827" spans="1:10" x14ac:dyDescent="0.3">
      <c r="A827" s="2" t="s">
        <v>799</v>
      </c>
      <c r="B827" s="1" t="s">
        <v>2152</v>
      </c>
      <c r="C827" s="6" t="s">
        <v>2952</v>
      </c>
      <c r="D827" s="6" t="s">
        <v>5116</v>
      </c>
      <c r="E827" s="20">
        <f t="shared" si="57"/>
        <v>0</v>
      </c>
      <c r="F827" s="20"/>
      <c r="G827" s="24" t="s">
        <v>7282</v>
      </c>
      <c r="H827" s="20">
        <f t="shared" si="58"/>
        <v>0</v>
      </c>
      <c r="I827" s="21">
        <v>552</v>
      </c>
      <c r="J827" s="21">
        <f t="shared" si="59"/>
        <v>0</v>
      </c>
    </row>
    <row r="828" spans="1:10" ht="41.4" x14ac:dyDescent="0.3">
      <c r="A828" s="2" t="s">
        <v>803</v>
      </c>
      <c r="B828" s="1" t="s">
        <v>2152</v>
      </c>
      <c r="C828" s="6" t="s">
        <v>2956</v>
      </c>
      <c r="D828" s="6" t="s">
        <v>5120</v>
      </c>
      <c r="E828" s="20">
        <f t="shared" si="57"/>
        <v>0</v>
      </c>
      <c r="F828" s="20">
        <v>1000</v>
      </c>
      <c r="G828" s="24" t="s">
        <v>7283</v>
      </c>
      <c r="H828" s="20">
        <f t="shared" si="58"/>
        <v>0</v>
      </c>
      <c r="I828" s="21">
        <v>300</v>
      </c>
      <c r="J828" s="21">
        <f t="shared" si="59"/>
        <v>0</v>
      </c>
    </row>
    <row r="829" spans="1:10" ht="27.6" x14ac:dyDescent="0.3">
      <c r="A829" s="3" t="s">
        <v>804</v>
      </c>
      <c r="B829" s="1" t="s">
        <v>2152</v>
      </c>
      <c r="C829" s="6" t="s">
        <v>2957</v>
      </c>
      <c r="D829" s="6" t="s">
        <v>5121</v>
      </c>
      <c r="E829" s="20">
        <f t="shared" si="57"/>
        <v>0</v>
      </c>
      <c r="F829" s="20">
        <f>'[44]BORDÜR EĞİLME APARATI'!$L$2</f>
        <v>2904</v>
      </c>
      <c r="G829" s="24" t="s">
        <v>7284</v>
      </c>
      <c r="H829" s="20">
        <f t="shared" si="58"/>
        <v>0</v>
      </c>
      <c r="I829" s="21">
        <v>300</v>
      </c>
      <c r="J829" s="21">
        <f t="shared" si="59"/>
        <v>0</v>
      </c>
    </row>
    <row r="830" spans="1:10" ht="41.4" x14ac:dyDescent="0.3">
      <c r="A830" s="2" t="s">
        <v>805</v>
      </c>
      <c r="B830" s="1" t="s">
        <v>2152</v>
      </c>
      <c r="C830" s="6" t="s">
        <v>2958</v>
      </c>
      <c r="D830" s="6" t="s">
        <v>5122</v>
      </c>
      <c r="E830" s="20">
        <f t="shared" si="57"/>
        <v>0</v>
      </c>
      <c r="F830" s="20">
        <f>'[45]KARO EĞİLME APARATI'!$L$2</f>
        <v>950</v>
      </c>
      <c r="G830" s="24" t="s">
        <v>7285</v>
      </c>
      <c r="H830" s="20">
        <f t="shared" si="58"/>
        <v>0</v>
      </c>
      <c r="I830" s="21">
        <v>300</v>
      </c>
      <c r="J830" s="21">
        <f t="shared" si="59"/>
        <v>0</v>
      </c>
    </row>
    <row r="831" spans="1:10" ht="27.6" x14ac:dyDescent="0.3">
      <c r="A831" s="2" t="s">
        <v>806</v>
      </c>
      <c r="B831" s="1" t="s">
        <v>2152</v>
      </c>
      <c r="C831" s="6" t="s">
        <v>2959</v>
      </c>
      <c r="D831" s="6" t="s">
        <v>5123</v>
      </c>
      <c r="E831" s="20">
        <f t="shared" si="57"/>
        <v>0</v>
      </c>
      <c r="F831" s="20">
        <f>'[46]KÜP YARMA'!$L$2</f>
        <v>817.5</v>
      </c>
      <c r="G831" s="24" t="s">
        <v>7286</v>
      </c>
      <c r="H831" s="20">
        <f t="shared" si="58"/>
        <v>0</v>
      </c>
      <c r="I831" s="21">
        <v>300</v>
      </c>
      <c r="J831" s="21">
        <f t="shared" si="59"/>
        <v>0</v>
      </c>
    </row>
    <row r="832" spans="1:10" ht="27.6" x14ac:dyDescent="0.3">
      <c r="A832" s="3" t="s">
        <v>807</v>
      </c>
      <c r="B832" s="1" t="s">
        <v>2152</v>
      </c>
      <c r="C832" s="12" t="s">
        <v>2960</v>
      </c>
      <c r="D832" s="6" t="s">
        <v>5124</v>
      </c>
      <c r="E832" s="20">
        <f t="shared" si="57"/>
        <v>0</v>
      </c>
      <c r="F832" s="20">
        <f>[46]PARKE!$L$2</f>
        <v>850</v>
      </c>
      <c r="G832" s="24" t="s">
        <v>7287</v>
      </c>
      <c r="H832" s="20">
        <f t="shared" si="58"/>
        <v>0</v>
      </c>
      <c r="I832" s="21">
        <v>300</v>
      </c>
      <c r="J832" s="21">
        <f t="shared" si="59"/>
        <v>0</v>
      </c>
    </row>
    <row r="833" spans="1:10" ht="41.4" x14ac:dyDescent="0.3">
      <c r="A833" s="2" t="s">
        <v>808</v>
      </c>
      <c r="B833" s="1" t="s">
        <v>2152</v>
      </c>
      <c r="C833" s="6" t="s">
        <v>2961</v>
      </c>
      <c r="D833" s="6" t="s">
        <v>5125</v>
      </c>
      <c r="E833" s="20">
        <f t="shared" si="57"/>
        <v>0</v>
      </c>
      <c r="F833" s="20">
        <f>[46]SİLİNDİR!$L$2</f>
        <v>897.5</v>
      </c>
      <c r="G833" s="24" t="s">
        <v>7288</v>
      </c>
      <c r="H833" s="20">
        <f t="shared" si="58"/>
        <v>0</v>
      </c>
      <c r="I833" s="21">
        <v>300</v>
      </c>
      <c r="J833" s="21">
        <f t="shared" si="59"/>
        <v>0</v>
      </c>
    </row>
    <row r="834" spans="1:10" ht="27.6" x14ac:dyDescent="0.3">
      <c r="A834" s="2" t="s">
        <v>809</v>
      </c>
      <c r="B834" s="1" t="s">
        <v>2152</v>
      </c>
      <c r="C834" s="6" t="s">
        <v>2962</v>
      </c>
      <c r="D834" s="6" t="s">
        <v>5126</v>
      </c>
      <c r="E834" s="20">
        <f t="shared" si="57"/>
        <v>0</v>
      </c>
      <c r="F834" s="20">
        <f>'[47]YAĞMUR OLUĞU APARATI'!$L$2</f>
        <v>1050</v>
      </c>
      <c r="G834" s="24" t="s">
        <v>7289</v>
      </c>
      <c r="H834" s="20">
        <f t="shared" si="58"/>
        <v>0</v>
      </c>
      <c r="I834" s="21">
        <v>300</v>
      </c>
      <c r="J834" s="21">
        <f t="shared" si="59"/>
        <v>0</v>
      </c>
    </row>
    <row r="835" spans="1:10" ht="69" x14ac:dyDescent="0.3">
      <c r="A835" s="2" t="s">
        <v>810</v>
      </c>
      <c r="B835" s="1" t="s">
        <v>2152</v>
      </c>
      <c r="C835" s="6" t="s">
        <v>2963</v>
      </c>
      <c r="D835" s="6" t="s">
        <v>5127</v>
      </c>
      <c r="E835" s="20">
        <f t="shared" si="57"/>
        <v>0</v>
      </c>
      <c r="F835" s="20">
        <f>'[48]PAN MİKSER 56 LT'!$L$2</f>
        <v>36880</v>
      </c>
      <c r="G835" s="24" t="s">
        <v>7290</v>
      </c>
      <c r="H835" s="20">
        <f t="shared" si="58"/>
        <v>0</v>
      </c>
      <c r="I835" s="21">
        <v>2278</v>
      </c>
      <c r="J835" s="21">
        <f>X835</f>
        <v>0</v>
      </c>
    </row>
    <row r="836" spans="1:10" ht="94.2" x14ac:dyDescent="0.3">
      <c r="A836" s="2" t="s">
        <v>811</v>
      </c>
      <c r="B836" s="1" t="s">
        <v>2152</v>
      </c>
      <c r="C836" s="6" t="s">
        <v>2964</v>
      </c>
      <c r="D836" s="6" t="s">
        <v>5128</v>
      </c>
      <c r="E836" s="20">
        <f t="shared" si="57"/>
        <v>0</v>
      </c>
      <c r="F836" s="20">
        <f>'[48]üstten tahrikli pan mikseri'!$L$2</f>
        <v>51330</v>
      </c>
      <c r="G836" s="24" t="s">
        <v>7291</v>
      </c>
      <c r="H836" s="20">
        <f t="shared" si="58"/>
        <v>0</v>
      </c>
      <c r="I836" s="21">
        <v>3450</v>
      </c>
    </row>
    <row r="837" spans="1:10" ht="82.8" x14ac:dyDescent="0.3">
      <c r="A837" s="2" t="s">
        <v>812</v>
      </c>
      <c r="B837" s="1" t="s">
        <v>2152</v>
      </c>
      <c r="C837" s="6" t="s">
        <v>2965</v>
      </c>
      <c r="D837" s="6" t="s">
        <v>5129</v>
      </c>
      <c r="E837" s="20">
        <f t="shared" si="57"/>
        <v>0</v>
      </c>
      <c r="F837" s="20">
        <v>5000</v>
      </c>
      <c r="G837" s="24" t="s">
        <v>7292</v>
      </c>
      <c r="H837" s="20">
        <f t="shared" si="58"/>
        <v>0</v>
      </c>
      <c r="I837" s="21">
        <v>2950</v>
      </c>
      <c r="J837" s="21">
        <f>X837</f>
        <v>0</v>
      </c>
    </row>
    <row r="838" spans="1:10" ht="69" x14ac:dyDescent="0.3">
      <c r="A838" s="2" t="s">
        <v>813</v>
      </c>
      <c r="B838" s="1" t="s">
        <v>2152</v>
      </c>
      <c r="C838" s="6" t="s">
        <v>2966</v>
      </c>
      <c r="D838" s="6" t="s">
        <v>5130</v>
      </c>
      <c r="E838" s="20">
        <f t="shared" si="57"/>
        <v>0</v>
      </c>
      <c r="F838" s="20">
        <v>3500</v>
      </c>
      <c r="G838" s="24" t="s">
        <v>7293</v>
      </c>
      <c r="H838" s="20">
        <f t="shared" si="58"/>
        <v>0</v>
      </c>
      <c r="I838" s="21">
        <v>2460</v>
      </c>
      <c r="J838" s="21">
        <f t="shared" ref="J838:J844" si="60">X838</f>
        <v>0</v>
      </c>
    </row>
    <row r="839" spans="1:10" ht="69" x14ac:dyDescent="0.3">
      <c r="A839" s="2" t="s">
        <v>814</v>
      </c>
      <c r="B839" s="1" t="s">
        <v>2152</v>
      </c>
      <c r="C839" s="6" t="s">
        <v>2967</v>
      </c>
      <c r="D839" s="6" t="s">
        <v>5131</v>
      </c>
      <c r="E839" s="20">
        <f t="shared" ref="E839:E902" si="61">H839*1.8*1.4</f>
        <v>0</v>
      </c>
      <c r="F839" s="20">
        <v>3700</v>
      </c>
      <c r="G839" s="24" t="s">
        <v>7294</v>
      </c>
      <c r="H839" s="20">
        <f t="shared" ref="H839:H902" si="62">K839*1.8*1.4</f>
        <v>0</v>
      </c>
      <c r="I839" s="21">
        <v>2278</v>
      </c>
      <c r="J839" s="21">
        <f t="shared" si="60"/>
        <v>0</v>
      </c>
    </row>
    <row r="840" spans="1:10" ht="79.8" x14ac:dyDescent="0.3">
      <c r="A840" s="2" t="s">
        <v>815</v>
      </c>
      <c r="B840" s="1" t="s">
        <v>2152</v>
      </c>
      <c r="C840" s="6" t="s">
        <v>2968</v>
      </c>
      <c r="D840" s="6" t="s">
        <v>5132</v>
      </c>
      <c r="E840" s="20">
        <f t="shared" si="61"/>
        <v>0</v>
      </c>
      <c r="F840" s="20">
        <v>7200</v>
      </c>
      <c r="G840" s="24" t="s">
        <v>7295</v>
      </c>
      <c r="H840" s="20">
        <f t="shared" si="62"/>
        <v>0</v>
      </c>
      <c r="I840" s="21">
        <v>4150</v>
      </c>
      <c r="J840" s="21">
        <f t="shared" si="60"/>
        <v>0</v>
      </c>
    </row>
    <row r="841" spans="1:10" ht="55.2" x14ac:dyDescent="0.3">
      <c r="A841" s="2" t="s">
        <v>816</v>
      </c>
      <c r="B841" s="1" t="s">
        <v>2152</v>
      </c>
      <c r="C841" s="6" t="s">
        <v>2969</v>
      </c>
      <c r="D841" s="6" t="s">
        <v>5133</v>
      </c>
      <c r="E841" s="20">
        <f t="shared" si="61"/>
        <v>0</v>
      </c>
      <c r="F841" s="20">
        <v>6750</v>
      </c>
      <c r="G841" s="24" t="s">
        <v>7296</v>
      </c>
      <c r="H841" s="20">
        <f t="shared" si="62"/>
        <v>0</v>
      </c>
      <c r="I841" s="21">
        <v>1110</v>
      </c>
      <c r="J841" s="21">
        <f t="shared" si="60"/>
        <v>0</v>
      </c>
    </row>
    <row r="842" spans="1:10" ht="55.2" x14ac:dyDescent="0.3">
      <c r="A842" s="2" t="s">
        <v>817</v>
      </c>
      <c r="B842" s="1" t="s">
        <v>2152</v>
      </c>
      <c r="C842" s="6" t="s">
        <v>2970</v>
      </c>
      <c r="D842" s="6" t="s">
        <v>5134</v>
      </c>
      <c r="E842" s="20">
        <f t="shared" si="61"/>
        <v>0</v>
      </c>
      <c r="F842" s="20">
        <v>2700</v>
      </c>
      <c r="G842" s="24" t="s">
        <v>7297</v>
      </c>
      <c r="H842" s="20">
        <f t="shared" si="62"/>
        <v>0</v>
      </c>
      <c r="I842" s="21">
        <v>1200</v>
      </c>
      <c r="J842" s="21">
        <f t="shared" si="60"/>
        <v>0</v>
      </c>
    </row>
    <row r="843" spans="1:10" ht="55.2" x14ac:dyDescent="0.3">
      <c r="A843" s="2" t="s">
        <v>818</v>
      </c>
      <c r="B843" s="1" t="s">
        <v>2152</v>
      </c>
      <c r="C843" s="6" t="s">
        <v>2971</v>
      </c>
      <c r="D843" s="6" t="s">
        <v>5135</v>
      </c>
      <c r="E843" s="20">
        <f t="shared" si="61"/>
        <v>0</v>
      </c>
      <c r="F843" s="20">
        <v>2900</v>
      </c>
      <c r="G843" s="24" t="s">
        <v>7298</v>
      </c>
      <c r="H843" s="20">
        <f t="shared" si="62"/>
        <v>0</v>
      </c>
      <c r="I843" s="21">
        <v>1290</v>
      </c>
      <c r="J843" s="21">
        <f t="shared" si="60"/>
        <v>0</v>
      </c>
    </row>
    <row r="844" spans="1:10" ht="55.2" x14ac:dyDescent="0.3">
      <c r="A844" s="2" t="s">
        <v>819</v>
      </c>
      <c r="B844" s="1" t="s">
        <v>2152</v>
      </c>
      <c r="C844" s="6" t="s">
        <v>2972</v>
      </c>
      <c r="D844" s="6" t="s">
        <v>5136</v>
      </c>
      <c r="E844" s="20">
        <f t="shared" si="61"/>
        <v>0</v>
      </c>
      <c r="F844" s="20">
        <v>3100</v>
      </c>
      <c r="G844" s="24" t="s">
        <v>7299</v>
      </c>
      <c r="H844" s="20">
        <f t="shared" si="62"/>
        <v>0</v>
      </c>
      <c r="I844" s="21">
        <v>1410</v>
      </c>
      <c r="J844" s="21">
        <f t="shared" si="60"/>
        <v>0</v>
      </c>
    </row>
    <row r="845" spans="1:10" ht="55.2" x14ac:dyDescent="0.3">
      <c r="A845" s="2" t="s">
        <v>820</v>
      </c>
      <c r="B845" s="1" t="s">
        <v>2152</v>
      </c>
      <c r="C845" s="6" t="s">
        <v>2973</v>
      </c>
      <c r="D845" s="6" t="s">
        <v>5136</v>
      </c>
      <c r="E845" s="20">
        <f t="shared" si="61"/>
        <v>0</v>
      </c>
      <c r="F845" s="20">
        <v>8500</v>
      </c>
      <c r="G845" s="24" t="s">
        <v>7300</v>
      </c>
      <c r="H845" s="20">
        <f t="shared" si="62"/>
        <v>0</v>
      </c>
      <c r="I845" s="21">
        <v>2250</v>
      </c>
      <c r="J845" s="21">
        <f>X845</f>
        <v>0</v>
      </c>
    </row>
    <row r="846" spans="1:10" x14ac:dyDescent="0.3">
      <c r="A846" s="2" t="s">
        <v>821</v>
      </c>
      <c r="B846" s="1" t="s">
        <v>2152</v>
      </c>
      <c r="C846" s="6" t="s">
        <v>2974</v>
      </c>
      <c r="D846" s="6" t="s">
        <v>5137</v>
      </c>
      <c r="E846" s="20"/>
      <c r="F846" s="20"/>
      <c r="G846" s="24" t="s">
        <v>7301</v>
      </c>
      <c r="H846" s="20"/>
    </row>
    <row r="847" spans="1:10" x14ac:dyDescent="0.3">
      <c r="A847" s="2" t="s">
        <v>822</v>
      </c>
      <c r="B847" s="1" t="s">
        <v>2152</v>
      </c>
      <c r="C847" s="6" t="s">
        <v>2975</v>
      </c>
      <c r="D847" s="6" t="s">
        <v>5138</v>
      </c>
      <c r="E847" s="20"/>
      <c r="F847" s="20"/>
      <c r="G847" s="24" t="s">
        <v>7302</v>
      </c>
      <c r="H847" s="20"/>
    </row>
    <row r="848" spans="1:10" ht="55.2" x14ac:dyDescent="0.3">
      <c r="A848" s="2" t="s">
        <v>823</v>
      </c>
      <c r="B848" s="1" t="s">
        <v>2152</v>
      </c>
      <c r="C848" s="6" t="s">
        <v>2976</v>
      </c>
      <c r="D848" s="6" t="s">
        <v>5139</v>
      </c>
      <c r="E848" s="20">
        <f t="shared" si="61"/>
        <v>0</v>
      </c>
      <c r="F848" s="20">
        <v>3900</v>
      </c>
      <c r="G848" s="24" t="s">
        <v>7303</v>
      </c>
      <c r="H848" s="20">
        <f t="shared" si="62"/>
        <v>0</v>
      </c>
      <c r="I848" s="21">
        <v>510</v>
      </c>
      <c r="J848" s="21">
        <f t="shared" ref="J848:J855" si="63">X848</f>
        <v>0</v>
      </c>
    </row>
    <row r="849" spans="1:10" ht="55.2" x14ac:dyDescent="0.3">
      <c r="A849" s="2" t="s">
        <v>824</v>
      </c>
      <c r="B849" s="1" t="s">
        <v>2152</v>
      </c>
      <c r="C849" s="6" t="s">
        <v>2977</v>
      </c>
      <c r="D849" s="6" t="s">
        <v>5140</v>
      </c>
      <c r="E849" s="20">
        <f t="shared" si="61"/>
        <v>0</v>
      </c>
      <c r="F849" s="20">
        <v>2000</v>
      </c>
      <c r="G849" s="24" t="s">
        <v>7304</v>
      </c>
      <c r="H849" s="20">
        <f t="shared" si="62"/>
        <v>0</v>
      </c>
      <c r="I849" s="21">
        <v>585</v>
      </c>
      <c r="J849" s="21">
        <f t="shared" si="63"/>
        <v>0</v>
      </c>
    </row>
    <row r="850" spans="1:10" ht="55.2" x14ac:dyDescent="0.3">
      <c r="A850" s="2" t="s">
        <v>825</v>
      </c>
      <c r="B850" s="1" t="s">
        <v>2152</v>
      </c>
      <c r="C850" s="6" t="s">
        <v>2978</v>
      </c>
      <c r="D850" s="6" t="s">
        <v>5141</v>
      </c>
      <c r="E850" s="20">
        <f t="shared" si="61"/>
        <v>0</v>
      </c>
      <c r="F850" s="20">
        <v>4500</v>
      </c>
      <c r="G850" s="24" t="s">
        <v>7305</v>
      </c>
      <c r="H850" s="20">
        <f t="shared" si="62"/>
        <v>0</v>
      </c>
      <c r="I850" s="21">
        <v>675</v>
      </c>
      <c r="J850" s="21">
        <f t="shared" si="63"/>
        <v>0</v>
      </c>
    </row>
    <row r="851" spans="1:10" ht="55.2" x14ac:dyDescent="0.3">
      <c r="A851" s="2" t="s">
        <v>826</v>
      </c>
      <c r="B851" s="1" t="s">
        <v>2152</v>
      </c>
      <c r="C851" s="6" t="s">
        <v>2979</v>
      </c>
      <c r="D851" s="6" t="s">
        <v>5142</v>
      </c>
      <c r="E851" s="20">
        <f t="shared" si="61"/>
        <v>0</v>
      </c>
      <c r="F851" s="20">
        <v>1850</v>
      </c>
      <c r="G851" s="24" t="s">
        <v>7306</v>
      </c>
      <c r="H851" s="20">
        <f t="shared" si="62"/>
        <v>0</v>
      </c>
      <c r="I851" s="21">
        <v>540</v>
      </c>
      <c r="J851" s="21">
        <f t="shared" si="63"/>
        <v>0</v>
      </c>
    </row>
    <row r="852" spans="1:10" x14ac:dyDescent="0.3">
      <c r="A852" s="2" t="s">
        <v>827</v>
      </c>
      <c r="B852" s="1" t="s">
        <v>2152</v>
      </c>
      <c r="C852" s="6" t="s">
        <v>2980</v>
      </c>
      <c r="D852" s="6" t="s">
        <v>5143</v>
      </c>
      <c r="E852" s="20">
        <f t="shared" si="61"/>
        <v>0</v>
      </c>
      <c r="F852" s="20"/>
      <c r="G852" s="24" t="s">
        <v>7307</v>
      </c>
      <c r="H852" s="20">
        <f t="shared" si="62"/>
        <v>0</v>
      </c>
      <c r="I852" s="21">
        <f>W852</f>
        <v>0</v>
      </c>
      <c r="J852" s="21">
        <f t="shared" si="63"/>
        <v>0</v>
      </c>
    </row>
    <row r="853" spans="1:10" x14ac:dyDescent="0.3">
      <c r="A853" s="2" t="s">
        <v>828</v>
      </c>
      <c r="B853" s="1" t="s">
        <v>2152</v>
      </c>
      <c r="C853" s="6" t="s">
        <v>2981</v>
      </c>
      <c r="D853" s="6" t="s">
        <v>4790</v>
      </c>
      <c r="E853" s="20">
        <f t="shared" si="61"/>
        <v>0</v>
      </c>
      <c r="F853" s="20">
        <v>125</v>
      </c>
      <c r="G853" s="24" t="s">
        <v>7308</v>
      </c>
      <c r="H853" s="20">
        <f t="shared" si="62"/>
        <v>0</v>
      </c>
      <c r="I853" s="21">
        <f>W853</f>
        <v>0</v>
      </c>
      <c r="J853" s="21">
        <f t="shared" si="63"/>
        <v>0</v>
      </c>
    </row>
    <row r="854" spans="1:10" x14ac:dyDescent="0.3">
      <c r="A854" s="2" t="s">
        <v>829</v>
      </c>
      <c r="B854" s="1" t="s">
        <v>2152</v>
      </c>
      <c r="C854" s="6" t="s">
        <v>2982</v>
      </c>
      <c r="D854" s="6" t="s">
        <v>5144</v>
      </c>
      <c r="E854" s="20">
        <f t="shared" si="61"/>
        <v>0</v>
      </c>
      <c r="F854" s="20"/>
      <c r="G854" s="24" t="s">
        <v>7309</v>
      </c>
      <c r="H854" s="20">
        <f t="shared" si="62"/>
        <v>0</v>
      </c>
      <c r="I854" s="21">
        <f>W854</f>
        <v>0</v>
      </c>
      <c r="J854" s="21">
        <f t="shared" si="63"/>
        <v>0</v>
      </c>
    </row>
    <row r="855" spans="1:10" x14ac:dyDescent="0.3">
      <c r="A855" s="2" t="s">
        <v>830</v>
      </c>
      <c r="B855" s="1" t="s">
        <v>2152</v>
      </c>
      <c r="C855" s="6" t="s">
        <v>2983</v>
      </c>
      <c r="D855" s="6" t="s">
        <v>5145</v>
      </c>
      <c r="E855" s="20">
        <f t="shared" si="61"/>
        <v>0</v>
      </c>
      <c r="F855" s="20">
        <v>125</v>
      </c>
      <c r="G855" s="24" t="s">
        <v>7310</v>
      </c>
      <c r="H855" s="20">
        <f t="shared" si="62"/>
        <v>0</v>
      </c>
      <c r="I855" s="21">
        <v>39</v>
      </c>
      <c r="J855" s="21">
        <f t="shared" si="63"/>
        <v>0</v>
      </c>
    </row>
    <row r="856" spans="1:10" x14ac:dyDescent="0.3">
      <c r="A856" s="2" t="s">
        <v>831</v>
      </c>
      <c r="B856" s="1" t="s">
        <v>2152</v>
      </c>
      <c r="C856" s="6" t="s">
        <v>2984</v>
      </c>
      <c r="D856" s="6" t="s">
        <v>5146</v>
      </c>
      <c r="E856" s="20">
        <f t="shared" si="61"/>
        <v>0</v>
      </c>
      <c r="F856" s="20">
        <v>3500</v>
      </c>
      <c r="G856" s="24" t="s">
        <v>7311</v>
      </c>
      <c r="H856" s="20">
        <f t="shared" si="62"/>
        <v>0</v>
      </c>
    </row>
    <row r="857" spans="1:10" ht="41.4" x14ac:dyDescent="0.3">
      <c r="A857" s="2" t="s">
        <v>832</v>
      </c>
      <c r="B857" s="1" t="s">
        <v>2152</v>
      </c>
      <c r="C857" s="6" t="s">
        <v>2985</v>
      </c>
      <c r="D857" s="6" t="s">
        <v>5147</v>
      </c>
      <c r="E857" s="20">
        <f t="shared" si="61"/>
        <v>0</v>
      </c>
      <c r="F857" s="20">
        <v>2500</v>
      </c>
      <c r="G857" s="24" t="s">
        <v>7312</v>
      </c>
      <c r="H857" s="20">
        <f t="shared" si="62"/>
        <v>0</v>
      </c>
      <c r="I857" s="21">
        <v>150</v>
      </c>
      <c r="J857" s="21">
        <f t="shared" ref="J857:J865" si="64">X857</f>
        <v>0</v>
      </c>
    </row>
    <row r="858" spans="1:10" x14ac:dyDescent="0.3">
      <c r="A858" s="2" t="s">
        <v>830</v>
      </c>
      <c r="B858" s="1" t="s">
        <v>2152</v>
      </c>
      <c r="C858" s="6" t="s">
        <v>2983</v>
      </c>
      <c r="D858" s="6" t="s">
        <v>5145</v>
      </c>
      <c r="E858" s="20">
        <f t="shared" si="61"/>
        <v>0</v>
      </c>
      <c r="F858" s="20">
        <v>850</v>
      </c>
      <c r="G858" s="24" t="s">
        <v>7313</v>
      </c>
      <c r="H858" s="20">
        <f t="shared" si="62"/>
        <v>0</v>
      </c>
      <c r="I858" s="21">
        <v>39</v>
      </c>
      <c r="J858" s="21">
        <f t="shared" si="64"/>
        <v>0</v>
      </c>
    </row>
    <row r="859" spans="1:10" x14ac:dyDescent="0.3">
      <c r="A859" s="2" t="s">
        <v>833</v>
      </c>
      <c r="B859" s="1" t="s">
        <v>2152</v>
      </c>
      <c r="C859" s="6" t="s">
        <v>2986</v>
      </c>
      <c r="D859" s="6" t="s">
        <v>5148</v>
      </c>
      <c r="E859" s="20">
        <f t="shared" si="61"/>
        <v>0</v>
      </c>
      <c r="F859" s="20">
        <v>200</v>
      </c>
      <c r="G859" s="24" t="s">
        <v>7314</v>
      </c>
      <c r="H859" s="20">
        <f t="shared" si="62"/>
        <v>0</v>
      </c>
      <c r="I859" s="21">
        <v>11</v>
      </c>
      <c r="J859" s="21">
        <f t="shared" si="64"/>
        <v>0</v>
      </c>
    </row>
    <row r="860" spans="1:10" x14ac:dyDescent="0.3">
      <c r="A860" s="2" t="s">
        <v>834</v>
      </c>
      <c r="B860" s="1" t="s">
        <v>2152</v>
      </c>
      <c r="C860" s="6" t="s">
        <v>2987</v>
      </c>
      <c r="D860" s="6" t="s">
        <v>5149</v>
      </c>
      <c r="E860" s="20">
        <f t="shared" si="61"/>
        <v>0</v>
      </c>
      <c r="F860" s="20">
        <v>850</v>
      </c>
      <c r="G860" s="24" t="s">
        <v>7315</v>
      </c>
      <c r="H860" s="20">
        <f t="shared" si="62"/>
        <v>0</v>
      </c>
      <c r="I860" s="21">
        <v>39</v>
      </c>
      <c r="J860" s="21">
        <f t="shared" si="64"/>
        <v>0</v>
      </c>
    </row>
    <row r="861" spans="1:10" x14ac:dyDescent="0.3">
      <c r="A861" s="2" t="s">
        <v>480</v>
      </c>
      <c r="B861" s="1" t="s">
        <v>2152</v>
      </c>
      <c r="C861" s="6" t="s">
        <v>2988</v>
      </c>
      <c r="D861" s="6" t="s">
        <v>5150</v>
      </c>
      <c r="E861" s="20">
        <f t="shared" si="61"/>
        <v>0</v>
      </c>
      <c r="F861" s="20">
        <v>100</v>
      </c>
      <c r="G861" s="24" t="s">
        <v>7316</v>
      </c>
      <c r="H861" s="20">
        <f t="shared" si="62"/>
        <v>0</v>
      </c>
      <c r="I861" s="21">
        <v>8.4</v>
      </c>
      <c r="J861" s="21">
        <f t="shared" si="64"/>
        <v>0</v>
      </c>
    </row>
    <row r="862" spans="1:10" x14ac:dyDescent="0.3">
      <c r="A862" s="2" t="s">
        <v>835</v>
      </c>
      <c r="B862" s="1" t="s">
        <v>2152</v>
      </c>
      <c r="C862" s="6" t="s">
        <v>2989</v>
      </c>
      <c r="D862" s="6" t="s">
        <v>5151</v>
      </c>
      <c r="E862" s="20">
        <f t="shared" si="61"/>
        <v>0</v>
      </c>
      <c r="F862" s="20">
        <v>90</v>
      </c>
      <c r="G862" s="24" t="s">
        <v>7317</v>
      </c>
      <c r="H862" s="20">
        <f t="shared" si="62"/>
        <v>0</v>
      </c>
      <c r="I862" s="21">
        <v>9</v>
      </c>
      <c r="J862" s="21">
        <f t="shared" si="64"/>
        <v>0</v>
      </c>
    </row>
    <row r="863" spans="1:10" x14ac:dyDescent="0.3">
      <c r="A863" s="2" t="s">
        <v>489</v>
      </c>
      <c r="B863" s="1" t="s">
        <v>2152</v>
      </c>
      <c r="C863" s="6" t="s">
        <v>2635</v>
      </c>
      <c r="D863" s="6" t="s">
        <v>4803</v>
      </c>
      <c r="E863" s="20">
        <f t="shared" si="61"/>
        <v>0</v>
      </c>
      <c r="F863" s="20">
        <v>45</v>
      </c>
      <c r="G863" s="24" t="s">
        <v>7318</v>
      </c>
      <c r="H863" s="20">
        <f t="shared" si="62"/>
        <v>0</v>
      </c>
      <c r="I863" s="21">
        <v>7.2</v>
      </c>
      <c r="J863" s="21">
        <f t="shared" si="64"/>
        <v>0</v>
      </c>
    </row>
    <row r="864" spans="1:10" x14ac:dyDescent="0.3">
      <c r="A864" s="2" t="s">
        <v>836</v>
      </c>
      <c r="B864" s="1" t="s">
        <v>2152</v>
      </c>
      <c r="C864" s="6" t="s">
        <v>2990</v>
      </c>
      <c r="D864" s="6" t="s">
        <v>5152</v>
      </c>
      <c r="E864" s="20">
        <f t="shared" si="61"/>
        <v>0</v>
      </c>
      <c r="F864" s="20">
        <v>150</v>
      </c>
      <c r="G864" s="24" t="s">
        <v>7319</v>
      </c>
      <c r="H864" s="20">
        <f t="shared" si="62"/>
        <v>0</v>
      </c>
      <c r="I864" s="21">
        <v>15</v>
      </c>
      <c r="J864" s="21">
        <f t="shared" si="64"/>
        <v>0</v>
      </c>
    </row>
    <row r="865" spans="1:10" ht="41.4" x14ac:dyDescent="0.3">
      <c r="A865" s="2" t="s">
        <v>837</v>
      </c>
      <c r="B865" s="1" t="s">
        <v>2152</v>
      </c>
      <c r="C865" s="6" t="s">
        <v>2991</v>
      </c>
      <c r="D865" s="6" t="s">
        <v>5153</v>
      </c>
      <c r="E865" s="20">
        <f t="shared" si="61"/>
        <v>0</v>
      </c>
      <c r="F865" s="20">
        <v>150</v>
      </c>
      <c r="G865" s="24" t="s">
        <v>7320</v>
      </c>
      <c r="H865" s="20">
        <f t="shared" si="62"/>
        <v>0</v>
      </c>
      <c r="I865" s="21">
        <v>174</v>
      </c>
      <c r="J865" s="21">
        <f t="shared" si="64"/>
        <v>0</v>
      </c>
    </row>
    <row r="866" spans="1:10" ht="41.4" x14ac:dyDescent="0.3">
      <c r="A866" s="2" t="s">
        <v>838</v>
      </c>
      <c r="B866" s="1" t="s">
        <v>2152</v>
      </c>
      <c r="C866" s="6" t="s">
        <v>2992</v>
      </c>
      <c r="D866" s="6" t="s">
        <v>5154</v>
      </c>
      <c r="E866" s="20">
        <f t="shared" si="61"/>
        <v>0</v>
      </c>
      <c r="F866" s="20"/>
      <c r="G866" s="24" t="s">
        <v>7321</v>
      </c>
      <c r="H866" s="20">
        <f t="shared" si="62"/>
        <v>0</v>
      </c>
      <c r="I866" s="21">
        <v>174</v>
      </c>
      <c r="J866" s="21">
        <f>X866</f>
        <v>0</v>
      </c>
    </row>
    <row r="867" spans="1:10" ht="41.4" x14ac:dyDescent="0.3">
      <c r="A867" s="2" t="s">
        <v>839</v>
      </c>
      <c r="B867" s="1" t="s">
        <v>2152</v>
      </c>
      <c r="C867" s="6" t="s">
        <v>2993</v>
      </c>
      <c r="D867" s="6" t="s">
        <v>5155</v>
      </c>
      <c r="E867" s="20">
        <f t="shared" si="61"/>
        <v>0</v>
      </c>
      <c r="F867" s="20">
        <f>'[49]pnömatik slump'!$L$2</f>
        <v>10230</v>
      </c>
      <c r="G867" s="24" t="s">
        <v>7322</v>
      </c>
      <c r="H867" s="20">
        <f t="shared" si="62"/>
        <v>0</v>
      </c>
      <c r="I867" s="21">
        <v>1100</v>
      </c>
      <c r="J867" s="21">
        <f>X867</f>
        <v>0</v>
      </c>
    </row>
    <row r="868" spans="1:10" ht="55.2" x14ac:dyDescent="0.3">
      <c r="A868" s="2" t="s">
        <v>840</v>
      </c>
      <c r="B868" s="1" t="s">
        <v>2152</v>
      </c>
      <c r="C868" s="6" t="s">
        <v>2994</v>
      </c>
      <c r="D868" s="6" t="s">
        <v>5156</v>
      </c>
      <c r="E868" s="20">
        <f t="shared" si="61"/>
        <v>0</v>
      </c>
      <c r="F868" s="20">
        <f>[50]VEBE!$L$2</f>
        <v>15075.6</v>
      </c>
      <c r="G868" s="24" t="s">
        <v>7323</v>
      </c>
      <c r="H868" s="20">
        <f t="shared" si="62"/>
        <v>0</v>
      </c>
      <c r="I868" s="21">
        <v>1050</v>
      </c>
      <c r="J868" s="21">
        <f t="shared" ref="J868:J874" si="65">X868</f>
        <v>0</v>
      </c>
    </row>
    <row r="869" spans="1:10" x14ac:dyDescent="0.3">
      <c r="A869" s="2" t="s">
        <v>841</v>
      </c>
      <c r="B869" s="1" t="s">
        <v>2152</v>
      </c>
      <c r="C869" s="6" t="s">
        <v>2995</v>
      </c>
      <c r="D869" s="6" t="s">
        <v>5157</v>
      </c>
      <c r="E869" s="20">
        <f t="shared" si="61"/>
        <v>0</v>
      </c>
      <c r="F869" s="20"/>
      <c r="G869" s="24" t="s">
        <v>7324</v>
      </c>
      <c r="H869" s="20">
        <f t="shared" si="62"/>
        <v>0</v>
      </c>
      <c r="I869" s="21">
        <f>W869</f>
        <v>0</v>
      </c>
      <c r="J869" s="21">
        <f t="shared" si="65"/>
        <v>0</v>
      </c>
    </row>
    <row r="870" spans="1:10" x14ac:dyDescent="0.3">
      <c r="A870" s="2" t="s">
        <v>842</v>
      </c>
      <c r="B870" s="1" t="s">
        <v>2152</v>
      </c>
      <c r="C870" s="6" t="s">
        <v>2996</v>
      </c>
      <c r="D870" s="6" t="s">
        <v>5158</v>
      </c>
      <c r="E870" s="20">
        <f t="shared" si="61"/>
        <v>0</v>
      </c>
      <c r="F870" s="20"/>
      <c r="G870" s="24" t="s">
        <v>7325</v>
      </c>
      <c r="H870" s="20">
        <f t="shared" si="62"/>
        <v>0</v>
      </c>
      <c r="I870" s="21">
        <f>W870</f>
        <v>0</v>
      </c>
      <c r="J870" s="21">
        <f t="shared" si="65"/>
        <v>0</v>
      </c>
    </row>
    <row r="871" spans="1:10" x14ac:dyDescent="0.3">
      <c r="A871" s="2" t="s">
        <v>843</v>
      </c>
      <c r="B871" s="1" t="s">
        <v>2152</v>
      </c>
      <c r="C871" s="6" t="s">
        <v>2997</v>
      </c>
      <c r="D871" s="6" t="s">
        <v>5159</v>
      </c>
      <c r="E871" s="20">
        <f t="shared" si="61"/>
        <v>0</v>
      </c>
      <c r="F871" s="20"/>
      <c r="G871" s="24" t="s">
        <v>7326</v>
      </c>
      <c r="H871" s="20">
        <f t="shared" si="62"/>
        <v>0</v>
      </c>
      <c r="I871" s="21">
        <f>W871</f>
        <v>0</v>
      </c>
      <c r="J871" s="21">
        <f t="shared" si="65"/>
        <v>0</v>
      </c>
    </row>
    <row r="872" spans="1:10" x14ac:dyDescent="0.3">
      <c r="A872" s="2" t="s">
        <v>830</v>
      </c>
      <c r="B872" s="1" t="s">
        <v>2152</v>
      </c>
      <c r="C872" s="6" t="s">
        <v>2983</v>
      </c>
      <c r="D872" s="6" t="s">
        <v>5145</v>
      </c>
      <c r="E872" s="20">
        <f t="shared" si="61"/>
        <v>0</v>
      </c>
      <c r="F872" s="20">
        <v>125</v>
      </c>
      <c r="G872" s="24" t="s">
        <v>7327</v>
      </c>
      <c r="H872" s="20">
        <f t="shared" si="62"/>
        <v>0</v>
      </c>
      <c r="I872" s="21">
        <v>39</v>
      </c>
      <c r="J872" s="21">
        <f t="shared" si="65"/>
        <v>0</v>
      </c>
    </row>
    <row r="873" spans="1:10" x14ac:dyDescent="0.3">
      <c r="A873" s="2" t="s">
        <v>480</v>
      </c>
      <c r="B873" s="1" t="s">
        <v>2152</v>
      </c>
      <c r="C873" s="6" t="s">
        <v>2988</v>
      </c>
      <c r="D873" s="6" t="s">
        <v>5150</v>
      </c>
      <c r="E873" s="20">
        <f t="shared" si="61"/>
        <v>0</v>
      </c>
      <c r="F873" s="20">
        <v>17.5</v>
      </c>
      <c r="G873" s="24" t="s">
        <v>7328</v>
      </c>
      <c r="H873" s="20">
        <f t="shared" si="62"/>
        <v>0</v>
      </c>
      <c r="I873" s="21">
        <v>8.4</v>
      </c>
      <c r="J873" s="21">
        <f t="shared" si="65"/>
        <v>0</v>
      </c>
    </row>
    <row r="874" spans="1:10" ht="55.2" x14ac:dyDescent="0.3">
      <c r="A874" s="2" t="s">
        <v>844</v>
      </c>
      <c r="B874" s="1" t="s">
        <v>2152</v>
      </c>
      <c r="C874" s="6" t="s">
        <v>2998</v>
      </c>
      <c r="D874" s="6" t="s">
        <v>5160</v>
      </c>
      <c r="E874" s="20">
        <f t="shared" si="61"/>
        <v>0</v>
      </c>
      <c r="F874" s="20">
        <f>[50]VEBE!$L$2</f>
        <v>15075.6</v>
      </c>
      <c r="G874" s="24" t="s">
        <v>7329</v>
      </c>
      <c r="H874" s="20">
        <f t="shared" si="62"/>
        <v>0</v>
      </c>
      <c r="I874" s="21">
        <v>1050</v>
      </c>
      <c r="J874" s="21">
        <f t="shared" si="65"/>
        <v>0</v>
      </c>
    </row>
    <row r="875" spans="1:10" ht="55.2" x14ac:dyDescent="0.3">
      <c r="A875" s="2" t="s">
        <v>845</v>
      </c>
      <c r="B875" s="1" t="s">
        <v>2152</v>
      </c>
      <c r="C875" s="6" t="s">
        <v>2999</v>
      </c>
      <c r="D875" s="6" t="s">
        <v>5161</v>
      </c>
      <c r="E875" s="20">
        <f t="shared" si="61"/>
        <v>0</v>
      </c>
      <c r="F875" s="20"/>
      <c r="G875" s="24" t="s">
        <v>7330</v>
      </c>
      <c r="H875" s="20">
        <f t="shared" si="62"/>
        <v>0</v>
      </c>
      <c r="I875" s="21">
        <v>720</v>
      </c>
      <c r="J875" s="21">
        <f>X875</f>
        <v>0</v>
      </c>
    </row>
    <row r="876" spans="1:10" ht="82.8" x14ac:dyDescent="0.3">
      <c r="A876" s="2" t="s">
        <v>846</v>
      </c>
      <c r="B876" s="1" t="s">
        <v>2152</v>
      </c>
      <c r="C876" s="6" t="s">
        <v>3000</v>
      </c>
      <c r="D876" s="6" t="s">
        <v>5162</v>
      </c>
      <c r="E876" s="20">
        <f t="shared" si="61"/>
        <v>0</v>
      </c>
      <c r="F876" s="20">
        <f>'[51]YAYILMA TABLASI'!$L$2</f>
        <v>7037.54</v>
      </c>
      <c r="G876" s="24" t="s">
        <v>7331</v>
      </c>
      <c r="H876" s="20">
        <f t="shared" si="62"/>
        <v>0</v>
      </c>
      <c r="I876" s="21">
        <v>420</v>
      </c>
      <c r="J876" s="21">
        <f>X876</f>
        <v>0</v>
      </c>
    </row>
    <row r="877" spans="1:10" ht="69" x14ac:dyDescent="0.3">
      <c r="A877" s="2" t="s">
        <v>847</v>
      </c>
      <c r="B877" s="1" t="s">
        <v>2152</v>
      </c>
      <c r="C877" s="6" t="s">
        <v>3001</v>
      </c>
      <c r="D877" s="6" t="s">
        <v>5163</v>
      </c>
      <c r="E877" s="20">
        <f t="shared" si="61"/>
        <v>0</v>
      </c>
      <c r="F877" s="20"/>
      <c r="G877" s="24" t="s">
        <v>7332</v>
      </c>
      <c r="H877" s="20">
        <f t="shared" si="62"/>
        <v>0</v>
      </c>
      <c r="I877" s="21">
        <v>360</v>
      </c>
      <c r="J877" s="21">
        <f>X877</f>
        <v>0</v>
      </c>
    </row>
    <row r="878" spans="1:10" ht="27.6" x14ac:dyDescent="0.3">
      <c r="A878" s="2" t="s">
        <v>848</v>
      </c>
      <c r="B878" s="1" t="s">
        <v>2152</v>
      </c>
      <c r="C878" s="6" t="s">
        <v>3002</v>
      </c>
      <c r="D878" s="6" t="s">
        <v>5164</v>
      </c>
      <c r="E878" s="20">
        <f t="shared" si="61"/>
        <v>0</v>
      </c>
      <c r="F878" s="20">
        <v>90</v>
      </c>
      <c r="G878" s="24" t="s">
        <v>7333</v>
      </c>
      <c r="H878" s="20">
        <f t="shared" si="62"/>
        <v>0</v>
      </c>
      <c r="I878" s="21">
        <v>42</v>
      </c>
      <c r="J878" s="21">
        <f>X878</f>
        <v>0</v>
      </c>
    </row>
    <row r="879" spans="1:10" x14ac:dyDescent="0.3">
      <c r="A879" s="2" t="s">
        <v>849</v>
      </c>
      <c r="B879" s="1" t="s">
        <v>2152</v>
      </c>
      <c r="C879" s="6" t="s">
        <v>3003</v>
      </c>
      <c r="D879" s="6" t="s">
        <v>5165</v>
      </c>
      <c r="E879" s="20">
        <f t="shared" si="61"/>
        <v>0</v>
      </c>
      <c r="F879" s="20"/>
      <c r="G879" s="24" t="s">
        <v>7334</v>
      </c>
      <c r="H879" s="20">
        <f t="shared" si="62"/>
        <v>0</v>
      </c>
      <c r="I879" s="21">
        <v>18</v>
      </c>
      <c r="J879" s="21">
        <f>X879</f>
        <v>0</v>
      </c>
    </row>
    <row r="880" spans="1:10" ht="27.6" x14ac:dyDescent="0.3">
      <c r="A880" s="2" t="s">
        <v>850</v>
      </c>
      <c r="B880" s="1" t="s">
        <v>2152</v>
      </c>
      <c r="C880" s="6" t="s">
        <v>3004</v>
      </c>
      <c r="E880" s="20">
        <f t="shared" si="61"/>
        <v>0</v>
      </c>
      <c r="F880" s="20">
        <v>50</v>
      </c>
      <c r="G880" s="24" t="s">
        <v>7335</v>
      </c>
      <c r="H880" s="20">
        <f t="shared" si="62"/>
        <v>0</v>
      </c>
    </row>
    <row r="881" spans="1:10" ht="46.8" x14ac:dyDescent="0.3">
      <c r="A881" s="2" t="s">
        <v>851</v>
      </c>
      <c r="B881" s="1" t="s">
        <v>2152</v>
      </c>
      <c r="C881" s="13" t="s">
        <v>3005</v>
      </c>
      <c r="D881" s="6" t="s">
        <v>5166</v>
      </c>
      <c r="E881" s="20">
        <f t="shared" si="61"/>
        <v>0</v>
      </c>
      <c r="F881" s="20"/>
      <c r="G881" s="24" t="s">
        <v>7336</v>
      </c>
      <c r="H881" s="20">
        <f t="shared" si="62"/>
        <v>0</v>
      </c>
    </row>
    <row r="882" spans="1:10" ht="69" x14ac:dyDescent="0.3">
      <c r="A882" s="2" t="s">
        <v>852</v>
      </c>
      <c r="B882" s="1" t="s">
        <v>2152</v>
      </c>
      <c r="C882" s="6" t="s">
        <v>3006</v>
      </c>
      <c r="D882" s="6" t="s">
        <v>5167</v>
      </c>
      <c r="E882" s="20">
        <f t="shared" si="61"/>
        <v>0</v>
      </c>
      <c r="F882" s="20"/>
      <c r="G882" s="24" t="s">
        <v>7337</v>
      </c>
      <c r="H882" s="20">
        <f t="shared" si="62"/>
        <v>0</v>
      </c>
      <c r="I882" s="21">
        <v>420</v>
      </c>
      <c r="J882" s="21">
        <f>X882</f>
        <v>0</v>
      </c>
    </row>
    <row r="883" spans="1:10" ht="41.4" x14ac:dyDescent="0.3">
      <c r="A883" s="2" t="s">
        <v>853</v>
      </c>
      <c r="B883" s="1" t="s">
        <v>2152</v>
      </c>
      <c r="C883" s="6" t="s">
        <v>3007</v>
      </c>
      <c r="D883" s="6" t="s">
        <v>5168</v>
      </c>
      <c r="E883" s="20">
        <f t="shared" si="61"/>
        <v>0</v>
      </c>
      <c r="F883" s="20">
        <v>12000</v>
      </c>
      <c r="G883" s="24" t="s">
        <v>7338</v>
      </c>
      <c r="H883" s="20">
        <f t="shared" si="62"/>
        <v>0</v>
      </c>
      <c r="I883" s="21">
        <v>810</v>
      </c>
      <c r="J883" s="21">
        <f>X883</f>
        <v>0</v>
      </c>
    </row>
    <row r="884" spans="1:10" ht="27.6" x14ac:dyDescent="0.3">
      <c r="A884" s="2" t="s">
        <v>854</v>
      </c>
      <c r="B884" s="1" t="s">
        <v>2152</v>
      </c>
      <c r="C884" s="6" t="s">
        <v>3008</v>
      </c>
      <c r="D884" s="6" t="s">
        <v>5169</v>
      </c>
      <c r="E884" s="20">
        <f t="shared" si="61"/>
        <v>0</v>
      </c>
      <c r="F884" s="20"/>
      <c r="G884" s="24" t="s">
        <v>7339</v>
      </c>
      <c r="H884" s="20">
        <f t="shared" si="62"/>
        <v>0</v>
      </c>
      <c r="I884" s="21">
        <f>W884</f>
        <v>0</v>
      </c>
      <c r="J884" s="21">
        <f>X884</f>
        <v>0</v>
      </c>
    </row>
    <row r="885" spans="1:10" ht="27.6" x14ac:dyDescent="0.3">
      <c r="A885" s="2" t="s">
        <v>855</v>
      </c>
      <c r="B885" s="1" t="s">
        <v>2152</v>
      </c>
      <c r="C885" s="6" t="s">
        <v>3009</v>
      </c>
      <c r="D885" s="6" t="s">
        <v>5170</v>
      </c>
      <c r="E885" s="20">
        <f t="shared" si="61"/>
        <v>0</v>
      </c>
      <c r="F885" s="20">
        <v>10000</v>
      </c>
      <c r="G885" s="24" t="s">
        <v>7340</v>
      </c>
      <c r="H885" s="20">
        <f t="shared" si="62"/>
        <v>0</v>
      </c>
      <c r="I885" s="21">
        <v>390</v>
      </c>
      <c r="J885" s="21">
        <f>X885</f>
        <v>0</v>
      </c>
    </row>
    <row r="886" spans="1:10" ht="27.6" x14ac:dyDescent="0.3">
      <c r="A886" s="2" t="s">
        <v>856</v>
      </c>
      <c r="B886" s="1" t="s">
        <v>2152</v>
      </c>
      <c r="C886" s="6" t="s">
        <v>3010</v>
      </c>
      <c r="D886" s="6" t="s">
        <v>5170</v>
      </c>
      <c r="E886" s="20">
        <f t="shared" si="61"/>
        <v>0</v>
      </c>
      <c r="F886" s="20"/>
      <c r="G886" s="24" t="s">
        <v>7341</v>
      </c>
      <c r="H886" s="20">
        <f t="shared" si="62"/>
        <v>0</v>
      </c>
      <c r="I886" s="21">
        <v>630</v>
      </c>
      <c r="J886" s="21">
        <f>X886</f>
        <v>0</v>
      </c>
    </row>
    <row r="887" spans="1:10" ht="69" x14ac:dyDescent="0.3">
      <c r="A887" s="2" t="s">
        <v>857</v>
      </c>
      <c r="B887" s="1" t="s">
        <v>2152</v>
      </c>
      <c r="C887" s="6" t="s">
        <v>3011</v>
      </c>
      <c r="D887" s="6" t="s">
        <v>5171</v>
      </c>
      <c r="E887" s="20">
        <f t="shared" si="61"/>
        <v>0</v>
      </c>
      <c r="F887" s="20">
        <f>'[52]HAVA ÖLÇER'!$L$2</f>
        <v>18300</v>
      </c>
      <c r="G887" s="24" t="s">
        <v>7342</v>
      </c>
      <c r="H887" s="20">
        <f t="shared" si="62"/>
        <v>0</v>
      </c>
      <c r="I887" s="21">
        <v>690</v>
      </c>
      <c r="J887" s="21">
        <f t="shared" ref="J887:J897" si="66">X887</f>
        <v>0</v>
      </c>
    </row>
    <row r="888" spans="1:10" x14ac:dyDescent="0.3">
      <c r="A888" s="2" t="s">
        <v>858</v>
      </c>
      <c r="B888" s="1" t="s">
        <v>2152</v>
      </c>
      <c r="C888" s="6" t="s">
        <v>3012</v>
      </c>
      <c r="D888" s="6" t="s">
        <v>5172</v>
      </c>
      <c r="E888" s="20">
        <f t="shared" si="61"/>
        <v>0</v>
      </c>
      <c r="F888" s="20">
        <v>510</v>
      </c>
      <c r="G888" s="24" t="s">
        <v>7343</v>
      </c>
      <c r="H888" s="20">
        <f t="shared" si="62"/>
        <v>0</v>
      </c>
      <c r="I888" s="21">
        <v>192</v>
      </c>
      <c r="J888" s="21">
        <f t="shared" si="66"/>
        <v>0</v>
      </c>
    </row>
    <row r="889" spans="1:10" x14ac:dyDescent="0.3">
      <c r="A889" s="2" t="s">
        <v>859</v>
      </c>
      <c r="B889" s="1" t="s">
        <v>2152</v>
      </c>
      <c r="C889" s="6" t="s">
        <v>3013</v>
      </c>
      <c r="D889" s="6" t="s">
        <v>5173</v>
      </c>
      <c r="E889" s="20">
        <f t="shared" si="61"/>
        <v>0</v>
      </c>
      <c r="F889" s="20">
        <v>17.5</v>
      </c>
      <c r="G889" s="24" t="s">
        <v>7344</v>
      </c>
      <c r="H889" s="20">
        <f t="shared" si="62"/>
        <v>0</v>
      </c>
      <c r="I889" s="21">
        <v>15</v>
      </c>
      <c r="J889" s="21">
        <f t="shared" si="66"/>
        <v>0</v>
      </c>
    </row>
    <row r="890" spans="1:10" x14ac:dyDescent="0.3">
      <c r="A890" s="2" t="s">
        <v>860</v>
      </c>
      <c r="B890" s="1" t="s">
        <v>2152</v>
      </c>
      <c r="C890" s="6" t="s">
        <v>3014</v>
      </c>
      <c r="D890" s="6" t="s">
        <v>5174</v>
      </c>
      <c r="E890" s="20">
        <f t="shared" si="61"/>
        <v>0</v>
      </c>
      <c r="F890" s="20">
        <v>20</v>
      </c>
      <c r="G890" s="24" t="s">
        <v>7345</v>
      </c>
      <c r="H890" s="20">
        <f t="shared" si="62"/>
        <v>0</v>
      </c>
      <c r="I890" s="21">
        <v>15</v>
      </c>
      <c r="J890" s="21">
        <f t="shared" si="66"/>
        <v>0</v>
      </c>
    </row>
    <row r="891" spans="1:10" x14ac:dyDescent="0.3">
      <c r="A891" s="2" t="s">
        <v>861</v>
      </c>
      <c r="B891" s="1" t="s">
        <v>2152</v>
      </c>
      <c r="C891" s="6" t="s">
        <v>2639</v>
      </c>
      <c r="D891" s="6" t="s">
        <v>5175</v>
      </c>
      <c r="E891" s="20">
        <f t="shared" si="61"/>
        <v>0</v>
      </c>
      <c r="F891" s="20"/>
      <c r="G891" s="24" t="s">
        <v>7346</v>
      </c>
      <c r="H891" s="20">
        <f t="shared" si="62"/>
        <v>0</v>
      </c>
      <c r="I891" s="21">
        <v>90</v>
      </c>
      <c r="J891" s="21">
        <f t="shared" si="66"/>
        <v>0</v>
      </c>
    </row>
    <row r="892" spans="1:10" ht="41.4" x14ac:dyDescent="0.3">
      <c r="A892" s="2" t="s">
        <v>862</v>
      </c>
      <c r="B892" s="1" t="s">
        <v>2152</v>
      </c>
      <c r="C892" s="6" t="s">
        <v>3015</v>
      </c>
      <c r="D892" s="6" t="s">
        <v>5176</v>
      </c>
      <c r="E892" s="20">
        <f t="shared" si="61"/>
        <v>0</v>
      </c>
      <c r="F892" s="20"/>
      <c r="G892" s="24" t="s">
        <v>7347</v>
      </c>
      <c r="H892" s="20">
        <f t="shared" si="62"/>
        <v>0</v>
      </c>
      <c r="I892" s="21">
        <v>1500</v>
      </c>
      <c r="J892" s="21">
        <f t="shared" si="66"/>
        <v>0</v>
      </c>
    </row>
    <row r="893" spans="1:10" x14ac:dyDescent="0.3">
      <c r="A893" s="2" t="s">
        <v>863</v>
      </c>
      <c r="B893" s="1" t="s">
        <v>2152</v>
      </c>
      <c r="C893" s="6" t="s">
        <v>3012</v>
      </c>
      <c r="D893" s="6" t="s">
        <v>5172</v>
      </c>
      <c r="E893" s="20">
        <f t="shared" si="61"/>
        <v>0</v>
      </c>
      <c r="F893" s="20">
        <v>235</v>
      </c>
      <c r="G893" s="24" t="s">
        <v>7348</v>
      </c>
      <c r="H893" s="20">
        <f t="shared" si="62"/>
        <v>0</v>
      </c>
      <c r="I893" s="21">
        <v>192</v>
      </c>
      <c r="J893" s="21">
        <f t="shared" si="66"/>
        <v>0</v>
      </c>
    </row>
    <row r="894" spans="1:10" x14ac:dyDescent="0.3">
      <c r="A894" s="2" t="s">
        <v>864</v>
      </c>
      <c r="B894" s="1" t="s">
        <v>2152</v>
      </c>
      <c r="C894" s="6" t="s">
        <v>3013</v>
      </c>
      <c r="D894" s="6" t="s">
        <v>5173</v>
      </c>
      <c r="E894" s="20">
        <f t="shared" si="61"/>
        <v>0</v>
      </c>
      <c r="F894" s="20">
        <v>17.5</v>
      </c>
      <c r="G894" s="24" t="s">
        <v>7349</v>
      </c>
      <c r="H894" s="20">
        <f t="shared" si="62"/>
        <v>0</v>
      </c>
      <c r="I894" s="21">
        <v>15</v>
      </c>
      <c r="J894" s="21">
        <f t="shared" si="66"/>
        <v>0</v>
      </c>
    </row>
    <row r="895" spans="1:10" x14ac:dyDescent="0.3">
      <c r="A895" s="2" t="s">
        <v>865</v>
      </c>
      <c r="B895" s="1" t="s">
        <v>2152</v>
      </c>
      <c r="C895" s="6" t="s">
        <v>3014</v>
      </c>
      <c r="D895" s="6" t="s">
        <v>5174</v>
      </c>
      <c r="E895" s="20">
        <f t="shared" si="61"/>
        <v>0</v>
      </c>
      <c r="F895" s="20"/>
      <c r="G895" s="24" t="s">
        <v>7350</v>
      </c>
      <c r="H895" s="20">
        <f t="shared" si="62"/>
        <v>0</v>
      </c>
      <c r="I895" s="21">
        <v>15</v>
      </c>
      <c r="J895" s="21">
        <f t="shared" si="66"/>
        <v>0</v>
      </c>
    </row>
    <row r="896" spans="1:10" x14ac:dyDescent="0.3">
      <c r="A896" s="2" t="s">
        <v>866</v>
      </c>
      <c r="B896" s="1" t="s">
        <v>2152</v>
      </c>
      <c r="C896" s="6" t="s">
        <v>2639</v>
      </c>
      <c r="D896" s="6" t="s">
        <v>5175</v>
      </c>
      <c r="E896" s="20">
        <f t="shared" si="61"/>
        <v>0</v>
      </c>
      <c r="F896" s="20"/>
      <c r="G896" s="24" t="s">
        <v>7351</v>
      </c>
      <c r="H896" s="20">
        <f t="shared" si="62"/>
        <v>0</v>
      </c>
      <c r="I896" s="21">
        <v>90</v>
      </c>
      <c r="J896" s="21">
        <f t="shared" si="66"/>
        <v>0</v>
      </c>
    </row>
    <row r="897" spans="1:10" ht="41.4" x14ac:dyDescent="0.3">
      <c r="A897" s="2" t="s">
        <v>867</v>
      </c>
      <c r="B897" s="1" t="s">
        <v>2152</v>
      </c>
      <c r="C897" s="6" t="s">
        <v>3016</v>
      </c>
      <c r="D897" s="6" t="s">
        <v>5177</v>
      </c>
      <c r="E897" s="20">
        <f t="shared" si="61"/>
        <v>0</v>
      </c>
      <c r="F897" s="20"/>
      <c r="G897" s="24" t="s">
        <v>7352</v>
      </c>
      <c r="H897" s="20">
        <f t="shared" si="62"/>
        <v>0</v>
      </c>
      <c r="I897" s="21">
        <v>5100</v>
      </c>
      <c r="J897" s="21">
        <f t="shared" si="66"/>
        <v>0</v>
      </c>
    </row>
    <row r="898" spans="1:10" ht="41.4" x14ac:dyDescent="0.3">
      <c r="A898" s="2" t="s">
        <v>868</v>
      </c>
      <c r="B898" s="1" t="s">
        <v>2152</v>
      </c>
      <c r="C898" s="6" t="s">
        <v>3017</v>
      </c>
      <c r="D898" s="6" t="s">
        <v>5178</v>
      </c>
      <c r="E898" s="20">
        <f t="shared" si="61"/>
        <v>0</v>
      </c>
      <c r="F898" s="20">
        <f>'[6]BİRİM AĞIRLIK KOVASI 3LT'!$L$2</f>
        <v>240</v>
      </c>
      <c r="G898" s="24" t="s">
        <v>7353</v>
      </c>
      <c r="H898" s="20">
        <f t="shared" si="62"/>
        <v>0</v>
      </c>
      <c r="I898" s="21">
        <v>52</v>
      </c>
      <c r="J898" s="21">
        <f>X898</f>
        <v>0</v>
      </c>
    </row>
    <row r="899" spans="1:10" ht="41.4" x14ac:dyDescent="0.3">
      <c r="A899" s="2" t="s">
        <v>869</v>
      </c>
      <c r="B899" s="1" t="s">
        <v>2152</v>
      </c>
      <c r="C899" s="6" t="s">
        <v>3018</v>
      </c>
      <c r="D899" s="6" t="s">
        <v>5179</v>
      </c>
      <c r="E899" s="20">
        <f t="shared" si="61"/>
        <v>0</v>
      </c>
      <c r="F899" s="20">
        <f>'[6]BİRİM AĞIRLIK KOVASI 7LT'!$L$2</f>
        <v>306</v>
      </c>
      <c r="G899" s="24" t="s">
        <v>7354</v>
      </c>
      <c r="H899" s="20">
        <f t="shared" si="62"/>
        <v>0</v>
      </c>
      <c r="I899" s="21">
        <v>61</v>
      </c>
      <c r="J899" s="21">
        <f>X899</f>
        <v>0</v>
      </c>
    </row>
    <row r="900" spans="1:10" ht="41.4" x14ac:dyDescent="0.3">
      <c r="A900" s="2" t="s">
        <v>870</v>
      </c>
      <c r="B900" s="1" t="s">
        <v>2152</v>
      </c>
      <c r="C900" s="6" t="s">
        <v>3019</v>
      </c>
      <c r="D900" s="6" t="s">
        <v>5180</v>
      </c>
      <c r="E900" s="20">
        <f t="shared" si="61"/>
        <v>0</v>
      </c>
      <c r="F900" s="20">
        <f>'[6]BİRİM AĞIRLIK KOVASI 10 LT'!$L$2</f>
        <v>400</v>
      </c>
      <c r="G900" s="24" t="s">
        <v>7355</v>
      </c>
      <c r="H900" s="20">
        <f t="shared" si="62"/>
        <v>0</v>
      </c>
      <c r="I900" s="21">
        <v>65</v>
      </c>
      <c r="J900" s="21">
        <f>X900</f>
        <v>0</v>
      </c>
    </row>
    <row r="901" spans="1:10" ht="41.4" x14ac:dyDescent="0.3">
      <c r="A901" s="2" t="s">
        <v>871</v>
      </c>
      <c r="B901" s="1" t="s">
        <v>2152</v>
      </c>
      <c r="C901" s="6" t="s">
        <v>3020</v>
      </c>
      <c r="D901" s="6" t="s">
        <v>5181</v>
      </c>
      <c r="E901" s="20">
        <f t="shared" si="61"/>
        <v>0</v>
      </c>
      <c r="F901" s="20">
        <f>'[6]BİRİM AĞIRLIK KOVASI 15 LT'!$L$2</f>
        <v>480</v>
      </c>
      <c r="G901" s="24" t="s">
        <v>7356</v>
      </c>
      <c r="H901" s="20">
        <f t="shared" si="62"/>
        <v>0</v>
      </c>
      <c r="I901" s="21">
        <v>74</v>
      </c>
      <c r="J901" s="21">
        <f>X901</f>
        <v>0</v>
      </c>
    </row>
    <row r="902" spans="1:10" ht="41.4" x14ac:dyDescent="0.3">
      <c r="A902" s="2" t="s">
        <v>872</v>
      </c>
      <c r="B902" s="1" t="s">
        <v>2152</v>
      </c>
      <c r="C902" s="6" t="s">
        <v>3021</v>
      </c>
      <c r="D902" s="6" t="s">
        <v>5182</v>
      </c>
      <c r="E902" s="20">
        <f t="shared" si="61"/>
        <v>0</v>
      </c>
      <c r="F902" s="20">
        <f>'[6]BİRİM AĞIRLIK KOVASI 30 LT'!$L$2</f>
        <v>615</v>
      </c>
      <c r="G902" s="24" t="s">
        <v>7357</v>
      </c>
      <c r="H902" s="20">
        <f t="shared" si="62"/>
        <v>0</v>
      </c>
      <c r="I902" s="21">
        <v>80</v>
      </c>
      <c r="J902" s="21">
        <f>X902</f>
        <v>0</v>
      </c>
    </row>
    <row r="903" spans="1:10" ht="55.2" x14ac:dyDescent="0.3">
      <c r="A903" s="2" t="s">
        <v>532</v>
      </c>
      <c r="B903" s="1" t="s">
        <v>2152</v>
      </c>
      <c r="C903" s="6" t="s">
        <v>3022</v>
      </c>
      <c r="D903" s="6" t="s">
        <v>5183</v>
      </c>
      <c r="E903" s="20">
        <f t="shared" ref="E903:E930" si="67">H903*1.8*1.4</f>
        <v>0</v>
      </c>
      <c r="F903" s="20">
        <f>'[53]ÖZGÜL AĞIRLIK'!$L$2</f>
        <v>7226</v>
      </c>
      <c r="G903" s="24" t="s">
        <v>7358</v>
      </c>
      <c r="H903" s="20">
        <f t="shared" ref="H903:H930" si="68">K903*1.8*1.4</f>
        <v>0</v>
      </c>
      <c r="I903" s="21">
        <v>405</v>
      </c>
      <c r="J903" s="21">
        <f t="shared" ref="J903:J914" si="69">X903</f>
        <v>0</v>
      </c>
    </row>
    <row r="904" spans="1:10" x14ac:dyDescent="0.3">
      <c r="A904" s="2" t="s">
        <v>533</v>
      </c>
      <c r="B904" s="1" t="s">
        <v>2152</v>
      </c>
      <c r="C904" s="6" t="s">
        <v>2679</v>
      </c>
      <c r="D904" s="6" t="s">
        <v>4846</v>
      </c>
      <c r="E904" s="20">
        <f t="shared" si="67"/>
        <v>0</v>
      </c>
      <c r="F904" s="20">
        <v>416</v>
      </c>
      <c r="G904" s="24" t="s">
        <v>7359</v>
      </c>
      <c r="H904" s="20">
        <f t="shared" si="68"/>
        <v>0</v>
      </c>
      <c r="I904" s="21">
        <v>321</v>
      </c>
      <c r="J904" s="21">
        <f t="shared" si="69"/>
        <v>0</v>
      </c>
    </row>
    <row r="905" spans="1:10" x14ac:dyDescent="0.3">
      <c r="A905" s="2" t="s">
        <v>534</v>
      </c>
      <c r="B905" s="1" t="s">
        <v>2152</v>
      </c>
      <c r="C905" s="6" t="s">
        <v>2680</v>
      </c>
      <c r="D905" s="6" t="s">
        <v>4847</v>
      </c>
      <c r="E905" s="20">
        <f t="shared" si="67"/>
        <v>0</v>
      </c>
      <c r="F905" s="20">
        <v>15</v>
      </c>
      <c r="G905" s="24" t="s">
        <v>7360</v>
      </c>
      <c r="H905" s="20">
        <f t="shared" si="68"/>
        <v>0</v>
      </c>
      <c r="I905" s="21">
        <v>11.81</v>
      </c>
      <c r="J905" s="21">
        <f t="shared" si="69"/>
        <v>0</v>
      </c>
    </row>
    <row r="906" spans="1:10" x14ac:dyDescent="0.3">
      <c r="A906" s="2" t="s">
        <v>535</v>
      </c>
      <c r="B906" s="1" t="s">
        <v>2152</v>
      </c>
      <c r="C906" s="6" t="s">
        <v>2681</v>
      </c>
      <c r="D906" s="6" t="s">
        <v>4848</v>
      </c>
      <c r="E906" s="20">
        <f t="shared" si="67"/>
        <v>0</v>
      </c>
      <c r="F906" s="20">
        <v>39</v>
      </c>
      <c r="G906" s="24" t="s">
        <v>7361</v>
      </c>
      <c r="H906" s="20">
        <f t="shared" si="68"/>
        <v>0</v>
      </c>
      <c r="I906" s="21">
        <v>20.59</v>
      </c>
      <c r="J906" s="21">
        <f t="shared" si="69"/>
        <v>0</v>
      </c>
    </row>
    <row r="907" spans="1:10" x14ac:dyDescent="0.3">
      <c r="A907" s="2" t="s">
        <v>536</v>
      </c>
      <c r="B907" s="1" t="s">
        <v>2152</v>
      </c>
      <c r="C907" s="6" t="s">
        <v>2682</v>
      </c>
      <c r="D907" s="6" t="s">
        <v>4849</v>
      </c>
      <c r="E907" s="20">
        <f t="shared" si="67"/>
        <v>0</v>
      </c>
      <c r="F907" s="20">
        <v>190</v>
      </c>
      <c r="G907" s="24" t="s">
        <v>7362</v>
      </c>
      <c r="H907" s="20">
        <f t="shared" si="68"/>
        <v>0</v>
      </c>
      <c r="I907" s="21">
        <v>27</v>
      </c>
      <c r="J907" s="21">
        <f t="shared" si="69"/>
        <v>0</v>
      </c>
    </row>
    <row r="908" spans="1:10" ht="27.6" x14ac:dyDescent="0.3">
      <c r="A908" s="2" t="s">
        <v>496</v>
      </c>
      <c r="B908" s="1" t="s">
        <v>2152</v>
      </c>
      <c r="C908" s="6" t="s">
        <v>2642</v>
      </c>
      <c r="D908" s="6" t="s">
        <v>4810</v>
      </c>
      <c r="E908" s="20">
        <f t="shared" si="67"/>
        <v>0</v>
      </c>
      <c r="F908" s="20">
        <v>1354</v>
      </c>
      <c r="G908" s="24" t="s">
        <v>7363</v>
      </c>
      <c r="H908" s="20">
        <f t="shared" si="68"/>
        <v>0</v>
      </c>
      <c r="I908" s="21">
        <v>51.6</v>
      </c>
      <c r="J908" s="21">
        <f t="shared" si="69"/>
        <v>0</v>
      </c>
    </row>
    <row r="909" spans="1:10" ht="41.4" x14ac:dyDescent="0.3">
      <c r="A909" s="2" t="s">
        <v>873</v>
      </c>
      <c r="B909" s="1" t="s">
        <v>2152</v>
      </c>
      <c r="C909" s="6" t="s">
        <v>3023</v>
      </c>
      <c r="D909" s="6" t="s">
        <v>5184</v>
      </c>
      <c r="E909" s="20">
        <f t="shared" si="67"/>
        <v>0</v>
      </c>
      <c r="F909" s="20">
        <v>330</v>
      </c>
      <c r="G909" s="24" t="s">
        <v>7364</v>
      </c>
      <c r="H909" s="20">
        <f t="shared" si="68"/>
        <v>0</v>
      </c>
      <c r="I909" s="21">
        <v>210</v>
      </c>
      <c r="J909" s="21">
        <f t="shared" si="69"/>
        <v>0</v>
      </c>
    </row>
    <row r="910" spans="1:10" ht="55.2" x14ac:dyDescent="0.3">
      <c r="A910" s="2" t="s">
        <v>874</v>
      </c>
      <c r="B910" s="1" t="s">
        <v>2152</v>
      </c>
      <c r="C910" s="6" t="s">
        <v>3024</v>
      </c>
      <c r="D910" s="6" t="s">
        <v>5185</v>
      </c>
      <c r="E910" s="20">
        <f t="shared" si="67"/>
        <v>0</v>
      </c>
      <c r="F910" s="20">
        <v>765</v>
      </c>
      <c r="G910" s="24" t="s">
        <v>7365</v>
      </c>
      <c r="H910" s="20">
        <f t="shared" si="68"/>
        <v>0</v>
      </c>
      <c r="I910" s="21">
        <v>420</v>
      </c>
      <c r="J910" s="21">
        <f t="shared" si="69"/>
        <v>0</v>
      </c>
    </row>
    <row r="911" spans="1:10" ht="55.2" x14ac:dyDescent="0.3">
      <c r="A911" s="2" t="s">
        <v>875</v>
      </c>
      <c r="B911" s="1" t="s">
        <v>2152</v>
      </c>
      <c r="C911" s="6" t="s">
        <v>3025</v>
      </c>
      <c r="D911" s="6" t="s">
        <v>5186</v>
      </c>
      <c r="E911" s="20">
        <f t="shared" si="67"/>
        <v>0</v>
      </c>
      <c r="F911" s="20">
        <v>850</v>
      </c>
      <c r="G911" s="24" t="s">
        <v>7366</v>
      </c>
      <c r="H911" s="20">
        <f t="shared" si="68"/>
        <v>0</v>
      </c>
      <c r="I911" s="21">
        <v>471</v>
      </c>
      <c r="J911" s="21">
        <f t="shared" si="69"/>
        <v>0</v>
      </c>
    </row>
    <row r="912" spans="1:10" ht="69" x14ac:dyDescent="0.3">
      <c r="A912" s="2" t="s">
        <v>876</v>
      </c>
      <c r="B912" s="1" t="s">
        <v>2152</v>
      </c>
      <c r="C912" s="6" t="s">
        <v>3026</v>
      </c>
      <c r="D912" s="6" t="s">
        <v>5187</v>
      </c>
      <c r="E912" s="20">
        <f t="shared" si="67"/>
        <v>0</v>
      </c>
      <c r="F912" s="20" t="s">
        <v>6456</v>
      </c>
      <c r="G912" s="24" t="s">
        <v>7367</v>
      </c>
      <c r="H912" s="20">
        <f t="shared" si="68"/>
        <v>0</v>
      </c>
      <c r="I912" s="21">
        <v>1380</v>
      </c>
      <c r="J912" s="21">
        <f t="shared" si="69"/>
        <v>0</v>
      </c>
    </row>
    <row r="913" spans="1:10" x14ac:dyDescent="0.3">
      <c r="A913" s="2" t="s">
        <v>877</v>
      </c>
      <c r="B913" s="1" t="s">
        <v>2152</v>
      </c>
      <c r="C913" s="6" t="s">
        <v>3027</v>
      </c>
      <c r="D913" s="6" t="s">
        <v>5188</v>
      </c>
      <c r="E913" s="20">
        <f t="shared" si="67"/>
        <v>0</v>
      </c>
      <c r="F913" s="20">
        <v>31.5</v>
      </c>
      <c r="G913" s="24" t="s">
        <v>7368</v>
      </c>
      <c r="H913" s="20">
        <f t="shared" si="68"/>
        <v>0</v>
      </c>
      <c r="I913" s="21">
        <v>19</v>
      </c>
      <c r="J913" s="21">
        <f t="shared" si="69"/>
        <v>0</v>
      </c>
    </row>
    <row r="914" spans="1:10" x14ac:dyDescent="0.3">
      <c r="A914" s="2" t="s">
        <v>878</v>
      </c>
      <c r="B914" s="1" t="s">
        <v>2152</v>
      </c>
      <c r="C914" s="6" t="s">
        <v>3028</v>
      </c>
      <c r="D914" s="6" t="s">
        <v>5189</v>
      </c>
      <c r="E914" s="20">
        <f t="shared" si="67"/>
        <v>0</v>
      </c>
      <c r="F914" s="20">
        <v>31.5</v>
      </c>
      <c r="G914" s="24" t="s">
        <v>7369</v>
      </c>
      <c r="H914" s="20">
        <f t="shared" si="68"/>
        <v>0</v>
      </c>
      <c r="I914" s="21">
        <v>19</v>
      </c>
      <c r="J914" s="21">
        <f t="shared" si="69"/>
        <v>0</v>
      </c>
    </row>
    <row r="915" spans="1:10" x14ac:dyDescent="0.3">
      <c r="A915" s="2" t="s">
        <v>879</v>
      </c>
      <c r="B915" s="1" t="s">
        <v>2152</v>
      </c>
      <c r="C915" s="6" t="s">
        <v>3029</v>
      </c>
      <c r="D915" s="6" t="s">
        <v>5190</v>
      </c>
      <c r="E915" s="20">
        <f t="shared" si="67"/>
        <v>0</v>
      </c>
      <c r="F915" s="20">
        <v>180</v>
      </c>
      <c r="G915" s="24" t="s">
        <v>7370</v>
      </c>
      <c r="H915" s="20">
        <f t="shared" si="68"/>
        <v>0</v>
      </c>
      <c r="I915" s="21">
        <v>24</v>
      </c>
      <c r="J915" s="21">
        <f>X915</f>
        <v>0</v>
      </c>
    </row>
    <row r="916" spans="1:10" x14ac:dyDescent="0.3">
      <c r="A916" s="2" t="s">
        <v>880</v>
      </c>
      <c r="B916" s="1" t="s">
        <v>2152</v>
      </c>
      <c r="C916" s="6" t="s">
        <v>3030</v>
      </c>
      <c r="D916" s="6" t="s">
        <v>5191</v>
      </c>
      <c r="E916" s="20">
        <f t="shared" si="67"/>
        <v>0</v>
      </c>
      <c r="F916" s="20">
        <v>387</v>
      </c>
      <c r="G916" s="24" t="s">
        <v>7371</v>
      </c>
      <c r="H916" s="20">
        <f t="shared" si="68"/>
        <v>0</v>
      </c>
      <c r="I916" s="21">
        <v>19</v>
      </c>
      <c r="J916" s="21">
        <f>X916</f>
        <v>0</v>
      </c>
    </row>
    <row r="917" spans="1:10" x14ac:dyDescent="0.3">
      <c r="A917" s="2" t="s">
        <v>881</v>
      </c>
      <c r="B917" s="1" t="s">
        <v>2152</v>
      </c>
      <c r="C917" s="6" t="s">
        <v>3031</v>
      </c>
      <c r="D917" s="6" t="s">
        <v>5192</v>
      </c>
      <c r="E917" s="20">
        <f t="shared" si="67"/>
        <v>0</v>
      </c>
      <c r="F917" s="20">
        <f>'[54]100 mm'!$L$2</f>
        <v>250</v>
      </c>
      <c r="G917" s="24" t="s">
        <v>7372</v>
      </c>
      <c r="H917" s="20">
        <f t="shared" si="68"/>
        <v>0</v>
      </c>
      <c r="I917" s="21">
        <v>114</v>
      </c>
      <c r="J917" s="21">
        <f t="shared" ref="J917:J934" si="70">X917</f>
        <v>0</v>
      </c>
    </row>
    <row r="918" spans="1:10" x14ac:dyDescent="0.3">
      <c r="A918" s="2" t="s">
        <v>882</v>
      </c>
      <c r="B918" s="1" t="s">
        <v>2152</v>
      </c>
      <c r="C918" s="6" t="s">
        <v>3032</v>
      </c>
      <c r="D918" s="6" t="s">
        <v>5193</v>
      </c>
      <c r="E918" s="20">
        <f t="shared" si="67"/>
        <v>0</v>
      </c>
      <c r="F918" s="20">
        <v>180</v>
      </c>
      <c r="G918" s="24" t="s">
        <v>7373</v>
      </c>
      <c r="H918" s="20">
        <f t="shared" si="68"/>
        <v>0</v>
      </c>
      <c r="I918" s="21">
        <v>11</v>
      </c>
      <c r="J918" s="21">
        <f t="shared" si="70"/>
        <v>0</v>
      </c>
    </row>
    <row r="919" spans="1:10" x14ac:dyDescent="0.3">
      <c r="A919" s="2" t="s">
        <v>883</v>
      </c>
      <c r="B919" s="1" t="s">
        <v>2152</v>
      </c>
      <c r="C919" s="6" t="s">
        <v>3033</v>
      </c>
      <c r="D919" s="6" t="s">
        <v>5194</v>
      </c>
      <c r="E919" s="20">
        <f t="shared" si="67"/>
        <v>0</v>
      </c>
      <c r="F919" s="20">
        <v>100</v>
      </c>
      <c r="G919" s="24" t="s">
        <v>7374</v>
      </c>
      <c r="H919" s="20">
        <f t="shared" si="68"/>
        <v>0</v>
      </c>
      <c r="I919" s="21">
        <v>18</v>
      </c>
      <c r="J919" s="21">
        <f t="shared" si="70"/>
        <v>0</v>
      </c>
    </row>
    <row r="920" spans="1:10" x14ac:dyDescent="0.3">
      <c r="A920" s="2" t="s">
        <v>884</v>
      </c>
      <c r="B920" s="1" t="s">
        <v>2152</v>
      </c>
      <c r="C920" s="6" t="s">
        <v>3034</v>
      </c>
      <c r="D920" s="6" t="s">
        <v>5195</v>
      </c>
      <c r="E920" s="20">
        <f t="shared" si="67"/>
        <v>0</v>
      </c>
      <c r="F920" s="20">
        <v>140</v>
      </c>
      <c r="G920" s="24" t="s">
        <v>7375</v>
      </c>
      <c r="H920" s="20">
        <f t="shared" si="68"/>
        <v>0</v>
      </c>
      <c r="I920" s="21">
        <v>90</v>
      </c>
      <c r="J920" s="21">
        <f t="shared" si="70"/>
        <v>0</v>
      </c>
    </row>
    <row r="921" spans="1:10" x14ac:dyDescent="0.3">
      <c r="A921" s="2" t="s">
        <v>885</v>
      </c>
      <c r="B921" s="1" t="s">
        <v>2152</v>
      </c>
      <c r="C921" s="6" t="s">
        <v>3035</v>
      </c>
      <c r="D921" s="6" t="s">
        <v>5196</v>
      </c>
      <c r="E921" s="20">
        <f t="shared" si="67"/>
        <v>0</v>
      </c>
      <c r="F921" s="20">
        <f>'[54]150 mm'!$L$2</f>
        <v>430</v>
      </c>
      <c r="G921" s="24" t="s">
        <v>7376</v>
      </c>
      <c r="H921" s="20">
        <f t="shared" si="68"/>
        <v>0</v>
      </c>
      <c r="I921" s="21">
        <v>144</v>
      </c>
      <c r="J921" s="21">
        <f t="shared" si="70"/>
        <v>0</v>
      </c>
    </row>
    <row r="922" spans="1:10" x14ac:dyDescent="0.3">
      <c r="A922" s="2" t="s">
        <v>886</v>
      </c>
      <c r="B922" s="1" t="s">
        <v>2152</v>
      </c>
      <c r="C922" s="6" t="s">
        <v>3036</v>
      </c>
      <c r="D922" s="6" t="s">
        <v>5197</v>
      </c>
      <c r="E922" s="20">
        <f t="shared" si="67"/>
        <v>0</v>
      </c>
      <c r="F922" s="20">
        <f>'[54]200 mm'!$L$2</f>
        <v>500</v>
      </c>
      <c r="G922" s="24" t="s">
        <v>7377</v>
      </c>
      <c r="H922" s="20">
        <f t="shared" si="68"/>
        <v>0</v>
      </c>
      <c r="I922" s="21">
        <v>1622</v>
      </c>
      <c r="J922" s="21">
        <f t="shared" si="70"/>
        <v>0</v>
      </c>
    </row>
    <row r="923" spans="1:10" x14ac:dyDescent="0.3">
      <c r="A923" s="2" t="s">
        <v>887</v>
      </c>
      <c r="B923" s="1" t="s">
        <v>2152</v>
      </c>
      <c r="C923" s="6" t="s">
        <v>3037</v>
      </c>
      <c r="D923" s="6" t="s">
        <v>5198</v>
      </c>
      <c r="E923" s="20">
        <f t="shared" si="67"/>
        <v>0</v>
      </c>
      <c r="F923" s="20"/>
      <c r="G923" s="24" t="s">
        <v>7378</v>
      </c>
      <c r="H923" s="20">
        <f t="shared" si="68"/>
        <v>0</v>
      </c>
      <c r="I923" s="21">
        <v>60</v>
      </c>
      <c r="J923" s="21">
        <f t="shared" si="70"/>
        <v>0</v>
      </c>
    </row>
    <row r="924" spans="1:10" x14ac:dyDescent="0.3">
      <c r="A924" s="2" t="s">
        <v>888</v>
      </c>
      <c r="B924" s="1" t="s">
        <v>2152</v>
      </c>
      <c r="C924" s="6" t="s">
        <v>3038</v>
      </c>
      <c r="D924" s="6" t="s">
        <v>5199</v>
      </c>
      <c r="E924" s="20">
        <f t="shared" si="67"/>
        <v>0</v>
      </c>
      <c r="F924" s="20">
        <v>677</v>
      </c>
      <c r="G924" s="24" t="s">
        <v>7379</v>
      </c>
      <c r="H924" s="20">
        <f t="shared" si="68"/>
        <v>0</v>
      </c>
      <c r="I924" s="21">
        <v>63</v>
      </c>
      <c r="J924" s="21">
        <f t="shared" si="70"/>
        <v>0</v>
      </c>
    </row>
    <row r="925" spans="1:10" x14ac:dyDescent="0.3">
      <c r="A925" s="2" t="s">
        <v>889</v>
      </c>
      <c r="B925" s="1" t="s">
        <v>2152</v>
      </c>
      <c r="C925" s="6" t="s">
        <v>3039</v>
      </c>
      <c r="D925" s="6" t="s">
        <v>5200</v>
      </c>
      <c r="E925" s="20">
        <f t="shared" si="67"/>
        <v>0</v>
      </c>
      <c r="F925" s="20">
        <f>'[55]100x200'!$L$2</f>
        <v>837.5</v>
      </c>
      <c r="G925" s="24" t="s">
        <v>7380</v>
      </c>
      <c r="H925" s="20">
        <f t="shared" si="68"/>
        <v>0</v>
      </c>
      <c r="I925" s="21">
        <v>96</v>
      </c>
      <c r="J925" s="21">
        <f t="shared" si="70"/>
        <v>0</v>
      </c>
    </row>
    <row r="926" spans="1:10" x14ac:dyDescent="0.3">
      <c r="A926" s="2" t="s">
        <v>890</v>
      </c>
      <c r="B926" s="1" t="s">
        <v>2152</v>
      </c>
      <c r="C926" s="6" t="s">
        <v>3040</v>
      </c>
      <c r="D926" s="6" t="s">
        <v>5201</v>
      </c>
      <c r="E926" s="20">
        <f t="shared" si="67"/>
        <v>0</v>
      </c>
      <c r="F926" s="20">
        <v>1396</v>
      </c>
      <c r="G926" s="24" t="s">
        <v>7381</v>
      </c>
      <c r="H926" s="20">
        <f t="shared" si="68"/>
        <v>0</v>
      </c>
      <c r="I926" s="21">
        <v>93</v>
      </c>
      <c r="J926" s="21">
        <f t="shared" si="70"/>
        <v>0</v>
      </c>
    </row>
    <row r="927" spans="1:10" x14ac:dyDescent="0.3">
      <c r="A927" s="2" t="s">
        <v>891</v>
      </c>
      <c r="B927" s="1" t="s">
        <v>2152</v>
      </c>
      <c r="C927" s="6" t="s">
        <v>3041</v>
      </c>
      <c r="D927" s="6" t="s">
        <v>5202</v>
      </c>
      <c r="E927" s="20">
        <f t="shared" si="67"/>
        <v>0</v>
      </c>
      <c r="F927" s="20">
        <v>1000</v>
      </c>
      <c r="G927" s="24" t="s">
        <v>7382</v>
      </c>
      <c r="H927" s="20">
        <f t="shared" si="68"/>
        <v>0</v>
      </c>
      <c r="I927" s="21">
        <v>90</v>
      </c>
      <c r="J927" s="21">
        <f t="shared" si="70"/>
        <v>0</v>
      </c>
    </row>
    <row r="928" spans="1:10" x14ac:dyDescent="0.3">
      <c r="A928" s="2" t="s">
        <v>892</v>
      </c>
      <c r="B928" s="1" t="s">
        <v>2152</v>
      </c>
      <c r="C928" s="6" t="s">
        <v>3042</v>
      </c>
      <c r="D928" s="6" t="s">
        <v>5203</v>
      </c>
      <c r="E928" s="20">
        <f t="shared" si="67"/>
        <v>0</v>
      </c>
      <c r="F928" s="20">
        <f>'[55]150x300'!$L$2</f>
        <v>2268</v>
      </c>
      <c r="G928" s="24" t="s">
        <v>7383</v>
      </c>
      <c r="H928" s="20">
        <f t="shared" si="68"/>
        <v>0</v>
      </c>
      <c r="I928" s="21">
        <v>108</v>
      </c>
      <c r="J928" s="21">
        <f t="shared" si="70"/>
        <v>0</v>
      </c>
    </row>
    <row r="929" spans="1:10" x14ac:dyDescent="0.3">
      <c r="A929" s="2" t="s">
        <v>893</v>
      </c>
      <c r="B929" s="1" t="s">
        <v>2152</v>
      </c>
      <c r="C929" s="6" t="s">
        <v>3043</v>
      </c>
      <c r="D929" s="6" t="s">
        <v>5204</v>
      </c>
      <c r="E929" s="20">
        <f t="shared" si="67"/>
        <v>0</v>
      </c>
      <c r="F929" s="20">
        <v>1000</v>
      </c>
      <c r="G929" s="24" t="s">
        <v>7384</v>
      </c>
      <c r="H929" s="20">
        <f t="shared" si="68"/>
        <v>0</v>
      </c>
      <c r="I929" s="21">
        <v>105</v>
      </c>
      <c r="J929" s="21">
        <f t="shared" si="70"/>
        <v>0</v>
      </c>
    </row>
    <row r="930" spans="1:10" x14ac:dyDescent="0.3">
      <c r="A930" s="2" t="s">
        <v>894</v>
      </c>
      <c r="B930" s="1" t="s">
        <v>2152</v>
      </c>
      <c r="C930" s="6" t="s">
        <v>3044</v>
      </c>
      <c r="D930" s="6" t="s">
        <v>5205</v>
      </c>
      <c r="E930" s="20">
        <f t="shared" si="67"/>
        <v>0</v>
      </c>
      <c r="F930" s="20"/>
      <c r="G930" s="24" t="s">
        <v>7385</v>
      </c>
      <c r="H930" s="20">
        <f t="shared" si="68"/>
        <v>0</v>
      </c>
      <c r="I930" s="21">
        <v>150</v>
      </c>
      <c r="J930" s="21">
        <f t="shared" si="70"/>
        <v>0</v>
      </c>
    </row>
    <row r="931" spans="1:10" x14ac:dyDescent="0.3">
      <c r="A931" s="2" t="s">
        <v>895</v>
      </c>
      <c r="B931" s="1" t="s">
        <v>2152</v>
      </c>
      <c r="C931" s="6" t="s">
        <v>3045</v>
      </c>
      <c r="D931" s="6" t="s">
        <v>5206</v>
      </c>
      <c r="E931" s="20">
        <f>H931*1.8*1.4</f>
        <v>0</v>
      </c>
      <c r="F931" s="20"/>
      <c r="G931" s="24" t="s">
        <v>7386</v>
      </c>
      <c r="H931" s="20">
        <f>K931*1.8*1.4</f>
        <v>0</v>
      </c>
      <c r="I931" s="21">
        <v>120</v>
      </c>
      <c r="J931" s="21">
        <f t="shared" si="70"/>
        <v>0</v>
      </c>
    </row>
    <row r="932" spans="1:10" x14ac:dyDescent="0.3">
      <c r="A932" s="2" t="s">
        <v>896</v>
      </c>
      <c r="B932" s="1" t="s">
        <v>2152</v>
      </c>
      <c r="C932" s="6" t="s">
        <v>3046</v>
      </c>
      <c r="D932" s="6" t="s">
        <v>5207</v>
      </c>
      <c r="E932" s="20">
        <f>H932*1.8*1.4</f>
        <v>0</v>
      </c>
      <c r="F932" s="20"/>
      <c r="G932" s="24" t="s">
        <v>7387</v>
      </c>
      <c r="H932" s="20">
        <f>K932*1.8*1.4</f>
        <v>0</v>
      </c>
      <c r="I932" s="21">
        <v>129</v>
      </c>
      <c r="J932" s="21">
        <f t="shared" si="70"/>
        <v>0</v>
      </c>
    </row>
    <row r="933" spans="1:10" x14ac:dyDescent="0.3">
      <c r="A933" s="2" t="s">
        <v>897</v>
      </c>
      <c r="B933" s="1" t="s">
        <v>2152</v>
      </c>
      <c r="C933" s="6" t="s">
        <v>3047</v>
      </c>
      <c r="D933" s="6" t="s">
        <v>5208</v>
      </c>
      <c r="E933" s="20">
        <f>H933*1.8*1.4</f>
        <v>0</v>
      </c>
      <c r="F933" s="20"/>
      <c r="G933" s="24" t="s">
        <v>7388</v>
      </c>
      <c r="H933" s="20">
        <f>K933*1.8*1.4</f>
        <v>0</v>
      </c>
      <c r="I933" s="21">
        <v>192</v>
      </c>
      <c r="J933" s="21">
        <f t="shared" si="70"/>
        <v>0</v>
      </c>
    </row>
    <row r="934" spans="1:10" x14ac:dyDescent="0.3">
      <c r="A934" s="2" t="s">
        <v>898</v>
      </c>
      <c r="B934" s="1" t="s">
        <v>2152</v>
      </c>
      <c r="C934" s="6" t="s">
        <v>3048</v>
      </c>
      <c r="D934" s="6" t="s">
        <v>5209</v>
      </c>
      <c r="E934" s="20">
        <f>H934*1.8*1.4</f>
        <v>0</v>
      </c>
      <c r="F934" s="20"/>
      <c r="G934" s="24" t="s">
        <v>7389</v>
      </c>
      <c r="H934" s="20">
        <f>K934*1.8*1.4</f>
        <v>0</v>
      </c>
      <c r="I934" s="21">
        <v>207</v>
      </c>
      <c r="J934" s="21">
        <f t="shared" si="70"/>
        <v>0</v>
      </c>
    </row>
    <row r="935" spans="1:10" ht="27.6" x14ac:dyDescent="0.3">
      <c r="A935" s="2" t="s">
        <v>899</v>
      </c>
      <c r="B935" s="1" t="s">
        <v>2152</v>
      </c>
      <c r="C935" s="6" t="s">
        <v>3049</v>
      </c>
      <c r="D935" s="6" t="s">
        <v>5210</v>
      </c>
      <c r="E935" s="20">
        <f t="shared" ref="E935:E941" si="71">H935*1.8*1.4</f>
        <v>0</v>
      </c>
      <c r="F935" s="20">
        <v>17000</v>
      </c>
      <c r="G935" s="24" t="s">
        <v>7390</v>
      </c>
      <c r="H935" s="20">
        <f t="shared" ref="H935:H941" si="72">K935*1.8*1.4</f>
        <v>0</v>
      </c>
      <c r="I935" s="21">
        <v>600</v>
      </c>
    </row>
    <row r="936" spans="1:10" ht="27.6" x14ac:dyDescent="0.3">
      <c r="A936" s="2" t="s">
        <v>900</v>
      </c>
      <c r="B936" s="1" t="s">
        <v>2152</v>
      </c>
      <c r="C936" s="6" t="s">
        <v>3050</v>
      </c>
      <c r="D936" s="6" t="s">
        <v>5211</v>
      </c>
      <c r="E936" s="20">
        <f t="shared" si="71"/>
        <v>0</v>
      </c>
      <c r="F936" s="20">
        <v>20000</v>
      </c>
      <c r="G936" s="24" t="s">
        <v>7391</v>
      </c>
      <c r="H936" s="20">
        <f t="shared" si="72"/>
        <v>0</v>
      </c>
      <c r="I936" s="21">
        <v>600</v>
      </c>
      <c r="J936" s="21">
        <v>530</v>
      </c>
    </row>
    <row r="937" spans="1:10" ht="27.6" x14ac:dyDescent="0.3">
      <c r="A937" s="2" t="s">
        <v>901</v>
      </c>
      <c r="B937" s="1" t="s">
        <v>2152</v>
      </c>
      <c r="C937" s="6" t="s">
        <v>3051</v>
      </c>
      <c r="D937" s="6" t="s">
        <v>5212</v>
      </c>
      <c r="E937" s="20">
        <f t="shared" si="71"/>
        <v>0</v>
      </c>
      <c r="F937" s="20">
        <v>850</v>
      </c>
      <c r="G937" s="24" t="s">
        <v>7392</v>
      </c>
      <c r="H937" s="20">
        <f t="shared" si="72"/>
        <v>0</v>
      </c>
      <c r="I937" s="21">
        <v>615</v>
      </c>
      <c r="J937" s="21">
        <f t="shared" ref="J937:J970" si="73">X937</f>
        <v>0</v>
      </c>
    </row>
    <row r="938" spans="1:10" ht="27.6" x14ac:dyDescent="0.3">
      <c r="A938" s="2" t="s">
        <v>902</v>
      </c>
      <c r="B938" s="1" t="s">
        <v>2152</v>
      </c>
      <c r="C938" s="6" t="s">
        <v>3052</v>
      </c>
      <c r="D938" s="6" t="s">
        <v>5213</v>
      </c>
      <c r="E938" s="20">
        <f t="shared" si="71"/>
        <v>0</v>
      </c>
      <c r="F938" s="20">
        <v>1500</v>
      </c>
      <c r="G938" s="24" t="s">
        <v>7393</v>
      </c>
      <c r="H938" s="20">
        <f t="shared" si="72"/>
        <v>0</v>
      </c>
      <c r="I938" s="21">
        <v>660</v>
      </c>
      <c r="J938" s="21">
        <f t="shared" si="73"/>
        <v>0</v>
      </c>
    </row>
    <row r="939" spans="1:10" ht="27.6" x14ac:dyDescent="0.3">
      <c r="A939" s="2" t="s">
        <v>903</v>
      </c>
      <c r="B939" s="1" t="s">
        <v>2152</v>
      </c>
      <c r="C939" s="6" t="s">
        <v>3053</v>
      </c>
      <c r="D939" s="6" t="s">
        <v>5214</v>
      </c>
      <c r="E939" s="20">
        <f t="shared" si="71"/>
        <v>0</v>
      </c>
      <c r="F939" s="20">
        <v>900</v>
      </c>
      <c r="G939" s="24" t="s">
        <v>7394</v>
      </c>
      <c r="H939" s="20">
        <f t="shared" si="72"/>
        <v>0</v>
      </c>
      <c r="I939" s="21">
        <v>690</v>
      </c>
      <c r="J939" s="21">
        <f t="shared" si="73"/>
        <v>0</v>
      </c>
    </row>
    <row r="940" spans="1:10" ht="27.6" x14ac:dyDescent="0.3">
      <c r="A940" s="2" t="s">
        <v>904</v>
      </c>
      <c r="B940" s="1" t="s">
        <v>2152</v>
      </c>
      <c r="C940" s="6" t="s">
        <v>3054</v>
      </c>
      <c r="D940" s="6" t="s">
        <v>5215</v>
      </c>
      <c r="E940" s="20">
        <f t="shared" si="71"/>
        <v>0</v>
      </c>
      <c r="F940" s="20">
        <v>1100</v>
      </c>
      <c r="G940" s="24" t="s">
        <v>7395</v>
      </c>
      <c r="H940" s="20">
        <f t="shared" si="72"/>
        <v>0</v>
      </c>
      <c r="I940" s="21">
        <v>690</v>
      </c>
      <c r="J940" s="21">
        <f t="shared" si="73"/>
        <v>0</v>
      </c>
    </row>
    <row r="941" spans="1:10" ht="27.6" x14ac:dyDescent="0.3">
      <c r="A941" s="2" t="s">
        <v>905</v>
      </c>
      <c r="B941" s="1" t="s">
        <v>2152</v>
      </c>
      <c r="C941" s="6" t="s">
        <v>3055</v>
      </c>
      <c r="D941" s="6" t="s">
        <v>5216</v>
      </c>
      <c r="E941" s="20">
        <f t="shared" si="71"/>
        <v>0</v>
      </c>
      <c r="F941" s="20">
        <v>1200</v>
      </c>
      <c r="G941" s="24" t="s">
        <v>7396</v>
      </c>
      <c r="H941" s="20">
        <f t="shared" si="72"/>
        <v>0</v>
      </c>
      <c r="I941" s="21">
        <v>690</v>
      </c>
      <c r="J941" s="21">
        <f t="shared" si="73"/>
        <v>0</v>
      </c>
    </row>
    <row r="942" spans="1:10" ht="82.8" x14ac:dyDescent="0.3">
      <c r="A942" s="2" t="s">
        <v>906</v>
      </c>
      <c r="B942" s="1" t="s">
        <v>2152</v>
      </c>
      <c r="C942" s="6" t="s">
        <v>3056</v>
      </c>
      <c r="D942" s="6" t="s">
        <v>5217</v>
      </c>
      <c r="E942" s="20">
        <f>H942*1.8*1.4</f>
        <v>0</v>
      </c>
      <c r="F942" s="20">
        <f>'[56]PORTATİF VİBRASYON MASASI'!$L$2</f>
        <v>11230</v>
      </c>
      <c r="G942" s="24" t="s">
        <v>7397</v>
      </c>
      <c r="H942" s="20">
        <f>K942*1.8*1.4</f>
        <v>0</v>
      </c>
      <c r="I942" s="21">
        <v>630</v>
      </c>
      <c r="J942" s="21">
        <f t="shared" si="73"/>
        <v>0</v>
      </c>
    </row>
    <row r="943" spans="1:10" ht="69" x14ac:dyDescent="0.3">
      <c r="A943" s="2" t="s">
        <v>907</v>
      </c>
      <c r="B943" s="1" t="s">
        <v>2152</v>
      </c>
      <c r="C943" s="6" t="s">
        <v>3057</v>
      </c>
      <c r="D943" s="6" t="s">
        <v>5218</v>
      </c>
      <c r="E943" s="20">
        <f>H943*1.8*1.4</f>
        <v>0</v>
      </c>
      <c r="F943" s="20">
        <f>'[57]VİBRASYON MASASI'!$H$18</f>
        <v>12357.599999999999</v>
      </c>
      <c r="G943" s="24" t="s">
        <v>7398</v>
      </c>
      <c r="H943" s="20">
        <f>K943*1.8*1.4</f>
        <v>0</v>
      </c>
      <c r="I943" s="21">
        <v>750</v>
      </c>
      <c r="J943" s="21">
        <f t="shared" si="73"/>
        <v>0</v>
      </c>
    </row>
    <row r="944" spans="1:10" ht="68.400000000000006" x14ac:dyDescent="0.3">
      <c r="A944" s="2" t="s">
        <v>908</v>
      </c>
      <c r="B944" s="1" t="s">
        <v>2152</v>
      </c>
      <c r="C944" s="6" t="s">
        <v>3058</v>
      </c>
      <c r="D944" s="6" t="s">
        <v>5219</v>
      </c>
      <c r="E944" s="20">
        <f>H944*1.8*1.4</f>
        <v>0</v>
      </c>
      <c r="F944" s="20">
        <f>'[57]8 li'!$L$2</f>
        <v>16464.599999999999</v>
      </c>
      <c r="G944" s="24" t="s">
        <v>7399</v>
      </c>
      <c r="H944" s="20">
        <f>K944*1.8*1.4</f>
        <v>0</v>
      </c>
      <c r="I944" s="21">
        <v>1185</v>
      </c>
      <c r="J944" s="21">
        <f t="shared" si="73"/>
        <v>0</v>
      </c>
    </row>
    <row r="945" spans="1:10" ht="69" x14ac:dyDescent="0.3">
      <c r="A945" s="2" t="s">
        <v>909</v>
      </c>
      <c r="B945" s="1" t="s">
        <v>2152</v>
      </c>
      <c r="C945" s="6" t="s">
        <v>3059</v>
      </c>
      <c r="D945" s="6" t="s">
        <v>5220</v>
      </c>
      <c r="E945" s="20">
        <f>H945*1.8*1.4</f>
        <v>0</v>
      </c>
      <c r="F945" s="20">
        <f>'[57]8 li'!$L$2</f>
        <v>16464.599999999999</v>
      </c>
      <c r="G945" s="24" t="s">
        <v>7400</v>
      </c>
      <c r="H945" s="20">
        <f>K945*1.8*1.4</f>
        <v>0</v>
      </c>
      <c r="I945" s="21">
        <v>1185</v>
      </c>
      <c r="J945" s="21">
        <f t="shared" si="73"/>
        <v>0</v>
      </c>
    </row>
    <row r="946" spans="1:10" ht="69" x14ac:dyDescent="0.3">
      <c r="A946" s="2" t="s">
        <v>910</v>
      </c>
      <c r="B946" s="1" t="s">
        <v>2152</v>
      </c>
      <c r="C946" s="6" t="s">
        <v>3060</v>
      </c>
      <c r="D946" s="6" t="s">
        <v>5221</v>
      </c>
      <c r="E946" s="20">
        <f>H946*1.8*1.4</f>
        <v>0</v>
      </c>
      <c r="F946" s="20">
        <v>6750</v>
      </c>
      <c r="G946" s="24" t="s">
        <v>7401</v>
      </c>
      <c r="H946" s="20">
        <f>K946*1.8*1.4</f>
        <v>0</v>
      </c>
      <c r="I946" s="21">
        <v>1350</v>
      </c>
      <c r="J946" s="21">
        <f t="shared" si="73"/>
        <v>0</v>
      </c>
    </row>
    <row r="947" spans="1:10" ht="69" x14ac:dyDescent="0.3">
      <c r="A947" s="2" t="s">
        <v>911</v>
      </c>
      <c r="B947" s="1" t="s">
        <v>2152</v>
      </c>
      <c r="C947" s="6" t="s">
        <v>3061</v>
      </c>
      <c r="D947" s="6" t="s">
        <v>5222</v>
      </c>
      <c r="E947" s="20">
        <f t="shared" ref="E947:E966" si="74">H947*1.8*1.4</f>
        <v>0</v>
      </c>
      <c r="F947" s="20">
        <f>'[58]büyük kür tankı'!$L$2</f>
        <v>17883</v>
      </c>
      <c r="G947" s="24" t="s">
        <v>7402</v>
      </c>
      <c r="H947" s="20">
        <f t="shared" ref="H947:H966" si="75">K947*1.8*1.4</f>
        <v>0</v>
      </c>
      <c r="I947" s="21">
        <v>1350</v>
      </c>
      <c r="J947" s="21">
        <f t="shared" si="73"/>
        <v>0</v>
      </c>
    </row>
    <row r="948" spans="1:10" ht="69" x14ac:dyDescent="0.3">
      <c r="A948" s="3" t="s">
        <v>912</v>
      </c>
      <c r="B948" s="1" t="s">
        <v>2152</v>
      </c>
      <c r="C948" s="6" t="s">
        <v>3062</v>
      </c>
      <c r="D948" s="6" t="s">
        <v>5223</v>
      </c>
      <c r="E948" s="20">
        <f t="shared" si="74"/>
        <v>0</v>
      </c>
      <c r="F948" s="20">
        <f>'[58]KÜÇÜK KÜR TANKI'!$L$2</f>
        <v>16536</v>
      </c>
      <c r="G948" s="24" t="s">
        <v>7403</v>
      </c>
      <c r="H948" s="20">
        <f t="shared" si="75"/>
        <v>0</v>
      </c>
      <c r="I948" s="21">
        <v>1218</v>
      </c>
      <c r="J948" s="21">
        <f t="shared" si="73"/>
        <v>0</v>
      </c>
    </row>
    <row r="949" spans="1:10" ht="69" x14ac:dyDescent="0.3">
      <c r="A949" s="2" t="s">
        <v>913</v>
      </c>
      <c r="B949" s="1" t="s">
        <v>2152</v>
      </c>
      <c r="C949" s="6" t="s">
        <v>3063</v>
      </c>
      <c r="D949" s="6" t="s">
        <v>5224</v>
      </c>
      <c r="E949" s="20">
        <f t="shared" si="74"/>
        <v>0</v>
      </c>
      <c r="F949" s="20">
        <v>1700</v>
      </c>
      <c r="G949" s="24" t="s">
        <v>7404</v>
      </c>
      <c r="H949" s="20">
        <f t="shared" si="75"/>
        <v>0</v>
      </c>
      <c r="I949" s="21">
        <v>1200</v>
      </c>
      <c r="J949" s="21">
        <f t="shared" si="73"/>
        <v>0</v>
      </c>
    </row>
    <row r="950" spans="1:10" ht="69" x14ac:dyDescent="0.3">
      <c r="A950" s="2" t="s">
        <v>914</v>
      </c>
      <c r="B950" s="1" t="s">
        <v>2152</v>
      </c>
      <c r="C950" s="6" t="s">
        <v>3064</v>
      </c>
      <c r="D950" s="6" t="s">
        <v>5225</v>
      </c>
      <c r="E950" s="20">
        <f t="shared" si="74"/>
        <v>0</v>
      </c>
      <c r="F950" s="20"/>
      <c r="G950" s="24" t="s">
        <v>7405</v>
      </c>
      <c r="H950" s="20">
        <f t="shared" si="75"/>
        <v>0</v>
      </c>
      <c r="I950" s="21">
        <v>3150</v>
      </c>
      <c r="J950" s="21">
        <f t="shared" si="73"/>
        <v>0</v>
      </c>
    </row>
    <row r="951" spans="1:10" x14ac:dyDescent="0.3">
      <c r="A951" s="2" t="s">
        <v>915</v>
      </c>
      <c r="B951" s="1" t="s">
        <v>2152</v>
      </c>
      <c r="C951" s="6" t="s">
        <v>3065</v>
      </c>
      <c r="D951" s="6" t="s">
        <v>5226</v>
      </c>
      <c r="E951" s="20">
        <f t="shared" si="74"/>
        <v>0</v>
      </c>
      <c r="F951" s="20"/>
      <c r="G951" s="24" t="s">
        <v>7406</v>
      </c>
      <c r="H951" s="20">
        <f t="shared" si="75"/>
        <v>0</v>
      </c>
      <c r="I951" s="21">
        <v>90</v>
      </c>
      <c r="J951" s="21">
        <f t="shared" si="73"/>
        <v>0</v>
      </c>
    </row>
    <row r="952" spans="1:10" ht="27.6" x14ac:dyDescent="0.3">
      <c r="A952" s="2" t="s">
        <v>916</v>
      </c>
      <c r="B952" s="1" t="s">
        <v>2152</v>
      </c>
      <c r="C952" s="6" t="s">
        <v>3066</v>
      </c>
      <c r="D952" s="6" t="s">
        <v>5227</v>
      </c>
      <c r="E952" s="20">
        <f t="shared" si="74"/>
        <v>0</v>
      </c>
      <c r="F952" s="20">
        <f>'[59]KÜR TANKI PORTATİF ISITICI'!$L$2</f>
        <v>4830</v>
      </c>
      <c r="G952" s="24" t="s">
        <v>7407</v>
      </c>
      <c r="H952" s="20">
        <f t="shared" si="75"/>
        <v>0</v>
      </c>
      <c r="I952" s="21">
        <v>225</v>
      </c>
      <c r="J952" s="21">
        <f t="shared" si="73"/>
        <v>0</v>
      </c>
    </row>
    <row r="953" spans="1:10" x14ac:dyDescent="0.3">
      <c r="A953" s="2" t="s">
        <v>917</v>
      </c>
      <c r="B953" s="1" t="s">
        <v>2152</v>
      </c>
      <c r="C953" s="6" t="s">
        <v>3067</v>
      </c>
      <c r="D953" s="6" t="s">
        <v>5228</v>
      </c>
      <c r="E953" s="20">
        <f t="shared" si="74"/>
        <v>0</v>
      </c>
      <c r="F953" s="20">
        <v>500</v>
      </c>
      <c r="G953" s="24" t="s">
        <v>7408</v>
      </c>
      <c r="H953" s="20">
        <f t="shared" si="75"/>
        <v>0</v>
      </c>
      <c r="I953" s="21">
        <v>147</v>
      </c>
      <c r="J953" s="21">
        <f t="shared" si="73"/>
        <v>0</v>
      </c>
    </row>
    <row r="954" spans="1:10" x14ac:dyDescent="0.3">
      <c r="A954" s="2" t="s">
        <v>887</v>
      </c>
      <c r="B954" s="1" t="s">
        <v>2152</v>
      </c>
      <c r="C954" s="6" t="s">
        <v>3037</v>
      </c>
      <c r="D954" s="6" t="s">
        <v>5198</v>
      </c>
      <c r="E954" s="20">
        <f t="shared" si="74"/>
        <v>0</v>
      </c>
      <c r="F954" s="20"/>
      <c r="G954" s="24" t="s">
        <v>7409</v>
      </c>
      <c r="H954" s="20">
        <f t="shared" si="75"/>
        <v>0</v>
      </c>
      <c r="I954" s="21">
        <v>60</v>
      </c>
      <c r="J954" s="21">
        <f t="shared" si="73"/>
        <v>0</v>
      </c>
    </row>
    <row r="955" spans="1:10" ht="41.4" x14ac:dyDescent="0.3">
      <c r="A955" s="3" t="s">
        <v>918</v>
      </c>
      <c r="B955" s="1" t="s">
        <v>2152</v>
      </c>
      <c r="C955" s="6" t="s">
        <v>3068</v>
      </c>
      <c r="D955" s="6" t="s">
        <v>5229</v>
      </c>
      <c r="E955" s="20">
        <f t="shared" si="74"/>
        <v>0</v>
      </c>
      <c r="F955" s="20">
        <v>750</v>
      </c>
      <c r="G955" s="24" t="s">
        <v>7410</v>
      </c>
      <c r="H955" s="20">
        <f t="shared" si="75"/>
        <v>0</v>
      </c>
      <c r="I955" s="21">
        <v>345</v>
      </c>
      <c r="J955" s="21">
        <f t="shared" si="73"/>
        <v>0</v>
      </c>
    </row>
    <row r="956" spans="1:10" x14ac:dyDescent="0.3">
      <c r="A956" s="2" t="s">
        <v>919</v>
      </c>
      <c r="B956" s="1" t="s">
        <v>2152</v>
      </c>
      <c r="C956" s="6" t="s">
        <v>3069</v>
      </c>
      <c r="D956" s="6" t="s">
        <v>5230</v>
      </c>
      <c r="E956" s="20">
        <f t="shared" si="74"/>
        <v>0</v>
      </c>
      <c r="F956" s="20">
        <v>150</v>
      </c>
      <c r="G956" s="24" t="s">
        <v>7411</v>
      </c>
      <c r="H956" s="20">
        <f t="shared" si="75"/>
        <v>0</v>
      </c>
      <c r="I956" s="21">
        <v>108</v>
      </c>
      <c r="J956" s="21">
        <f t="shared" si="73"/>
        <v>0</v>
      </c>
    </row>
    <row r="957" spans="1:10" x14ac:dyDescent="0.3">
      <c r="A957" s="2" t="s">
        <v>920</v>
      </c>
      <c r="B957" s="1" t="s">
        <v>2152</v>
      </c>
      <c r="C957" s="6" t="s">
        <v>3070</v>
      </c>
      <c r="D957" s="6" t="s">
        <v>5231</v>
      </c>
      <c r="E957" s="20">
        <f t="shared" si="74"/>
        <v>0</v>
      </c>
      <c r="F957" s="20">
        <v>600</v>
      </c>
      <c r="G957" s="24" t="s">
        <v>7412</v>
      </c>
      <c r="H957" s="20">
        <f t="shared" si="75"/>
        <v>0</v>
      </c>
      <c r="I957" s="21">
        <v>45</v>
      </c>
      <c r="J957" s="21">
        <f t="shared" si="73"/>
        <v>0</v>
      </c>
    </row>
    <row r="958" spans="1:10" ht="96.6" x14ac:dyDescent="0.3">
      <c r="A958" s="2" t="s">
        <v>921</v>
      </c>
      <c r="B958" s="1" t="s">
        <v>2152</v>
      </c>
      <c r="C958" s="6" t="s">
        <v>3071</v>
      </c>
      <c r="D958" s="6" t="s">
        <v>5232</v>
      </c>
      <c r="E958" s="20">
        <f t="shared" si="74"/>
        <v>0</v>
      </c>
      <c r="F958" s="20"/>
      <c r="G958" s="24" t="s">
        <v>7413</v>
      </c>
      <c r="H958" s="20">
        <f t="shared" si="75"/>
        <v>0</v>
      </c>
      <c r="I958" s="21">
        <v>3000</v>
      </c>
      <c r="J958" s="21">
        <f t="shared" si="73"/>
        <v>0</v>
      </c>
    </row>
    <row r="959" spans="1:10" ht="55.2" x14ac:dyDescent="0.3">
      <c r="A959" s="2" t="s">
        <v>922</v>
      </c>
      <c r="B959" s="1" t="s">
        <v>2152</v>
      </c>
      <c r="C959" s="6" t="s">
        <v>3072</v>
      </c>
      <c r="D959" s="6" t="s">
        <v>5233</v>
      </c>
      <c r="E959" s="20">
        <f t="shared" si="74"/>
        <v>0</v>
      </c>
      <c r="F959" s="20">
        <f>'[60]AŞINDIRMA CİHAZI'!$L$2</f>
        <v>116503.8</v>
      </c>
      <c r="G959" s="24" t="s">
        <v>7414</v>
      </c>
      <c r="H959" s="20">
        <f t="shared" si="75"/>
        <v>0</v>
      </c>
      <c r="I959" s="21">
        <v>4750</v>
      </c>
      <c r="J959" s="21">
        <f t="shared" si="73"/>
        <v>0</v>
      </c>
    </row>
    <row r="960" spans="1:10" ht="94.8" x14ac:dyDescent="0.3">
      <c r="A960" s="2" t="s">
        <v>923</v>
      </c>
      <c r="B960" s="1" t="s">
        <v>2152</v>
      </c>
      <c r="C960" s="6" t="s">
        <v>3073</v>
      </c>
      <c r="D960" s="6" t="s">
        <v>5234</v>
      </c>
      <c r="E960" s="20">
        <f t="shared" si="74"/>
        <v>0</v>
      </c>
      <c r="F960" s="20">
        <f>'[61]AŞINDIRMA CİHAZI'!$L$2</f>
        <v>116503.8</v>
      </c>
      <c r="G960" s="24" t="s">
        <v>7415</v>
      </c>
      <c r="H960" s="20">
        <f t="shared" si="75"/>
        <v>0</v>
      </c>
      <c r="I960" s="21">
        <v>12315</v>
      </c>
      <c r="J960" s="21">
        <f t="shared" si="73"/>
        <v>0</v>
      </c>
    </row>
    <row r="961" spans="1:10" x14ac:dyDescent="0.3">
      <c r="A961" s="3" t="s">
        <v>924</v>
      </c>
      <c r="B961" s="1" t="s">
        <v>2152</v>
      </c>
      <c r="C961" s="6" t="s">
        <v>3074</v>
      </c>
      <c r="D961" s="6" t="s">
        <v>5235</v>
      </c>
      <c r="E961" s="20">
        <f t="shared" si="74"/>
        <v>0</v>
      </c>
      <c r="F961" s="20">
        <v>2000</v>
      </c>
      <c r="G961" s="24" t="s">
        <v>7416</v>
      </c>
      <c r="H961" s="20">
        <f t="shared" si="75"/>
        <v>0</v>
      </c>
      <c r="I961" s="21">
        <v>576</v>
      </c>
      <c r="J961" s="21">
        <f t="shared" si="73"/>
        <v>0</v>
      </c>
    </row>
    <row r="962" spans="1:10" x14ac:dyDescent="0.3">
      <c r="A962" s="2" t="s">
        <v>924</v>
      </c>
      <c r="B962" s="1" t="s">
        <v>2152</v>
      </c>
      <c r="C962" s="6" t="s">
        <v>3074</v>
      </c>
      <c r="D962" s="6" t="s">
        <v>5235</v>
      </c>
      <c r="E962" s="20">
        <f t="shared" si="74"/>
        <v>0</v>
      </c>
      <c r="F962" s="20">
        <v>2000</v>
      </c>
      <c r="G962" s="24" t="s">
        <v>7417</v>
      </c>
      <c r="H962" s="20">
        <f t="shared" si="75"/>
        <v>0</v>
      </c>
      <c r="I962" s="21">
        <v>576</v>
      </c>
      <c r="J962" s="21">
        <f t="shared" si="73"/>
        <v>0</v>
      </c>
    </row>
    <row r="963" spans="1:10" x14ac:dyDescent="0.3">
      <c r="A963" s="2" t="s">
        <v>925</v>
      </c>
      <c r="B963" s="1" t="s">
        <v>2152</v>
      </c>
      <c r="C963" s="6" t="s">
        <v>3075</v>
      </c>
      <c r="D963" s="6" t="s">
        <v>5236</v>
      </c>
      <c r="E963" s="20">
        <f t="shared" si="74"/>
        <v>0</v>
      </c>
      <c r="F963" s="20"/>
      <c r="G963" s="24" t="s">
        <v>7418</v>
      </c>
      <c r="H963" s="20">
        <f t="shared" si="75"/>
        <v>0</v>
      </c>
      <c r="I963" s="21">
        <v>150</v>
      </c>
      <c r="J963" s="21">
        <f t="shared" si="73"/>
        <v>0</v>
      </c>
    </row>
    <row r="964" spans="1:10" x14ac:dyDescent="0.3">
      <c r="A964" s="2" t="s">
        <v>926</v>
      </c>
      <c r="B964" s="1" t="s">
        <v>2152</v>
      </c>
      <c r="C964" s="6" t="s">
        <v>3076</v>
      </c>
      <c r="D964" s="6" t="s">
        <v>5237</v>
      </c>
      <c r="E964" s="20">
        <f t="shared" si="74"/>
        <v>0</v>
      </c>
      <c r="F964" s="20"/>
      <c r="G964" s="24" t="s">
        <v>7419</v>
      </c>
      <c r="H964" s="20">
        <f t="shared" si="75"/>
        <v>0</v>
      </c>
      <c r="I964" s="21">
        <v>150</v>
      </c>
      <c r="J964" s="21">
        <f t="shared" si="73"/>
        <v>0</v>
      </c>
    </row>
    <row r="965" spans="1:10" x14ac:dyDescent="0.3">
      <c r="A965" s="2" t="s">
        <v>927</v>
      </c>
      <c r="B965" s="1" t="s">
        <v>2152</v>
      </c>
      <c r="C965" s="6" t="s">
        <v>3077</v>
      </c>
      <c r="D965" s="6" t="s">
        <v>5238</v>
      </c>
      <c r="E965" s="20">
        <f t="shared" si="74"/>
        <v>0</v>
      </c>
      <c r="F965" s="20"/>
      <c r="G965" s="24" t="s">
        <v>7420</v>
      </c>
      <c r="H965" s="20">
        <f t="shared" si="75"/>
        <v>0</v>
      </c>
      <c r="I965" s="21">
        <v>150</v>
      </c>
      <c r="J965" s="21">
        <f t="shared" si="73"/>
        <v>0</v>
      </c>
    </row>
    <row r="966" spans="1:10" x14ac:dyDescent="0.3">
      <c r="A966" s="2" t="s">
        <v>928</v>
      </c>
      <c r="B966" s="1" t="s">
        <v>2152</v>
      </c>
      <c r="C966" s="6" t="s">
        <v>3078</v>
      </c>
      <c r="D966" s="6" t="s">
        <v>5239</v>
      </c>
      <c r="E966" s="20">
        <f t="shared" si="74"/>
        <v>0</v>
      </c>
      <c r="F966" s="20"/>
      <c r="G966" s="24" t="s">
        <v>7421</v>
      </c>
      <c r="H966" s="20">
        <f t="shared" si="75"/>
        <v>0</v>
      </c>
      <c r="I966" s="21">
        <v>150</v>
      </c>
      <c r="J966" s="21">
        <f t="shared" si="73"/>
        <v>0</v>
      </c>
    </row>
    <row r="967" spans="1:10" ht="110.4" x14ac:dyDescent="0.3">
      <c r="A967" s="2" t="s">
        <v>929</v>
      </c>
      <c r="B967" s="1" t="s">
        <v>2152</v>
      </c>
      <c r="C967" s="6" t="s">
        <v>3079</v>
      </c>
      <c r="D967" s="6" t="s">
        <v>5240</v>
      </c>
      <c r="E967" s="20">
        <f>H967*1.8*1.4</f>
        <v>0</v>
      </c>
      <c r="F967" s="20">
        <v>62500</v>
      </c>
      <c r="G967" s="24" t="s">
        <v>7422</v>
      </c>
      <c r="H967" s="20">
        <f>K967*1.8*1.4</f>
        <v>0</v>
      </c>
      <c r="I967" s="21">
        <v>8100</v>
      </c>
      <c r="J967" s="21">
        <f t="shared" si="73"/>
        <v>0</v>
      </c>
    </row>
    <row r="968" spans="1:10" ht="110.4" x14ac:dyDescent="0.3">
      <c r="A968" s="2" t="s">
        <v>930</v>
      </c>
      <c r="B968" s="1" t="s">
        <v>2152</v>
      </c>
      <c r="C968" s="6" t="s">
        <v>3080</v>
      </c>
      <c r="D968" s="6" t="s">
        <v>5241</v>
      </c>
      <c r="E968" s="20">
        <f>H968*1.8*1.4</f>
        <v>0</v>
      </c>
      <c r="F968" s="20">
        <v>28000</v>
      </c>
      <c r="G968" s="24" t="s">
        <v>7423</v>
      </c>
      <c r="H968" s="20">
        <f>K968*1.8*1.4</f>
        <v>0</v>
      </c>
      <c r="I968" s="21">
        <v>9900</v>
      </c>
      <c r="J968" s="21">
        <f t="shared" si="73"/>
        <v>0</v>
      </c>
    </row>
    <row r="969" spans="1:10" ht="110.4" x14ac:dyDescent="0.3">
      <c r="A969" s="2" t="s">
        <v>931</v>
      </c>
      <c r="B969" s="1" t="s">
        <v>2152</v>
      </c>
      <c r="C969" s="6" t="s">
        <v>3081</v>
      </c>
      <c r="D969" s="6" t="s">
        <v>5242</v>
      </c>
      <c r="E969" s="20">
        <f>H969*1.8*1.4</f>
        <v>0</v>
      </c>
      <c r="F969" s="20">
        <v>85000</v>
      </c>
      <c r="G969" s="24" t="s">
        <v>7424</v>
      </c>
      <c r="H969" s="20">
        <f>K969*1.8*1.4</f>
        <v>0</v>
      </c>
      <c r="I969" s="21">
        <v>12900</v>
      </c>
      <c r="J969" s="21">
        <f t="shared" si="73"/>
        <v>0</v>
      </c>
    </row>
    <row r="970" spans="1:10" x14ac:dyDescent="0.3">
      <c r="A970" s="2" t="s">
        <v>932</v>
      </c>
      <c r="B970" s="1" t="s">
        <v>2152</v>
      </c>
      <c r="C970" s="6" t="s">
        <v>3082</v>
      </c>
      <c r="D970" s="6" t="s">
        <v>5243</v>
      </c>
      <c r="E970" s="20">
        <f t="shared" ref="E970:E1034" si="76">H970*1.8*1.4</f>
        <v>0</v>
      </c>
      <c r="F970" s="20">
        <v>5910</v>
      </c>
      <c r="G970" s="24" t="s">
        <v>7425</v>
      </c>
      <c r="H970" s="20">
        <f t="shared" ref="H970:H1034" si="77">K970*1.8*1.4</f>
        <v>0</v>
      </c>
      <c r="I970" s="21">
        <v>11730</v>
      </c>
      <c r="J970" s="21">
        <f t="shared" si="73"/>
        <v>0</v>
      </c>
    </row>
    <row r="971" spans="1:10" ht="82.8" x14ac:dyDescent="0.3">
      <c r="A971" s="2" t="s">
        <v>933</v>
      </c>
      <c r="B971" s="1" t="s">
        <v>2152</v>
      </c>
      <c r="C971" s="6" t="s">
        <v>3083</v>
      </c>
      <c r="D971" s="6" t="s">
        <v>5244</v>
      </c>
      <c r="E971" s="20"/>
      <c r="F971" s="20"/>
      <c r="G971" s="24" t="s">
        <v>7426</v>
      </c>
      <c r="H971" s="20"/>
    </row>
    <row r="972" spans="1:10" x14ac:dyDescent="0.3">
      <c r="A972" s="2" t="s">
        <v>934</v>
      </c>
      <c r="B972" s="1" t="s">
        <v>2152</v>
      </c>
      <c r="C972" s="6" t="s">
        <v>3084</v>
      </c>
      <c r="D972" s="6" t="s">
        <v>5245</v>
      </c>
      <c r="E972" s="20"/>
      <c r="F972" s="20"/>
      <c r="G972" s="24" t="s">
        <v>7427</v>
      </c>
      <c r="H972" s="20"/>
    </row>
    <row r="973" spans="1:10" ht="151.80000000000001" x14ac:dyDescent="0.3">
      <c r="A973" s="3" t="s">
        <v>935</v>
      </c>
      <c r="B973" s="1" t="s">
        <v>2152</v>
      </c>
      <c r="C973" s="6" t="s">
        <v>3085</v>
      </c>
      <c r="D973" s="6" t="s">
        <v>5246</v>
      </c>
      <c r="E973" s="20">
        <f t="shared" si="76"/>
        <v>0</v>
      </c>
      <c r="F973" s="20">
        <f>'[62]DEMİR ÇEKME 60 TON'!$L$2</f>
        <v>264615.2</v>
      </c>
      <c r="G973" s="24" t="s">
        <v>7428</v>
      </c>
      <c r="H973" s="20">
        <f t="shared" si="77"/>
        <v>0</v>
      </c>
      <c r="I973" s="21">
        <v>15500</v>
      </c>
      <c r="J973" s="21">
        <v>17500</v>
      </c>
    </row>
    <row r="974" spans="1:10" ht="151.80000000000001" x14ac:dyDescent="0.3">
      <c r="A974" s="3" t="s">
        <v>936</v>
      </c>
      <c r="B974" s="1" t="s">
        <v>2152</v>
      </c>
      <c r="C974" s="6" t="s">
        <v>3086</v>
      </c>
      <c r="D974" s="6" t="s">
        <v>5247</v>
      </c>
      <c r="E974" s="20">
        <f t="shared" si="76"/>
        <v>0</v>
      </c>
      <c r="F974" s="20">
        <f>'[62]DEMİR ÇEKME 100 TON'!$L$2</f>
        <v>328962.90000000002</v>
      </c>
      <c r="G974" s="24" t="s">
        <v>7429</v>
      </c>
      <c r="H974" s="20">
        <f t="shared" si="77"/>
        <v>0</v>
      </c>
      <c r="I974" s="21">
        <v>21350</v>
      </c>
      <c r="J974" s="21">
        <v>22000</v>
      </c>
    </row>
    <row r="975" spans="1:10" ht="151.80000000000001" x14ac:dyDescent="0.3">
      <c r="A975" s="3" t="s">
        <v>937</v>
      </c>
      <c r="B975" s="1" t="s">
        <v>2152</v>
      </c>
      <c r="C975" s="6" t="s">
        <v>3087</v>
      </c>
      <c r="D975" s="6" t="s">
        <v>5248</v>
      </c>
      <c r="E975" s="20">
        <f t="shared" si="76"/>
        <v>0</v>
      </c>
      <c r="F975" s="20">
        <f>'[62]DEMİR ÇEKME 60 TON'!$L$2</f>
        <v>264615.2</v>
      </c>
      <c r="G975" s="24" t="s">
        <v>7430</v>
      </c>
      <c r="H975" s="20">
        <f t="shared" si="77"/>
        <v>0</v>
      </c>
      <c r="I975" s="21">
        <v>15500</v>
      </c>
      <c r="J975" s="21">
        <v>17500</v>
      </c>
    </row>
    <row r="976" spans="1:10" ht="151.80000000000001" x14ac:dyDescent="0.3">
      <c r="A976" s="3" t="s">
        <v>938</v>
      </c>
      <c r="B976" s="1" t="s">
        <v>2152</v>
      </c>
      <c r="C976" s="6" t="s">
        <v>3088</v>
      </c>
      <c r="D976" s="6" t="s">
        <v>5249</v>
      </c>
      <c r="E976" s="20">
        <f t="shared" si="76"/>
        <v>0</v>
      </c>
      <c r="F976" s="20">
        <f>'[62]DEMİR ÇEKME 100 TON'!$L$2</f>
        <v>328962.90000000002</v>
      </c>
      <c r="G976" s="24" t="s">
        <v>7431</v>
      </c>
      <c r="H976" s="20">
        <f t="shared" si="77"/>
        <v>0</v>
      </c>
      <c r="I976" s="21">
        <v>21350</v>
      </c>
      <c r="J976" s="21">
        <v>22000</v>
      </c>
    </row>
    <row r="977" spans="1:10" ht="27.6" x14ac:dyDescent="0.3">
      <c r="A977" s="2" t="s">
        <v>939</v>
      </c>
      <c r="B977" s="1" t="s">
        <v>2152</v>
      </c>
      <c r="C977" s="6" t="s">
        <v>3089</v>
      </c>
      <c r="D977" s="6" t="s">
        <v>5250</v>
      </c>
      <c r="E977" s="20">
        <f t="shared" si="76"/>
        <v>0</v>
      </c>
      <c r="F977" s="20">
        <f>'[63]BORU TEST PRESİ 60T'!$H$67</f>
        <v>291232.12</v>
      </c>
      <c r="G977" s="24" t="s">
        <v>7432</v>
      </c>
      <c r="H977" s="20">
        <f t="shared" si="77"/>
        <v>0</v>
      </c>
    </row>
    <row r="978" spans="1:10" ht="27.6" x14ac:dyDescent="0.3">
      <c r="A978" s="2" t="s">
        <v>940</v>
      </c>
      <c r="B978" s="1" t="s">
        <v>2152</v>
      </c>
      <c r="C978" s="6" t="s">
        <v>3090</v>
      </c>
      <c r="D978" s="6" t="s">
        <v>5251</v>
      </c>
      <c r="E978" s="20">
        <f t="shared" si="76"/>
        <v>0</v>
      </c>
      <c r="F978" s="20">
        <f>'[63]BORU PRESİ GÖVDESİ 100 TON'!$H$37</f>
        <v>568291.20000000007</v>
      </c>
      <c r="G978" s="24" t="s">
        <v>7433</v>
      </c>
      <c r="H978" s="20">
        <f t="shared" si="77"/>
        <v>0</v>
      </c>
    </row>
    <row r="979" spans="1:10" ht="110.4" x14ac:dyDescent="0.3">
      <c r="A979" s="3" t="s">
        <v>579</v>
      </c>
      <c r="B979" s="1" t="s">
        <v>2152</v>
      </c>
      <c r="C979" s="6" t="s">
        <v>3091</v>
      </c>
      <c r="D979" s="6" t="s">
        <v>5252</v>
      </c>
      <c r="E979" s="20">
        <f t="shared" si="76"/>
        <v>0</v>
      </c>
      <c r="F979" s="20"/>
      <c r="G979" s="24" t="s">
        <v>7434</v>
      </c>
      <c r="H979" s="20">
        <f t="shared" si="77"/>
        <v>0</v>
      </c>
      <c r="I979" s="21">
        <v>7850</v>
      </c>
      <c r="J979" s="21">
        <f>X979</f>
        <v>0</v>
      </c>
    </row>
    <row r="980" spans="1:10" ht="110.4" x14ac:dyDescent="0.3">
      <c r="A980" s="2" t="s">
        <v>941</v>
      </c>
      <c r="B980" s="1" t="s">
        <v>2152</v>
      </c>
      <c r="C980" s="6" t="s">
        <v>3092</v>
      </c>
      <c r="D980" s="6" t="s">
        <v>5253</v>
      </c>
      <c r="E980" s="20">
        <f t="shared" si="76"/>
        <v>0</v>
      </c>
      <c r="F980" s="20"/>
      <c r="G980" s="24" t="s">
        <v>7435</v>
      </c>
      <c r="H980" s="20">
        <f t="shared" si="77"/>
        <v>0</v>
      </c>
      <c r="I980" s="21">
        <v>7550</v>
      </c>
      <c r="J980" s="21">
        <f>X980</f>
        <v>0</v>
      </c>
    </row>
    <row r="981" spans="1:10" ht="69" x14ac:dyDescent="0.3">
      <c r="A981" s="2" t="s">
        <v>580</v>
      </c>
      <c r="B981" s="1" t="s">
        <v>2152</v>
      </c>
      <c r="C981" s="6" t="s">
        <v>3093</v>
      </c>
      <c r="D981" s="6" t="s">
        <v>5254</v>
      </c>
      <c r="E981" s="20">
        <f t="shared" si="76"/>
        <v>0</v>
      </c>
      <c r="F981" s="20"/>
      <c r="G981" s="24" t="s">
        <v>7436</v>
      </c>
      <c r="H981" s="20">
        <f t="shared" si="77"/>
        <v>0</v>
      </c>
      <c r="I981" s="21">
        <v>3875</v>
      </c>
      <c r="J981" s="21">
        <f>X981</f>
        <v>0</v>
      </c>
    </row>
    <row r="982" spans="1:10" ht="69" x14ac:dyDescent="0.3">
      <c r="A982" s="2" t="s">
        <v>942</v>
      </c>
      <c r="B982" s="1" t="s">
        <v>2152</v>
      </c>
      <c r="C982" s="6" t="s">
        <v>3094</v>
      </c>
      <c r="D982" s="6" t="s">
        <v>5255</v>
      </c>
      <c r="E982" s="20">
        <f t="shared" si="76"/>
        <v>0</v>
      </c>
      <c r="F982" s="20"/>
      <c r="G982" s="24" t="s">
        <v>7437</v>
      </c>
      <c r="H982" s="20">
        <f t="shared" si="77"/>
        <v>0</v>
      </c>
      <c r="I982" s="21">
        <v>3575</v>
      </c>
      <c r="J982" s="21">
        <f>X982</f>
        <v>0</v>
      </c>
    </row>
    <row r="983" spans="1:10" ht="41.4" x14ac:dyDescent="0.3">
      <c r="A983" s="2" t="s">
        <v>943</v>
      </c>
      <c r="B983" s="1" t="s">
        <v>2152</v>
      </c>
      <c r="C983" s="6" t="s">
        <v>3095</v>
      </c>
      <c r="D983" s="6" t="s">
        <v>5256</v>
      </c>
      <c r="E983" s="20">
        <f t="shared" si="76"/>
        <v>0</v>
      </c>
      <c r="F983" s="20">
        <v>1000</v>
      </c>
      <c r="G983" s="24" t="s">
        <v>7438</v>
      </c>
      <c r="H983" s="20">
        <f t="shared" si="77"/>
        <v>0</v>
      </c>
      <c r="I983" s="21">
        <v>150</v>
      </c>
      <c r="J983" s="21">
        <f t="shared" ref="J983:J989" si="78">X983</f>
        <v>0</v>
      </c>
    </row>
    <row r="984" spans="1:10" x14ac:dyDescent="0.3">
      <c r="A984" s="2" t="s">
        <v>944</v>
      </c>
      <c r="B984" s="1" t="s">
        <v>2152</v>
      </c>
      <c r="C984" s="6" t="s">
        <v>3096</v>
      </c>
      <c r="D984" s="6" t="s">
        <v>5257</v>
      </c>
      <c r="E984" s="20">
        <f t="shared" si="76"/>
        <v>0</v>
      </c>
      <c r="F984" s="20">
        <v>115</v>
      </c>
      <c r="G984" s="24" t="s">
        <v>7439</v>
      </c>
      <c r="H984" s="20">
        <f t="shared" si="77"/>
        <v>0</v>
      </c>
      <c r="I984" s="21">
        <v>67.5</v>
      </c>
      <c r="J984" s="21">
        <f t="shared" si="78"/>
        <v>0</v>
      </c>
    </row>
    <row r="985" spans="1:10" x14ac:dyDescent="0.3">
      <c r="A985" s="2" t="s">
        <v>945</v>
      </c>
      <c r="B985" s="1" t="s">
        <v>2152</v>
      </c>
      <c r="C985" s="6" t="s">
        <v>3097</v>
      </c>
      <c r="D985" s="6" t="s">
        <v>5258</v>
      </c>
      <c r="E985" s="20">
        <f t="shared" si="76"/>
        <v>0</v>
      </c>
      <c r="F985" s="20">
        <v>40</v>
      </c>
      <c r="G985" s="24" t="s">
        <v>7440</v>
      </c>
      <c r="H985" s="20">
        <f t="shared" si="77"/>
        <v>0</v>
      </c>
      <c r="I985" s="21">
        <v>30</v>
      </c>
      <c r="J985" s="21">
        <f t="shared" si="78"/>
        <v>0</v>
      </c>
    </row>
    <row r="986" spans="1:10" x14ac:dyDescent="0.3">
      <c r="A986" s="2" t="s">
        <v>946</v>
      </c>
      <c r="B986" s="1" t="s">
        <v>2152</v>
      </c>
      <c r="C986" s="6" t="s">
        <v>3098</v>
      </c>
      <c r="D986" s="6" t="s">
        <v>5259</v>
      </c>
      <c r="E986" s="20">
        <f t="shared" si="76"/>
        <v>0</v>
      </c>
      <c r="F986" s="20">
        <v>50</v>
      </c>
      <c r="G986" s="24" t="s">
        <v>7441</v>
      </c>
      <c r="H986" s="20">
        <f t="shared" si="77"/>
        <v>0</v>
      </c>
      <c r="I986" s="21">
        <v>38</v>
      </c>
      <c r="J986" s="21">
        <f t="shared" si="78"/>
        <v>0</v>
      </c>
    </row>
    <row r="987" spans="1:10" x14ac:dyDescent="0.3">
      <c r="A987" s="2" t="s">
        <v>947</v>
      </c>
      <c r="B987" s="1" t="s">
        <v>2152</v>
      </c>
      <c r="C987" s="6" t="s">
        <v>3099</v>
      </c>
      <c r="D987" s="6" t="s">
        <v>5260</v>
      </c>
      <c r="E987" s="20">
        <f t="shared" si="76"/>
        <v>0</v>
      </c>
      <c r="F987" s="20">
        <v>60</v>
      </c>
      <c r="G987" s="24" t="s">
        <v>7442</v>
      </c>
      <c r="H987" s="20">
        <f t="shared" si="77"/>
        <v>0</v>
      </c>
      <c r="I987" s="21">
        <v>45</v>
      </c>
      <c r="J987" s="21">
        <f t="shared" si="78"/>
        <v>0</v>
      </c>
    </row>
    <row r="988" spans="1:10" ht="82.8" x14ac:dyDescent="0.3">
      <c r="A988" s="2" t="s">
        <v>948</v>
      </c>
      <c r="B988" s="1" t="s">
        <v>2152</v>
      </c>
      <c r="C988" s="6" t="s">
        <v>3100</v>
      </c>
      <c r="D988" s="6" t="s">
        <v>5261</v>
      </c>
      <c r="E988" s="20">
        <f t="shared" si="76"/>
        <v>0</v>
      </c>
      <c r="F988" s="20">
        <v>450</v>
      </c>
      <c r="G988" s="24" t="s">
        <v>7443</v>
      </c>
      <c r="H988" s="20">
        <f t="shared" si="77"/>
        <v>0</v>
      </c>
      <c r="I988" s="21">
        <v>270</v>
      </c>
      <c r="J988" s="21">
        <f t="shared" si="78"/>
        <v>0</v>
      </c>
    </row>
    <row r="989" spans="1:10" x14ac:dyDescent="0.3">
      <c r="A989" s="2" t="s">
        <v>949</v>
      </c>
      <c r="B989" s="1" t="s">
        <v>2152</v>
      </c>
      <c r="C989" s="6" t="s">
        <v>3101</v>
      </c>
      <c r="D989" s="6" t="s">
        <v>5262</v>
      </c>
      <c r="E989" s="20">
        <f t="shared" si="76"/>
        <v>0</v>
      </c>
      <c r="F989" s="20">
        <v>30</v>
      </c>
      <c r="G989" s="24" t="s">
        <v>7444</v>
      </c>
      <c r="H989" s="20">
        <f t="shared" si="77"/>
        <v>0</v>
      </c>
      <c r="I989" s="21">
        <v>7.2</v>
      </c>
      <c r="J989" s="21">
        <f t="shared" si="78"/>
        <v>0</v>
      </c>
    </row>
    <row r="990" spans="1:10" x14ac:dyDescent="0.3">
      <c r="A990" s="2" t="s">
        <v>950</v>
      </c>
      <c r="B990" s="1" t="s">
        <v>2152</v>
      </c>
      <c r="C990" s="6" t="s">
        <v>3102</v>
      </c>
      <c r="D990" s="6" t="s">
        <v>5263</v>
      </c>
      <c r="E990" s="20">
        <f t="shared" si="76"/>
        <v>0</v>
      </c>
      <c r="F990" s="20">
        <v>450</v>
      </c>
      <c r="G990" s="24" t="s">
        <v>7445</v>
      </c>
      <c r="H990" s="20">
        <f t="shared" si="77"/>
        <v>0</v>
      </c>
      <c r="I990" s="21">
        <v>75</v>
      </c>
      <c r="J990" s="21">
        <f>X990</f>
        <v>0</v>
      </c>
    </row>
    <row r="991" spans="1:10" x14ac:dyDescent="0.3">
      <c r="A991" s="2" t="s">
        <v>951</v>
      </c>
      <c r="B991" s="1" t="s">
        <v>2152</v>
      </c>
      <c r="C991" s="6" t="s">
        <v>3103</v>
      </c>
      <c r="D991" s="6" t="s">
        <v>5264</v>
      </c>
      <c r="E991" s="20">
        <f t="shared" si="76"/>
        <v>0</v>
      </c>
      <c r="F991" s="20">
        <v>100</v>
      </c>
      <c r="G991" s="24" t="s">
        <v>7446</v>
      </c>
      <c r="H991" s="20">
        <f t="shared" si="77"/>
        <v>0</v>
      </c>
      <c r="I991" s="21">
        <v>12</v>
      </c>
      <c r="J991" s="21">
        <f>X991</f>
        <v>0</v>
      </c>
    </row>
    <row r="992" spans="1:10" x14ac:dyDescent="0.3">
      <c r="A992" s="2" t="s">
        <v>952</v>
      </c>
      <c r="B992" s="1" t="s">
        <v>2152</v>
      </c>
      <c r="C992" s="6" t="s">
        <v>3104</v>
      </c>
      <c r="D992" s="6" t="s">
        <v>5265</v>
      </c>
      <c r="E992" s="20">
        <f t="shared" si="76"/>
        <v>0</v>
      </c>
      <c r="F992" s="20">
        <v>1250</v>
      </c>
      <c r="G992" s="24" t="s">
        <v>7447</v>
      </c>
      <c r="H992" s="20">
        <f t="shared" si="77"/>
        <v>0</v>
      </c>
      <c r="I992" s="21">
        <v>195</v>
      </c>
      <c r="J992" s="21">
        <f>X992</f>
        <v>0</v>
      </c>
    </row>
    <row r="993" spans="1:10" x14ac:dyDescent="0.3">
      <c r="A993" s="2" t="s">
        <v>953</v>
      </c>
      <c r="B993" s="1" t="s">
        <v>2152</v>
      </c>
      <c r="C993" s="6" t="s">
        <v>3105</v>
      </c>
      <c r="D993" s="6" t="s">
        <v>5266</v>
      </c>
      <c r="E993" s="20">
        <f t="shared" si="76"/>
        <v>0</v>
      </c>
      <c r="F993" s="20">
        <v>20</v>
      </c>
      <c r="G993" s="24" t="s">
        <v>7448</v>
      </c>
      <c r="H993" s="20">
        <f t="shared" si="77"/>
        <v>0</v>
      </c>
      <c r="I993" s="21">
        <v>10.8</v>
      </c>
      <c r="J993" s="21">
        <f>X993</f>
        <v>0</v>
      </c>
    </row>
    <row r="994" spans="1:10" ht="27.6" x14ac:dyDescent="0.3">
      <c r="A994" s="2" t="s">
        <v>954</v>
      </c>
      <c r="B994" s="1" t="s">
        <v>2152</v>
      </c>
      <c r="C994" s="6" t="s">
        <v>3106</v>
      </c>
      <c r="D994" s="6" t="s">
        <v>5267</v>
      </c>
      <c r="E994" s="20">
        <f t="shared" si="76"/>
        <v>0</v>
      </c>
      <c r="F994" s="20">
        <v>180</v>
      </c>
      <c r="G994" s="24" t="s">
        <v>7449</v>
      </c>
      <c r="H994" s="20">
        <f t="shared" si="77"/>
        <v>0</v>
      </c>
    </row>
    <row r="995" spans="1:10" ht="27.6" x14ac:dyDescent="0.3">
      <c r="A995" s="2" t="s">
        <v>955</v>
      </c>
      <c r="B995" s="1" t="s">
        <v>2152</v>
      </c>
      <c r="C995" s="6" t="s">
        <v>3107</v>
      </c>
      <c r="D995" s="6" t="s">
        <v>5268</v>
      </c>
      <c r="E995" s="20">
        <f t="shared" si="76"/>
        <v>0</v>
      </c>
      <c r="F995" s="20">
        <v>70</v>
      </c>
      <c r="G995" s="24" t="s">
        <v>7450</v>
      </c>
      <c r="H995" s="20">
        <f t="shared" si="77"/>
        <v>0</v>
      </c>
    </row>
    <row r="996" spans="1:10" x14ac:dyDescent="0.3">
      <c r="A996" s="2" t="s">
        <v>956</v>
      </c>
      <c r="B996" s="1" t="s">
        <v>2152</v>
      </c>
      <c r="C996" s="6" t="s">
        <v>3108</v>
      </c>
      <c r="D996" s="6" t="s">
        <v>5269</v>
      </c>
      <c r="E996" s="20">
        <f t="shared" si="76"/>
        <v>0</v>
      </c>
      <c r="F996" s="20">
        <v>200</v>
      </c>
      <c r="G996" s="24" t="s">
        <v>7451</v>
      </c>
      <c r="H996" s="20">
        <f t="shared" si="77"/>
        <v>0</v>
      </c>
    </row>
    <row r="997" spans="1:10" ht="27.6" x14ac:dyDescent="0.3">
      <c r="A997" s="2" t="s">
        <v>957</v>
      </c>
      <c r="B997" s="1" t="s">
        <v>2152</v>
      </c>
      <c r="C997" s="6" t="s">
        <v>3109</v>
      </c>
      <c r="D997" s="6" t="s">
        <v>5270</v>
      </c>
      <c r="E997" s="20">
        <f t="shared" si="76"/>
        <v>0</v>
      </c>
      <c r="F997" s="20">
        <v>65</v>
      </c>
      <c r="G997" s="24" t="s">
        <v>7452</v>
      </c>
      <c r="H997" s="20">
        <f t="shared" si="77"/>
        <v>0</v>
      </c>
    </row>
    <row r="998" spans="1:10" ht="55.2" x14ac:dyDescent="0.3">
      <c r="A998" s="2" t="s">
        <v>958</v>
      </c>
      <c r="B998" s="1" t="s">
        <v>2152</v>
      </c>
      <c r="C998" s="6" t="s">
        <v>3110</v>
      </c>
      <c r="D998" s="6" t="s">
        <v>5271</v>
      </c>
      <c r="E998" s="20">
        <f t="shared" si="76"/>
        <v>0</v>
      </c>
      <c r="F998" s="20">
        <f>'[64]MASA TİPİ KESME'!$L$2</f>
        <v>35953.25</v>
      </c>
      <c r="G998" s="24" t="s">
        <v>7453</v>
      </c>
      <c r="H998" s="20">
        <f t="shared" si="77"/>
        <v>0</v>
      </c>
      <c r="I998" s="21">
        <v>1755</v>
      </c>
      <c r="J998" s="21">
        <f t="shared" ref="J998:J1008" si="79">X998</f>
        <v>0</v>
      </c>
    </row>
    <row r="999" spans="1:10" x14ac:dyDescent="0.3">
      <c r="A999" s="2" t="s">
        <v>959</v>
      </c>
      <c r="B999" s="1" t="s">
        <v>2152</v>
      </c>
      <c r="C999" s="6" t="s">
        <v>3111</v>
      </c>
      <c r="D999" s="6" t="s">
        <v>5272</v>
      </c>
      <c r="E999" s="20">
        <f t="shared" si="76"/>
        <v>0</v>
      </c>
      <c r="F999" s="20">
        <v>600</v>
      </c>
      <c r="G999" s="24" t="s">
        <v>7454</v>
      </c>
      <c r="H999" s="20">
        <f t="shared" si="77"/>
        <v>0</v>
      </c>
      <c r="I999" s="21">
        <v>150</v>
      </c>
      <c r="J999" s="21">
        <f t="shared" si="79"/>
        <v>0</v>
      </c>
    </row>
    <row r="1000" spans="1:10" ht="55.2" x14ac:dyDescent="0.3">
      <c r="A1000" s="2" t="s">
        <v>960</v>
      </c>
      <c r="B1000" s="1" t="s">
        <v>2152</v>
      </c>
      <c r="C1000" s="6" t="s">
        <v>3112</v>
      </c>
      <c r="D1000" s="6" t="s">
        <v>5273</v>
      </c>
      <c r="E1000" s="20">
        <f t="shared" si="76"/>
        <v>0</v>
      </c>
      <c r="F1000" s="20">
        <v>6500</v>
      </c>
      <c r="G1000" s="24" t="s">
        <v>7455</v>
      </c>
      <c r="H1000" s="20">
        <f t="shared" si="77"/>
        <v>0</v>
      </c>
      <c r="I1000" s="21">
        <v>1860</v>
      </c>
      <c r="J1000" s="21">
        <f t="shared" si="79"/>
        <v>0</v>
      </c>
    </row>
    <row r="1001" spans="1:10" ht="55.2" x14ac:dyDescent="0.3">
      <c r="A1001" s="2" t="s">
        <v>961</v>
      </c>
      <c r="B1001" s="1" t="s">
        <v>2152</v>
      </c>
      <c r="C1001" s="6" t="s">
        <v>3113</v>
      </c>
      <c r="D1001" s="6" t="s">
        <v>5274</v>
      </c>
      <c r="E1001" s="20">
        <f t="shared" si="76"/>
        <v>0</v>
      </c>
      <c r="F1001" s="20">
        <v>14500</v>
      </c>
      <c r="G1001" s="24" t="s">
        <v>7456</v>
      </c>
      <c r="H1001" s="20">
        <f t="shared" si="77"/>
        <v>0</v>
      </c>
      <c r="I1001" s="21">
        <v>1950</v>
      </c>
      <c r="J1001" s="21">
        <f t="shared" si="79"/>
        <v>0</v>
      </c>
    </row>
    <row r="1002" spans="1:10" x14ac:dyDescent="0.3">
      <c r="A1002" s="2" t="s">
        <v>962</v>
      </c>
      <c r="B1002" s="1" t="s">
        <v>2152</v>
      </c>
      <c r="C1002" s="6" t="s">
        <v>3114</v>
      </c>
      <c r="D1002" s="6" t="s">
        <v>5275</v>
      </c>
      <c r="E1002" s="20">
        <f t="shared" si="76"/>
        <v>0</v>
      </c>
      <c r="F1002" s="20">
        <v>700</v>
      </c>
      <c r="G1002" s="24" t="s">
        <v>7457</v>
      </c>
      <c r="H1002" s="20">
        <f t="shared" si="77"/>
        <v>0</v>
      </c>
      <c r="I1002" s="21">
        <v>300</v>
      </c>
      <c r="J1002" s="21">
        <f t="shared" si="79"/>
        <v>0</v>
      </c>
    </row>
    <row r="1003" spans="1:10" ht="55.2" x14ac:dyDescent="0.3">
      <c r="A1003" s="2" t="s">
        <v>963</v>
      </c>
      <c r="B1003" s="1" t="s">
        <v>2152</v>
      </c>
      <c r="C1003" s="6" t="s">
        <v>3115</v>
      </c>
      <c r="D1003" s="6" t="s">
        <v>5276</v>
      </c>
      <c r="E1003" s="20">
        <f t="shared" si="76"/>
        <v>0</v>
      </c>
      <c r="F1003" s="20">
        <v>5000</v>
      </c>
      <c r="G1003" s="24" t="s">
        <v>7458</v>
      </c>
      <c r="H1003" s="20">
        <f t="shared" si="77"/>
        <v>0</v>
      </c>
      <c r="I1003" s="21">
        <v>2010</v>
      </c>
      <c r="J1003" s="21">
        <f t="shared" si="79"/>
        <v>0</v>
      </c>
    </row>
    <row r="1004" spans="1:10" ht="55.2" x14ac:dyDescent="0.3">
      <c r="A1004" s="2" t="s">
        <v>964</v>
      </c>
      <c r="B1004" s="1" t="s">
        <v>2152</v>
      </c>
      <c r="C1004" s="6" t="s">
        <v>3116</v>
      </c>
      <c r="D1004" s="6" t="s">
        <v>5277</v>
      </c>
      <c r="E1004" s="20">
        <f t="shared" si="76"/>
        <v>0</v>
      </c>
      <c r="F1004" s="20">
        <v>6500</v>
      </c>
      <c r="G1004" s="24" t="s">
        <v>7459</v>
      </c>
      <c r="H1004" s="20">
        <f t="shared" si="77"/>
        <v>0</v>
      </c>
      <c r="I1004" s="21">
        <v>2250</v>
      </c>
      <c r="J1004" s="21">
        <f t="shared" si="79"/>
        <v>0</v>
      </c>
    </row>
    <row r="1005" spans="1:10" x14ac:dyDescent="0.3">
      <c r="A1005" s="2" t="s">
        <v>965</v>
      </c>
      <c r="B1005" s="1" t="s">
        <v>2152</v>
      </c>
      <c r="C1005" s="6" t="s">
        <v>3117</v>
      </c>
      <c r="D1005" s="6" t="s">
        <v>5278</v>
      </c>
      <c r="E1005" s="20">
        <f t="shared" si="76"/>
        <v>0</v>
      </c>
      <c r="F1005" s="20">
        <v>800</v>
      </c>
      <c r="G1005" s="24" t="s">
        <v>7460</v>
      </c>
      <c r="H1005" s="20">
        <f t="shared" si="77"/>
        <v>0</v>
      </c>
      <c r="I1005" s="21">
        <v>390</v>
      </c>
      <c r="J1005" s="21">
        <f t="shared" si="79"/>
        <v>0</v>
      </c>
    </row>
    <row r="1006" spans="1:10" ht="55.2" x14ac:dyDescent="0.3">
      <c r="A1006" s="2" t="s">
        <v>966</v>
      </c>
      <c r="B1006" s="1" t="s">
        <v>2152</v>
      </c>
      <c r="C1006" s="6" t="s">
        <v>3118</v>
      </c>
      <c r="D1006" s="6" t="s">
        <v>5279</v>
      </c>
      <c r="E1006" s="20">
        <f t="shared" si="76"/>
        <v>0</v>
      </c>
      <c r="F1006" s="20">
        <v>5000</v>
      </c>
      <c r="G1006" s="24" t="s">
        <v>7461</v>
      </c>
      <c r="H1006" s="20">
        <f t="shared" si="77"/>
        <v>0</v>
      </c>
      <c r="I1006" s="21">
        <v>4650</v>
      </c>
      <c r="J1006" s="21">
        <f t="shared" si="79"/>
        <v>0</v>
      </c>
    </row>
    <row r="1007" spans="1:10" x14ac:dyDescent="0.3">
      <c r="A1007" s="2" t="s">
        <v>967</v>
      </c>
      <c r="B1007" s="1" t="s">
        <v>2152</v>
      </c>
      <c r="C1007" s="6" t="s">
        <v>3111</v>
      </c>
      <c r="D1007" s="6" t="s">
        <v>5272</v>
      </c>
      <c r="E1007" s="20">
        <f t="shared" si="76"/>
        <v>0</v>
      </c>
      <c r="F1007" s="20">
        <v>335</v>
      </c>
      <c r="G1007" s="24" t="s">
        <v>7462</v>
      </c>
      <c r="H1007" s="20">
        <f t="shared" si="77"/>
        <v>0</v>
      </c>
      <c r="I1007" s="21">
        <v>156</v>
      </c>
      <c r="J1007" s="21">
        <f t="shared" si="79"/>
        <v>0</v>
      </c>
    </row>
    <row r="1008" spans="1:10" x14ac:dyDescent="0.3">
      <c r="A1008" s="2" t="s">
        <v>968</v>
      </c>
      <c r="B1008" s="1" t="s">
        <v>2152</v>
      </c>
      <c r="C1008" s="6" t="s">
        <v>3119</v>
      </c>
      <c r="D1008" s="6" t="s">
        <v>5280</v>
      </c>
      <c r="E1008" s="20">
        <f t="shared" si="76"/>
        <v>0</v>
      </c>
      <c r="F1008" s="20"/>
      <c r="G1008" s="24" t="s">
        <v>7463</v>
      </c>
      <c r="H1008" s="20">
        <f t="shared" si="77"/>
        <v>0</v>
      </c>
      <c r="I1008" s="21">
        <v>165</v>
      </c>
      <c r="J1008" s="21">
        <f t="shared" si="79"/>
        <v>0</v>
      </c>
    </row>
    <row r="1009" spans="1:10" ht="96.6" x14ac:dyDescent="0.3">
      <c r="A1009" s="2" t="s">
        <v>969</v>
      </c>
      <c r="B1009" s="1" t="s">
        <v>2152</v>
      </c>
      <c r="C1009" s="6" t="s">
        <v>3120</v>
      </c>
      <c r="D1009" s="6" t="s">
        <v>5281</v>
      </c>
      <c r="E1009" s="20">
        <f t="shared" si="76"/>
        <v>0</v>
      </c>
      <c r="F1009" s="20">
        <v>43000</v>
      </c>
      <c r="G1009" s="24" t="s">
        <v>7464</v>
      </c>
      <c r="H1009" s="20">
        <f t="shared" si="77"/>
        <v>0</v>
      </c>
      <c r="I1009" s="21">
        <v>1923</v>
      </c>
      <c r="J1009" s="21">
        <f>X1009</f>
        <v>0</v>
      </c>
    </row>
    <row r="1010" spans="1:10" ht="55.2" x14ac:dyDescent="0.3">
      <c r="A1010" s="2" t="s">
        <v>970</v>
      </c>
      <c r="B1010" s="1" t="s">
        <v>2152</v>
      </c>
      <c r="C1010" s="6" t="s">
        <v>3121</v>
      </c>
      <c r="D1010" s="6" t="s">
        <v>5282</v>
      </c>
      <c r="E1010" s="20">
        <f t="shared" si="76"/>
        <v>0</v>
      </c>
      <c r="F1010" s="20">
        <v>12500</v>
      </c>
      <c r="G1010" s="24" t="s">
        <v>7465</v>
      </c>
      <c r="H1010" s="20">
        <f t="shared" si="77"/>
        <v>0</v>
      </c>
      <c r="I1010" s="21">
        <f>W1010</f>
        <v>0</v>
      </c>
      <c r="J1010" s="21">
        <f>X1010</f>
        <v>0</v>
      </c>
    </row>
    <row r="1011" spans="1:10" ht="82.8" x14ac:dyDescent="0.3">
      <c r="A1011" s="2" t="s">
        <v>971</v>
      </c>
      <c r="B1011" s="1" t="s">
        <v>2152</v>
      </c>
      <c r="C1011" s="6" t="s">
        <v>3122</v>
      </c>
      <c r="D1011" s="6" t="s">
        <v>5283</v>
      </c>
      <c r="E1011" s="20">
        <f t="shared" si="76"/>
        <v>0</v>
      </c>
      <c r="F1011" s="20">
        <v>18500</v>
      </c>
      <c r="G1011" s="24" t="s">
        <v>7466</v>
      </c>
      <c r="H1011" s="20">
        <f t="shared" si="77"/>
        <v>0</v>
      </c>
      <c r="I1011" s="21">
        <f>W1011</f>
        <v>0</v>
      </c>
      <c r="J1011" s="21">
        <f>X1011</f>
        <v>0</v>
      </c>
    </row>
    <row r="1012" spans="1:10" ht="55.2" x14ac:dyDescent="0.3">
      <c r="A1012" s="2" t="s">
        <v>972</v>
      </c>
      <c r="B1012" s="1" t="s">
        <v>2152</v>
      </c>
      <c r="C1012" s="6" t="s">
        <v>3123</v>
      </c>
      <c r="D1012" s="6" t="s">
        <v>5284</v>
      </c>
      <c r="E1012" s="20">
        <f t="shared" si="76"/>
        <v>0</v>
      </c>
      <c r="F1012" s="20"/>
      <c r="G1012" s="24" t="s">
        <v>7467</v>
      </c>
      <c r="H1012" s="20">
        <f t="shared" si="77"/>
        <v>0</v>
      </c>
      <c r="I1012" s="21">
        <v>7200</v>
      </c>
      <c r="J1012" s="21">
        <f>X1012</f>
        <v>0</v>
      </c>
    </row>
    <row r="1013" spans="1:10" ht="41.4" x14ac:dyDescent="0.3">
      <c r="A1013" s="2" t="s">
        <v>973</v>
      </c>
      <c r="B1013" s="1" t="s">
        <v>2152</v>
      </c>
      <c r="C1013" s="6" t="s">
        <v>3124</v>
      </c>
      <c r="D1013" s="6" t="s">
        <v>5285</v>
      </c>
      <c r="E1013" s="20">
        <f t="shared" si="76"/>
        <v>0</v>
      </c>
      <c r="F1013" s="20"/>
      <c r="G1013" s="24" t="s">
        <v>7468</v>
      </c>
      <c r="H1013" s="20">
        <f t="shared" si="77"/>
        <v>0</v>
      </c>
      <c r="I1013" s="21">
        <v>4650</v>
      </c>
    </row>
    <row r="1014" spans="1:10" x14ac:dyDescent="0.3">
      <c r="A1014" s="2" t="s">
        <v>974</v>
      </c>
      <c r="B1014" s="1" t="s">
        <v>2152</v>
      </c>
      <c r="C1014" s="6" t="s">
        <v>3125</v>
      </c>
      <c r="D1014" s="6" t="s">
        <v>5286</v>
      </c>
      <c r="E1014" s="20"/>
      <c r="F1014" s="20"/>
      <c r="G1014" s="24" t="s">
        <v>7469</v>
      </c>
      <c r="H1014" s="20"/>
    </row>
    <row r="1015" spans="1:10" x14ac:dyDescent="0.3">
      <c r="A1015" s="2" t="s">
        <v>975</v>
      </c>
      <c r="B1015" s="1" t="s">
        <v>2152</v>
      </c>
      <c r="C1015" s="6" t="s">
        <v>3126</v>
      </c>
      <c r="D1015" s="6" t="s">
        <v>5287</v>
      </c>
      <c r="E1015" s="20"/>
      <c r="F1015" s="20"/>
      <c r="G1015" s="24" t="s">
        <v>7470</v>
      </c>
      <c r="H1015" s="20"/>
    </row>
    <row r="1016" spans="1:10" x14ac:dyDescent="0.3">
      <c r="A1016" s="2" t="s">
        <v>976</v>
      </c>
      <c r="B1016" s="1" t="s">
        <v>2152</v>
      </c>
      <c r="C1016" s="6" t="s">
        <v>3127</v>
      </c>
      <c r="D1016" s="6" t="s">
        <v>5288</v>
      </c>
      <c r="E1016" s="20"/>
      <c r="F1016" s="20"/>
      <c r="G1016" s="24" t="s">
        <v>7471</v>
      </c>
      <c r="H1016" s="20"/>
    </row>
    <row r="1017" spans="1:10" x14ac:dyDescent="0.3">
      <c r="A1017" s="2" t="s">
        <v>977</v>
      </c>
      <c r="B1017" s="1" t="s">
        <v>2152</v>
      </c>
      <c r="C1017" s="6" t="s">
        <v>3128</v>
      </c>
      <c r="D1017" s="6" t="s">
        <v>5289</v>
      </c>
      <c r="E1017" s="20"/>
      <c r="F1017" s="20"/>
      <c r="G1017" s="24" t="s">
        <v>7472</v>
      </c>
      <c r="H1017" s="20"/>
    </row>
    <row r="1018" spans="1:10" x14ac:dyDescent="0.3">
      <c r="A1018" s="2" t="s">
        <v>978</v>
      </c>
      <c r="B1018" s="1" t="s">
        <v>2152</v>
      </c>
      <c r="C1018" s="6" t="s">
        <v>3129</v>
      </c>
      <c r="D1018" s="6" t="s">
        <v>5290</v>
      </c>
      <c r="E1018" s="20"/>
      <c r="F1018" s="20"/>
      <c r="G1018" s="24" t="s">
        <v>7473</v>
      </c>
      <c r="H1018" s="20"/>
    </row>
    <row r="1019" spans="1:10" x14ac:dyDescent="0.3">
      <c r="A1019" s="2" t="s">
        <v>979</v>
      </c>
      <c r="B1019" s="1" t="s">
        <v>2152</v>
      </c>
      <c r="C1019" s="6" t="s">
        <v>3130</v>
      </c>
      <c r="D1019" s="6" t="s">
        <v>5291</v>
      </c>
      <c r="E1019" s="20"/>
      <c r="F1019" s="20"/>
      <c r="G1019" s="24" t="s">
        <v>7474</v>
      </c>
      <c r="H1019" s="20"/>
    </row>
    <row r="1020" spans="1:10" ht="27.6" x14ac:dyDescent="0.3">
      <c r="A1020" s="2" t="s">
        <v>980</v>
      </c>
      <c r="B1020" s="1" t="s">
        <v>2152</v>
      </c>
      <c r="C1020" s="6" t="s">
        <v>3131</v>
      </c>
      <c r="D1020" s="6" t="s">
        <v>5292</v>
      </c>
      <c r="E1020" s="20">
        <f t="shared" si="76"/>
        <v>0</v>
      </c>
      <c r="F1020" s="20">
        <v>1500</v>
      </c>
      <c r="G1020" s="24" t="s">
        <v>7475</v>
      </c>
      <c r="H1020" s="20">
        <f t="shared" si="77"/>
        <v>0</v>
      </c>
      <c r="I1020" s="21">
        <v>150</v>
      </c>
      <c r="J1020" s="21">
        <f t="shared" ref="J1020:J1042" si="80">X1020</f>
        <v>0</v>
      </c>
    </row>
    <row r="1021" spans="1:10" ht="27.6" x14ac:dyDescent="0.3">
      <c r="A1021" s="2" t="s">
        <v>981</v>
      </c>
      <c r="B1021" s="1" t="s">
        <v>2152</v>
      </c>
      <c r="C1021" s="6" t="s">
        <v>3132</v>
      </c>
      <c r="D1021" s="6" t="s">
        <v>5293</v>
      </c>
      <c r="E1021" s="20">
        <f t="shared" si="76"/>
        <v>0</v>
      </c>
      <c r="F1021" s="20"/>
      <c r="G1021" s="24" t="s">
        <v>7476</v>
      </c>
      <c r="H1021" s="20">
        <f t="shared" si="77"/>
        <v>0</v>
      </c>
      <c r="I1021" s="21">
        <v>165</v>
      </c>
      <c r="J1021" s="21">
        <f t="shared" si="80"/>
        <v>0</v>
      </c>
    </row>
    <row r="1022" spans="1:10" ht="27.6" x14ac:dyDescent="0.3">
      <c r="A1022" s="2" t="s">
        <v>982</v>
      </c>
      <c r="B1022" s="1" t="s">
        <v>2152</v>
      </c>
      <c r="C1022" s="6" t="s">
        <v>3133</v>
      </c>
      <c r="D1022" s="6" t="s">
        <v>5294</v>
      </c>
      <c r="E1022" s="20">
        <f t="shared" si="76"/>
        <v>0</v>
      </c>
      <c r="F1022" s="20">
        <v>1777</v>
      </c>
      <c r="G1022" s="24" t="s">
        <v>7477</v>
      </c>
      <c r="H1022" s="20">
        <f t="shared" si="77"/>
        <v>0</v>
      </c>
      <c r="I1022" s="21">
        <v>165</v>
      </c>
      <c r="J1022" s="21">
        <f t="shared" si="80"/>
        <v>0</v>
      </c>
    </row>
    <row r="1023" spans="1:10" ht="27.6" x14ac:dyDescent="0.3">
      <c r="A1023" s="2" t="s">
        <v>983</v>
      </c>
      <c r="B1023" s="1" t="s">
        <v>2152</v>
      </c>
      <c r="C1023" s="6" t="s">
        <v>3134</v>
      </c>
      <c r="D1023" s="6" t="s">
        <v>5295</v>
      </c>
      <c r="E1023" s="20">
        <f t="shared" si="76"/>
        <v>0</v>
      </c>
      <c r="F1023" s="20">
        <v>2454</v>
      </c>
      <c r="G1023" s="24" t="s">
        <v>7478</v>
      </c>
      <c r="H1023" s="20">
        <f t="shared" si="77"/>
        <v>0</v>
      </c>
      <c r="I1023" s="21">
        <v>180</v>
      </c>
      <c r="J1023" s="21">
        <f t="shared" si="80"/>
        <v>0</v>
      </c>
    </row>
    <row r="1024" spans="1:10" ht="27.6" x14ac:dyDescent="0.3">
      <c r="A1024" s="2" t="s">
        <v>984</v>
      </c>
      <c r="B1024" s="1" t="s">
        <v>2152</v>
      </c>
      <c r="C1024" s="6" t="s">
        <v>3135</v>
      </c>
      <c r="D1024" s="6" t="s">
        <v>5296</v>
      </c>
      <c r="E1024" s="20">
        <f t="shared" si="76"/>
        <v>0</v>
      </c>
      <c r="F1024" s="20">
        <v>3600</v>
      </c>
      <c r="G1024" s="24" t="s">
        <v>7479</v>
      </c>
      <c r="H1024" s="20">
        <f t="shared" si="77"/>
        <v>0</v>
      </c>
      <c r="I1024" s="21">
        <v>249</v>
      </c>
      <c r="J1024" s="21">
        <f t="shared" si="80"/>
        <v>0</v>
      </c>
    </row>
    <row r="1025" spans="1:10" ht="27.6" x14ac:dyDescent="0.3">
      <c r="A1025" s="2" t="s">
        <v>985</v>
      </c>
      <c r="B1025" s="1" t="s">
        <v>2152</v>
      </c>
      <c r="C1025" s="6" t="s">
        <v>3136</v>
      </c>
      <c r="D1025" s="6" t="s">
        <v>5297</v>
      </c>
      <c r="E1025" s="20">
        <f t="shared" si="76"/>
        <v>0</v>
      </c>
      <c r="F1025" s="20">
        <v>5000</v>
      </c>
      <c r="G1025" s="24" t="s">
        <v>7480</v>
      </c>
      <c r="H1025" s="20">
        <f t="shared" si="77"/>
        <v>0</v>
      </c>
      <c r="I1025" s="21">
        <v>330</v>
      </c>
      <c r="J1025" s="21">
        <f t="shared" si="80"/>
        <v>0</v>
      </c>
    </row>
    <row r="1026" spans="1:10" ht="82.8" x14ac:dyDescent="0.3">
      <c r="A1026" s="3" t="s">
        <v>986</v>
      </c>
      <c r="B1026" s="1" t="s">
        <v>2152</v>
      </c>
      <c r="C1026" s="6" t="s">
        <v>3137</v>
      </c>
      <c r="D1026" s="6" t="s">
        <v>5298</v>
      </c>
      <c r="E1026" s="20">
        <f t="shared" si="76"/>
        <v>0</v>
      </c>
      <c r="F1026" s="20">
        <f>[65]BULONÇEKME!$L$2</f>
        <v>61093.88</v>
      </c>
      <c r="G1026" s="24" t="s">
        <v>7481</v>
      </c>
      <c r="H1026" s="20">
        <f t="shared" si="77"/>
        <v>0</v>
      </c>
      <c r="I1026" s="21">
        <v>3150</v>
      </c>
      <c r="J1026" s="21">
        <f t="shared" si="80"/>
        <v>0</v>
      </c>
    </row>
    <row r="1027" spans="1:10" ht="82.8" x14ac:dyDescent="0.3">
      <c r="A1027" s="3" t="s">
        <v>987</v>
      </c>
      <c r="B1027" s="1" t="s">
        <v>2152</v>
      </c>
      <c r="C1027" s="6" t="s">
        <v>3138</v>
      </c>
      <c r="D1027" s="6" t="s">
        <v>5299</v>
      </c>
      <c r="E1027" s="20">
        <f t="shared" si="76"/>
        <v>0</v>
      </c>
      <c r="F1027" s="20">
        <f>[65]BULONÇEKME!$L$2</f>
        <v>61093.88</v>
      </c>
      <c r="G1027" s="24" t="s">
        <v>7482</v>
      </c>
      <c r="H1027" s="20">
        <f t="shared" si="77"/>
        <v>0</v>
      </c>
      <c r="I1027" s="21">
        <v>3150</v>
      </c>
      <c r="J1027" s="21">
        <f t="shared" si="80"/>
        <v>0</v>
      </c>
    </row>
    <row r="1028" spans="1:10" ht="124.2" x14ac:dyDescent="0.3">
      <c r="A1028" s="2" t="s">
        <v>988</v>
      </c>
      <c r="B1028" s="1" t="s">
        <v>2152</v>
      </c>
      <c r="C1028" s="6" t="s">
        <v>3139</v>
      </c>
      <c r="D1028" s="6" t="s">
        <v>5300</v>
      </c>
      <c r="E1028" s="20">
        <f t="shared" si="76"/>
        <v>0</v>
      </c>
      <c r="F1028" s="20">
        <f>'[65]DİJİTAL BULON ÇEKME'!$L$2</f>
        <v>68370</v>
      </c>
      <c r="G1028" s="24" t="s">
        <v>7483</v>
      </c>
      <c r="H1028" s="20">
        <f t="shared" si="77"/>
        <v>0</v>
      </c>
      <c r="I1028" s="21">
        <v>5082</v>
      </c>
      <c r="J1028" s="21">
        <f t="shared" si="80"/>
        <v>0</v>
      </c>
    </row>
    <row r="1029" spans="1:10" ht="124.2" x14ac:dyDescent="0.3">
      <c r="A1029" s="2" t="s">
        <v>989</v>
      </c>
      <c r="B1029" s="1" t="s">
        <v>2152</v>
      </c>
      <c r="C1029" s="6" t="s">
        <v>3140</v>
      </c>
      <c r="D1029" s="6" t="s">
        <v>5301</v>
      </c>
      <c r="E1029" s="20">
        <f t="shared" si="76"/>
        <v>0</v>
      </c>
      <c r="F1029" s="20">
        <f>'[65]DİJİTAL BULON ÇEKME'!$L$2</f>
        <v>68370</v>
      </c>
      <c r="G1029" s="24" t="s">
        <v>7484</v>
      </c>
      <c r="H1029" s="20">
        <f t="shared" si="77"/>
        <v>0</v>
      </c>
      <c r="I1029" s="21">
        <v>5082</v>
      </c>
      <c r="J1029" s="21">
        <f t="shared" si="80"/>
        <v>0</v>
      </c>
    </row>
    <row r="1030" spans="1:10" ht="27.6" x14ac:dyDescent="0.3">
      <c r="A1030" s="2" t="s">
        <v>990</v>
      </c>
      <c r="B1030" s="1" t="s">
        <v>2152</v>
      </c>
      <c r="C1030" s="6" t="s">
        <v>3141</v>
      </c>
      <c r="D1030" s="6" t="s">
        <v>5302</v>
      </c>
      <c r="E1030" s="20">
        <f t="shared" si="76"/>
        <v>0</v>
      </c>
      <c r="F1030" s="20">
        <v>2378</v>
      </c>
      <c r="G1030" s="24" t="s">
        <v>7485</v>
      </c>
      <c r="H1030" s="20">
        <f t="shared" si="77"/>
        <v>0</v>
      </c>
      <c r="I1030" s="21">
        <v>1920</v>
      </c>
      <c r="J1030" s="21">
        <f t="shared" si="80"/>
        <v>0</v>
      </c>
    </row>
    <row r="1031" spans="1:10" x14ac:dyDescent="0.3">
      <c r="A1031" s="2" t="s">
        <v>991</v>
      </c>
      <c r="B1031" s="1" t="s">
        <v>2152</v>
      </c>
      <c r="C1031" s="6" t="s">
        <v>3142</v>
      </c>
      <c r="D1031" s="6" t="s">
        <v>5303</v>
      </c>
      <c r="E1031" s="20">
        <f t="shared" si="76"/>
        <v>0</v>
      </c>
      <c r="F1031" s="20"/>
      <c r="G1031" s="24" t="s">
        <v>7486</v>
      </c>
      <c r="H1031" s="20">
        <f t="shared" si="77"/>
        <v>0</v>
      </c>
      <c r="I1031" s="21">
        <v>630</v>
      </c>
      <c r="J1031" s="21">
        <f t="shared" si="80"/>
        <v>0</v>
      </c>
    </row>
    <row r="1032" spans="1:10" ht="27.6" x14ac:dyDescent="0.3">
      <c r="A1032" s="2" t="s">
        <v>992</v>
      </c>
      <c r="B1032" s="1" t="s">
        <v>2152</v>
      </c>
      <c r="C1032" s="6" t="s">
        <v>3143</v>
      </c>
      <c r="D1032" s="6" t="s">
        <v>5304</v>
      </c>
      <c r="E1032" s="20">
        <f t="shared" si="76"/>
        <v>0</v>
      </c>
      <c r="F1032" s="20"/>
      <c r="G1032" s="24" t="s">
        <v>7487</v>
      </c>
      <c r="H1032" s="20">
        <f t="shared" si="77"/>
        <v>0</v>
      </c>
      <c r="I1032" s="21">
        <v>600</v>
      </c>
      <c r="J1032" s="21">
        <f t="shared" si="80"/>
        <v>0</v>
      </c>
    </row>
    <row r="1033" spans="1:10" x14ac:dyDescent="0.3">
      <c r="A1033" s="2" t="s">
        <v>993</v>
      </c>
      <c r="B1033" s="1" t="s">
        <v>2152</v>
      </c>
      <c r="C1033" s="6" t="s">
        <v>3144</v>
      </c>
      <c r="D1033" s="6" t="s">
        <v>5097</v>
      </c>
      <c r="E1033" s="20">
        <f t="shared" si="76"/>
        <v>0</v>
      </c>
      <c r="F1033" s="20"/>
      <c r="G1033" s="24" t="s">
        <v>7488</v>
      </c>
      <c r="H1033" s="20">
        <f t="shared" si="77"/>
        <v>0</v>
      </c>
      <c r="I1033" s="21">
        <v>1200</v>
      </c>
      <c r="J1033" s="21">
        <f t="shared" si="80"/>
        <v>0</v>
      </c>
    </row>
    <row r="1034" spans="1:10" x14ac:dyDescent="0.3">
      <c r="A1034" s="2" t="s">
        <v>990</v>
      </c>
      <c r="B1034" s="1" t="s">
        <v>2152</v>
      </c>
      <c r="C1034" s="6" t="s">
        <v>3145</v>
      </c>
      <c r="D1034" s="6" t="s">
        <v>5305</v>
      </c>
      <c r="E1034" s="20">
        <f t="shared" si="76"/>
        <v>0</v>
      </c>
      <c r="F1034" s="20"/>
      <c r="G1034" s="24" t="s">
        <v>7489</v>
      </c>
      <c r="H1034" s="20">
        <f t="shared" si="77"/>
        <v>0</v>
      </c>
      <c r="I1034" s="21">
        <v>144</v>
      </c>
      <c r="J1034" s="21">
        <f t="shared" si="80"/>
        <v>0</v>
      </c>
    </row>
    <row r="1035" spans="1:10" x14ac:dyDescent="0.3">
      <c r="A1035" s="2" t="s">
        <v>994</v>
      </c>
      <c r="B1035" s="1" t="s">
        <v>2152</v>
      </c>
      <c r="C1035" s="6" t="s">
        <v>3146</v>
      </c>
      <c r="D1035" s="6" t="s">
        <v>5306</v>
      </c>
      <c r="E1035" s="20">
        <f t="shared" ref="E1035:E1098" si="81">H1035*1.8*1.4</f>
        <v>0</v>
      </c>
      <c r="F1035" s="20"/>
      <c r="G1035" s="24" t="s">
        <v>7490</v>
      </c>
      <c r="H1035" s="20">
        <f t="shared" ref="H1035:H1098" si="82">K1035*1.8*1.4</f>
        <v>0</v>
      </c>
      <c r="I1035" s="21">
        <v>57</v>
      </c>
      <c r="J1035" s="21">
        <f t="shared" si="80"/>
        <v>0</v>
      </c>
    </row>
    <row r="1036" spans="1:10" x14ac:dyDescent="0.3">
      <c r="A1036" s="2" t="s">
        <v>995</v>
      </c>
      <c r="B1036" s="1" t="s">
        <v>2152</v>
      </c>
      <c r="C1036" s="6" t="s">
        <v>3147</v>
      </c>
      <c r="D1036" s="6" t="s">
        <v>5307</v>
      </c>
      <c r="E1036" s="20">
        <f t="shared" si="81"/>
        <v>0</v>
      </c>
      <c r="F1036" s="20"/>
      <c r="G1036" s="24" t="s">
        <v>7491</v>
      </c>
      <c r="H1036" s="20">
        <f t="shared" si="82"/>
        <v>0</v>
      </c>
      <c r="I1036" s="21">
        <v>57</v>
      </c>
      <c r="J1036" s="21">
        <f t="shared" si="80"/>
        <v>0</v>
      </c>
    </row>
    <row r="1037" spans="1:10" x14ac:dyDescent="0.3">
      <c r="A1037" s="2" t="s">
        <v>996</v>
      </c>
      <c r="B1037" s="1" t="s">
        <v>2152</v>
      </c>
      <c r="C1037" s="6" t="s">
        <v>3148</v>
      </c>
      <c r="D1037" s="6" t="s">
        <v>5308</v>
      </c>
      <c r="E1037" s="20">
        <f t="shared" si="81"/>
        <v>0</v>
      </c>
      <c r="F1037" s="20"/>
      <c r="G1037" s="24" t="s">
        <v>7492</v>
      </c>
      <c r="H1037" s="20">
        <f t="shared" si="82"/>
        <v>0</v>
      </c>
      <c r="I1037" s="21">
        <v>57</v>
      </c>
      <c r="J1037" s="21">
        <f t="shared" si="80"/>
        <v>0</v>
      </c>
    </row>
    <row r="1038" spans="1:10" x14ac:dyDescent="0.3">
      <c r="A1038" s="2" t="s">
        <v>997</v>
      </c>
      <c r="B1038" s="1" t="s">
        <v>2152</v>
      </c>
      <c r="C1038" s="6" t="s">
        <v>3149</v>
      </c>
      <c r="D1038" s="6" t="s">
        <v>5309</v>
      </c>
      <c r="E1038" s="20">
        <f t="shared" si="81"/>
        <v>0</v>
      </c>
      <c r="F1038" s="20"/>
      <c r="G1038" s="24" t="s">
        <v>7493</v>
      </c>
      <c r="H1038" s="20">
        <f t="shared" si="82"/>
        <v>0</v>
      </c>
      <c r="I1038" s="21">
        <v>57</v>
      </c>
      <c r="J1038" s="21">
        <f t="shared" si="80"/>
        <v>0</v>
      </c>
    </row>
    <row r="1039" spans="1:10" x14ac:dyDescent="0.3">
      <c r="A1039" s="2" t="s">
        <v>998</v>
      </c>
      <c r="B1039" s="1" t="s">
        <v>2152</v>
      </c>
      <c r="C1039" s="6" t="s">
        <v>3150</v>
      </c>
      <c r="D1039" s="6" t="s">
        <v>5310</v>
      </c>
      <c r="E1039" s="20">
        <f t="shared" si="81"/>
        <v>0</v>
      </c>
      <c r="F1039" s="20"/>
      <c r="G1039" s="24" t="s">
        <v>7494</v>
      </c>
      <c r="H1039" s="20">
        <f t="shared" si="82"/>
        <v>0</v>
      </c>
      <c r="I1039" s="21">
        <v>57</v>
      </c>
      <c r="J1039" s="21">
        <f t="shared" si="80"/>
        <v>0</v>
      </c>
    </row>
    <row r="1040" spans="1:10" x14ac:dyDescent="0.3">
      <c r="A1040" s="2" t="s">
        <v>999</v>
      </c>
      <c r="B1040" s="1" t="s">
        <v>2152</v>
      </c>
      <c r="C1040" s="6" t="s">
        <v>3151</v>
      </c>
      <c r="D1040" s="6" t="s">
        <v>5311</v>
      </c>
      <c r="E1040" s="20">
        <f t="shared" si="81"/>
        <v>0</v>
      </c>
      <c r="F1040" s="20"/>
      <c r="G1040" s="24" t="s">
        <v>7495</v>
      </c>
      <c r="H1040" s="20">
        <f t="shared" si="82"/>
        <v>0</v>
      </c>
      <c r="I1040" s="21">
        <v>57</v>
      </c>
      <c r="J1040" s="21">
        <f t="shared" si="80"/>
        <v>0</v>
      </c>
    </row>
    <row r="1041" spans="1:10" x14ac:dyDescent="0.3">
      <c r="A1041" s="2" t="s">
        <v>1000</v>
      </c>
      <c r="B1041" s="1" t="s">
        <v>2152</v>
      </c>
      <c r="C1041" s="6" t="s">
        <v>3152</v>
      </c>
      <c r="D1041" s="6" t="s">
        <v>5312</v>
      </c>
      <c r="E1041" s="20">
        <f t="shared" si="81"/>
        <v>0</v>
      </c>
      <c r="F1041" s="20"/>
      <c r="G1041" s="24" t="s">
        <v>7496</v>
      </c>
      <c r="H1041" s="20">
        <f t="shared" si="82"/>
        <v>0</v>
      </c>
      <c r="I1041" s="21">
        <v>57</v>
      </c>
      <c r="J1041" s="21">
        <f t="shared" si="80"/>
        <v>0</v>
      </c>
    </row>
    <row r="1042" spans="1:10" x14ac:dyDescent="0.3">
      <c r="A1042" s="2" t="s">
        <v>1001</v>
      </c>
      <c r="B1042" s="1" t="s">
        <v>2152</v>
      </c>
      <c r="C1042" s="6" t="s">
        <v>3153</v>
      </c>
      <c r="D1042" s="6" t="s">
        <v>5313</v>
      </c>
      <c r="E1042" s="20">
        <f t="shared" si="81"/>
        <v>0</v>
      </c>
      <c r="F1042" s="20"/>
      <c r="G1042" s="24" t="s">
        <v>7497</v>
      </c>
      <c r="H1042" s="20">
        <f t="shared" si="82"/>
        <v>0</v>
      </c>
      <c r="I1042" s="21">
        <v>57</v>
      </c>
      <c r="J1042" s="21">
        <f t="shared" si="80"/>
        <v>0</v>
      </c>
    </row>
    <row r="1043" spans="1:10" ht="110.4" x14ac:dyDescent="0.3">
      <c r="A1043" s="2" t="s">
        <v>1002</v>
      </c>
      <c r="B1043" s="1" t="s">
        <v>2152</v>
      </c>
      <c r="C1043" s="6" t="s">
        <v>3154</v>
      </c>
      <c r="D1043" s="6" t="s">
        <v>5314</v>
      </c>
      <c r="E1043" s="20">
        <f t="shared" si="81"/>
        <v>0</v>
      </c>
      <c r="F1043" s="20">
        <f>'[66]3 LÜ PERMEABİLİTE'!$L$2</f>
        <v>41189.599999999999</v>
      </c>
      <c r="G1043" s="24" t="s">
        <v>7498</v>
      </c>
      <c r="H1043" s="20">
        <f t="shared" si="82"/>
        <v>0</v>
      </c>
      <c r="I1043" s="21">
        <v>2525</v>
      </c>
      <c r="J1043" s="21">
        <f>X1043</f>
        <v>0</v>
      </c>
    </row>
    <row r="1044" spans="1:10" ht="110.4" x14ac:dyDescent="0.3">
      <c r="A1044" s="2" t="s">
        <v>1003</v>
      </c>
      <c r="B1044" s="1" t="s">
        <v>2152</v>
      </c>
      <c r="C1044" s="6" t="s">
        <v>3155</v>
      </c>
      <c r="D1044" s="6" t="s">
        <v>5315</v>
      </c>
      <c r="E1044" s="20">
        <f t="shared" si="81"/>
        <v>0</v>
      </c>
      <c r="F1044" s="20">
        <f>'[66]6 LI PERMEABİLİTE'!$L$2</f>
        <v>61551.8</v>
      </c>
      <c r="G1044" s="24" t="s">
        <v>7499</v>
      </c>
      <c r="H1044" s="20">
        <f t="shared" si="82"/>
        <v>0</v>
      </c>
      <c r="I1044" s="21">
        <v>2937</v>
      </c>
      <c r="J1044" s="21">
        <f>X1044</f>
        <v>0</v>
      </c>
    </row>
    <row r="1045" spans="1:10" ht="27.6" x14ac:dyDescent="0.3">
      <c r="A1045" s="2" t="s">
        <v>693</v>
      </c>
      <c r="B1045" s="1" t="s">
        <v>2152</v>
      </c>
      <c r="C1045" s="6" t="s">
        <v>2838</v>
      </c>
      <c r="D1045" s="6" t="s">
        <v>5007</v>
      </c>
      <c r="E1045" s="20">
        <f t="shared" si="81"/>
        <v>0</v>
      </c>
      <c r="F1045" s="20">
        <v>6500</v>
      </c>
      <c r="G1045" s="24" t="s">
        <v>7500</v>
      </c>
      <c r="H1045" s="20">
        <f t="shared" si="82"/>
        <v>0</v>
      </c>
      <c r="I1045" s="21">
        <v>345</v>
      </c>
      <c r="J1045" s="21">
        <f>X1045</f>
        <v>0</v>
      </c>
    </row>
    <row r="1046" spans="1:10" x14ac:dyDescent="0.3">
      <c r="A1046" s="2" t="s">
        <v>1004</v>
      </c>
      <c r="B1046" s="1" t="s">
        <v>2152</v>
      </c>
      <c r="C1046" s="6" t="s">
        <v>3156</v>
      </c>
      <c r="D1046" s="6" t="s">
        <v>5316</v>
      </c>
      <c r="E1046" s="20">
        <f t="shared" si="81"/>
        <v>0</v>
      </c>
      <c r="F1046" s="20">
        <v>45000</v>
      </c>
      <c r="G1046" s="24" t="s">
        <v>7501</v>
      </c>
      <c r="H1046" s="20">
        <f t="shared" si="82"/>
        <v>0</v>
      </c>
      <c r="I1046" s="21">
        <v>4800</v>
      </c>
      <c r="J1046" s="21">
        <f>X1046</f>
        <v>0</v>
      </c>
    </row>
    <row r="1047" spans="1:10" ht="27.6" x14ac:dyDescent="0.3">
      <c r="A1047" s="2" t="s">
        <v>1005</v>
      </c>
      <c r="B1047" s="1" t="s">
        <v>2152</v>
      </c>
      <c r="C1047" s="6" t="s">
        <v>3157</v>
      </c>
      <c r="D1047" s="6" t="s">
        <v>5317</v>
      </c>
      <c r="E1047" s="20">
        <f t="shared" si="81"/>
        <v>0</v>
      </c>
      <c r="F1047" s="20"/>
      <c r="G1047" s="24" t="s">
        <v>7502</v>
      </c>
      <c r="H1047" s="20">
        <f t="shared" si="82"/>
        <v>0</v>
      </c>
      <c r="I1047" s="21">
        <f t="shared" ref="I1047:J1054" si="83">W1047</f>
        <v>0</v>
      </c>
      <c r="J1047" s="21">
        <f t="shared" si="83"/>
        <v>0</v>
      </c>
    </row>
    <row r="1048" spans="1:10" ht="27.6" x14ac:dyDescent="0.3">
      <c r="A1048" s="2" t="s">
        <v>1006</v>
      </c>
      <c r="B1048" s="1" t="s">
        <v>2152</v>
      </c>
      <c r="C1048" s="6" t="s">
        <v>3158</v>
      </c>
      <c r="D1048" s="6" t="s">
        <v>5318</v>
      </c>
      <c r="E1048" s="20">
        <f t="shared" si="81"/>
        <v>0</v>
      </c>
      <c r="F1048" s="20"/>
      <c r="G1048" s="24" t="s">
        <v>7503</v>
      </c>
      <c r="H1048" s="20">
        <f t="shared" si="82"/>
        <v>0</v>
      </c>
      <c r="I1048" s="21">
        <f t="shared" si="83"/>
        <v>0</v>
      </c>
      <c r="J1048" s="21">
        <f t="shared" si="83"/>
        <v>0</v>
      </c>
    </row>
    <row r="1049" spans="1:10" ht="27.6" x14ac:dyDescent="0.3">
      <c r="A1049" s="2" t="s">
        <v>1007</v>
      </c>
      <c r="B1049" s="1" t="s">
        <v>2152</v>
      </c>
      <c r="C1049" s="6" t="s">
        <v>3159</v>
      </c>
      <c r="D1049" s="6" t="s">
        <v>5319</v>
      </c>
      <c r="E1049" s="20">
        <f t="shared" si="81"/>
        <v>0</v>
      </c>
      <c r="F1049" s="20"/>
      <c r="G1049" s="24" t="s">
        <v>7504</v>
      </c>
      <c r="H1049" s="20">
        <f t="shared" si="82"/>
        <v>0</v>
      </c>
      <c r="I1049" s="21">
        <f t="shared" si="83"/>
        <v>0</v>
      </c>
      <c r="J1049" s="21">
        <f t="shared" si="83"/>
        <v>0</v>
      </c>
    </row>
    <row r="1050" spans="1:10" x14ac:dyDescent="0.3">
      <c r="A1050" s="2" t="s">
        <v>1008</v>
      </c>
      <c r="B1050" s="1" t="s">
        <v>2152</v>
      </c>
      <c r="C1050" s="6" t="s">
        <v>3160</v>
      </c>
      <c r="D1050" s="6" t="s">
        <v>5320</v>
      </c>
      <c r="E1050" s="20">
        <f t="shared" si="81"/>
        <v>0</v>
      </c>
      <c r="F1050" s="20"/>
      <c r="G1050" s="24" t="s">
        <v>7505</v>
      </c>
      <c r="H1050" s="20">
        <f t="shared" si="82"/>
        <v>0</v>
      </c>
      <c r="I1050" s="21">
        <f t="shared" si="83"/>
        <v>0</v>
      </c>
      <c r="J1050" s="21">
        <f t="shared" si="83"/>
        <v>0</v>
      </c>
    </row>
    <row r="1051" spans="1:10" x14ac:dyDescent="0.3">
      <c r="A1051" s="2" t="s">
        <v>1009</v>
      </c>
      <c r="B1051" s="1" t="s">
        <v>2152</v>
      </c>
      <c r="C1051" s="6" t="s">
        <v>3161</v>
      </c>
      <c r="D1051" s="6" t="s">
        <v>5321</v>
      </c>
      <c r="E1051" s="20">
        <f t="shared" si="81"/>
        <v>0</v>
      </c>
      <c r="F1051" s="20"/>
      <c r="G1051" s="24" t="s">
        <v>7506</v>
      </c>
      <c r="H1051" s="20">
        <f t="shared" si="82"/>
        <v>0</v>
      </c>
      <c r="I1051" s="21">
        <f t="shared" si="83"/>
        <v>0</v>
      </c>
      <c r="J1051" s="21">
        <f t="shared" si="83"/>
        <v>0</v>
      </c>
    </row>
    <row r="1052" spans="1:10" x14ac:dyDescent="0.3">
      <c r="A1052" s="2" t="s">
        <v>1010</v>
      </c>
      <c r="B1052" s="1" t="s">
        <v>2152</v>
      </c>
      <c r="C1052" s="6" t="s">
        <v>3162</v>
      </c>
      <c r="D1052" s="6" t="s">
        <v>5322</v>
      </c>
      <c r="E1052" s="20">
        <f t="shared" si="81"/>
        <v>0</v>
      </c>
      <c r="F1052" s="20"/>
      <c r="G1052" s="24" t="s">
        <v>7507</v>
      </c>
      <c r="H1052" s="20">
        <f t="shared" si="82"/>
        <v>0</v>
      </c>
      <c r="I1052" s="21">
        <f t="shared" si="83"/>
        <v>0</v>
      </c>
      <c r="J1052" s="21">
        <f t="shared" si="83"/>
        <v>0</v>
      </c>
    </row>
    <row r="1053" spans="1:10" x14ac:dyDescent="0.3">
      <c r="A1053" s="2" t="s">
        <v>1011</v>
      </c>
      <c r="B1053" s="1" t="s">
        <v>2152</v>
      </c>
      <c r="C1053" s="6" t="s">
        <v>3163</v>
      </c>
      <c r="D1053" s="6" t="s">
        <v>5323</v>
      </c>
      <c r="E1053" s="20">
        <f t="shared" si="81"/>
        <v>0</v>
      </c>
      <c r="F1053" s="20"/>
      <c r="G1053" s="24" t="s">
        <v>7508</v>
      </c>
      <c r="H1053" s="20">
        <f t="shared" si="82"/>
        <v>0</v>
      </c>
      <c r="I1053" s="21">
        <f t="shared" si="83"/>
        <v>0</v>
      </c>
      <c r="J1053" s="21">
        <f t="shared" si="83"/>
        <v>0</v>
      </c>
    </row>
    <row r="1054" spans="1:10" x14ac:dyDescent="0.3">
      <c r="A1054" s="2" t="s">
        <v>1012</v>
      </c>
      <c r="B1054" s="1" t="s">
        <v>2152</v>
      </c>
      <c r="C1054" s="6" t="s">
        <v>3164</v>
      </c>
      <c r="D1054" s="6" t="s">
        <v>5324</v>
      </c>
      <c r="E1054" s="20">
        <f t="shared" si="81"/>
        <v>0</v>
      </c>
      <c r="F1054" s="20"/>
      <c r="G1054" s="24" t="s">
        <v>7509</v>
      </c>
      <c r="H1054" s="20">
        <f t="shared" si="82"/>
        <v>0</v>
      </c>
      <c r="I1054" s="21">
        <f t="shared" si="83"/>
        <v>0</v>
      </c>
      <c r="J1054" s="21">
        <f t="shared" si="83"/>
        <v>0</v>
      </c>
    </row>
    <row r="1055" spans="1:10" x14ac:dyDescent="0.3">
      <c r="A1055" s="2" t="s">
        <v>1013</v>
      </c>
      <c r="B1055" s="1" t="s">
        <v>2152</v>
      </c>
      <c r="C1055" s="6" t="s">
        <v>3165</v>
      </c>
      <c r="D1055" s="6" t="s">
        <v>5325</v>
      </c>
      <c r="E1055" s="20">
        <f t="shared" si="81"/>
        <v>0</v>
      </c>
      <c r="F1055" s="20"/>
      <c r="G1055" s="24" t="s">
        <v>7510</v>
      </c>
      <c r="H1055" s="20">
        <f t="shared" si="82"/>
        <v>0</v>
      </c>
      <c r="I1055" s="21">
        <f>W1055</f>
        <v>0</v>
      </c>
      <c r="J1055" s="21">
        <f>X1055</f>
        <v>0</v>
      </c>
    </row>
    <row r="1056" spans="1:10" ht="69" x14ac:dyDescent="0.3">
      <c r="A1056" s="2" t="s">
        <v>1014</v>
      </c>
      <c r="B1056" s="1" t="s">
        <v>2152</v>
      </c>
      <c r="C1056" s="6" t="s">
        <v>3166</v>
      </c>
      <c r="D1056" s="6" t="s">
        <v>5326</v>
      </c>
      <c r="E1056" s="20">
        <f t="shared" si="81"/>
        <v>0</v>
      </c>
      <c r="F1056" s="20">
        <f>'[67]BETON TEST ÇEKİCİ MEKANİK'!$L$2</f>
        <v>1806.7</v>
      </c>
      <c r="G1056" s="24" t="s">
        <v>7511</v>
      </c>
      <c r="H1056" s="20">
        <f t="shared" si="82"/>
        <v>0</v>
      </c>
      <c r="I1056" s="21">
        <v>510</v>
      </c>
      <c r="J1056" s="21">
        <f t="shared" ref="J1056:J1064" si="84">X1056</f>
        <v>0</v>
      </c>
    </row>
    <row r="1057" spans="1:10" ht="82.8" x14ac:dyDescent="0.3">
      <c r="A1057" s="2" t="s">
        <v>1015</v>
      </c>
      <c r="B1057" s="1" t="s">
        <v>2152</v>
      </c>
      <c r="C1057" s="6" t="s">
        <v>3167</v>
      </c>
      <c r="D1057" s="6" t="s">
        <v>5327</v>
      </c>
      <c r="E1057" s="20">
        <f t="shared" si="81"/>
        <v>0</v>
      </c>
      <c r="F1057" s="20"/>
      <c r="G1057" s="24" t="s">
        <v>7512</v>
      </c>
      <c r="H1057" s="20">
        <f t="shared" si="82"/>
        <v>0</v>
      </c>
      <c r="I1057" s="21">
        <v>3660</v>
      </c>
      <c r="J1057" s="21">
        <f t="shared" si="84"/>
        <v>0</v>
      </c>
    </row>
    <row r="1058" spans="1:10" ht="96.6" x14ac:dyDescent="0.3">
      <c r="A1058" s="2" t="s">
        <v>1016</v>
      </c>
      <c r="B1058" s="1" t="s">
        <v>2152</v>
      </c>
      <c r="C1058" s="6" t="s">
        <v>3168</v>
      </c>
      <c r="D1058" s="6" t="s">
        <v>5328</v>
      </c>
      <c r="E1058" s="20">
        <f t="shared" si="81"/>
        <v>0</v>
      </c>
      <c r="F1058" s="20"/>
      <c r="G1058" s="24" t="s">
        <v>7513</v>
      </c>
      <c r="H1058" s="20">
        <f t="shared" si="82"/>
        <v>0</v>
      </c>
      <c r="I1058" s="21">
        <v>2100</v>
      </c>
      <c r="J1058" s="21">
        <f t="shared" si="84"/>
        <v>0</v>
      </c>
    </row>
    <row r="1059" spans="1:10" ht="82.8" x14ac:dyDescent="0.3">
      <c r="A1059" s="2" t="s">
        <v>1017</v>
      </c>
      <c r="B1059" s="1" t="s">
        <v>2152</v>
      </c>
      <c r="C1059" s="6" t="s">
        <v>3169</v>
      </c>
      <c r="D1059" s="6" t="s">
        <v>5329</v>
      </c>
      <c r="E1059" s="20">
        <f t="shared" si="81"/>
        <v>0</v>
      </c>
      <c r="F1059" s="20"/>
      <c r="G1059" s="24" t="s">
        <v>7514</v>
      </c>
      <c r="H1059" s="20">
        <f t="shared" si="82"/>
        <v>0</v>
      </c>
      <c r="I1059" s="21">
        <v>6210</v>
      </c>
      <c r="J1059" s="21">
        <f t="shared" si="84"/>
        <v>0</v>
      </c>
    </row>
    <row r="1060" spans="1:10" ht="96.6" x14ac:dyDescent="0.3">
      <c r="A1060" s="2" t="s">
        <v>1018</v>
      </c>
      <c r="B1060" s="1" t="s">
        <v>2152</v>
      </c>
      <c r="C1060" s="6" t="s">
        <v>3170</v>
      </c>
      <c r="D1060" s="6" t="s">
        <v>5330</v>
      </c>
      <c r="E1060" s="20">
        <f t="shared" si="81"/>
        <v>0</v>
      </c>
      <c r="F1060" s="20"/>
      <c r="G1060" s="24" t="s">
        <v>7515</v>
      </c>
      <c r="H1060" s="20">
        <f t="shared" si="82"/>
        <v>0</v>
      </c>
      <c r="I1060" s="21">
        <v>7920</v>
      </c>
      <c r="J1060" s="21">
        <f t="shared" si="84"/>
        <v>0</v>
      </c>
    </row>
    <row r="1061" spans="1:10" ht="82.8" x14ac:dyDescent="0.3">
      <c r="A1061" s="2" t="s">
        <v>1019</v>
      </c>
      <c r="B1061" s="1" t="s">
        <v>2152</v>
      </c>
      <c r="C1061" s="6" t="s">
        <v>3171</v>
      </c>
      <c r="D1061" s="6" t="s">
        <v>5331</v>
      </c>
      <c r="E1061" s="20">
        <f t="shared" si="81"/>
        <v>0</v>
      </c>
      <c r="F1061" s="20"/>
      <c r="G1061" s="24" t="s">
        <v>7516</v>
      </c>
      <c r="H1061" s="20">
        <f t="shared" si="82"/>
        <v>0</v>
      </c>
      <c r="I1061" s="21">
        <v>10980</v>
      </c>
      <c r="J1061" s="21">
        <f t="shared" si="84"/>
        <v>0</v>
      </c>
    </row>
    <row r="1062" spans="1:10" ht="96.6" x14ac:dyDescent="0.3">
      <c r="A1062" s="2" t="s">
        <v>1020</v>
      </c>
      <c r="B1062" s="1" t="s">
        <v>2152</v>
      </c>
      <c r="C1062" s="6" t="s">
        <v>3172</v>
      </c>
      <c r="D1062" s="6" t="s">
        <v>5332</v>
      </c>
      <c r="E1062" s="20">
        <f t="shared" si="81"/>
        <v>0</v>
      </c>
      <c r="F1062" s="20">
        <f>'[67]BETON TEST CEKİCİ DİJİTAL'!$E$11</f>
        <v>6128.7</v>
      </c>
      <c r="G1062" s="24" t="s">
        <v>7517</v>
      </c>
      <c r="H1062" s="20">
        <f t="shared" si="82"/>
        <v>0</v>
      </c>
      <c r="I1062" s="21">
        <v>1350</v>
      </c>
      <c r="J1062" s="21">
        <f t="shared" si="84"/>
        <v>0</v>
      </c>
    </row>
    <row r="1063" spans="1:10" ht="41.4" x14ac:dyDescent="0.3">
      <c r="A1063" s="2" t="s">
        <v>593</v>
      </c>
      <c r="B1063" s="1" t="s">
        <v>2152</v>
      </c>
      <c r="C1063" s="6" t="s">
        <v>3173</v>
      </c>
      <c r="D1063" s="6" t="s">
        <v>5333</v>
      </c>
      <c r="E1063" s="20">
        <f t="shared" si="81"/>
        <v>0</v>
      </c>
      <c r="F1063" s="20">
        <f>'[68]KALİBRASYON ÖRSÜ'!$L$5</f>
        <v>3509</v>
      </c>
      <c r="G1063" s="24" t="s">
        <v>7518</v>
      </c>
      <c r="H1063" s="20">
        <f t="shared" si="82"/>
        <v>0</v>
      </c>
      <c r="I1063" s="21">
        <v>240</v>
      </c>
      <c r="J1063" s="21">
        <f t="shared" si="84"/>
        <v>0</v>
      </c>
    </row>
    <row r="1064" spans="1:10" ht="41.4" x14ac:dyDescent="0.3">
      <c r="A1064" s="2" t="s">
        <v>1021</v>
      </c>
      <c r="B1064" s="1" t="s">
        <v>2152</v>
      </c>
      <c r="C1064" s="6" t="s">
        <v>3174</v>
      </c>
      <c r="D1064" s="6" t="s">
        <v>5334</v>
      </c>
      <c r="E1064" s="20">
        <f t="shared" si="81"/>
        <v>0</v>
      </c>
      <c r="F1064" s="20"/>
      <c r="G1064" s="24" t="s">
        <v>7519</v>
      </c>
      <c r="H1064" s="20">
        <f t="shared" si="82"/>
        <v>0</v>
      </c>
      <c r="I1064" s="21">
        <v>4800</v>
      </c>
      <c r="J1064" s="21">
        <f t="shared" si="84"/>
        <v>0</v>
      </c>
    </row>
    <row r="1065" spans="1:10" ht="27.6" x14ac:dyDescent="0.3">
      <c r="A1065" s="2" t="s">
        <v>1022</v>
      </c>
      <c r="B1065" s="1" t="s">
        <v>2152</v>
      </c>
      <c r="C1065" s="6" t="s">
        <v>3175</v>
      </c>
      <c r="D1065" s="6" t="s">
        <v>5335</v>
      </c>
      <c r="E1065" s="20">
        <f t="shared" si="81"/>
        <v>0</v>
      </c>
      <c r="F1065" s="20">
        <v>378129</v>
      </c>
      <c r="G1065" s="24" t="s">
        <v>7520</v>
      </c>
      <c r="H1065" s="20">
        <f t="shared" si="82"/>
        <v>0</v>
      </c>
      <c r="I1065" s="21">
        <v>16800</v>
      </c>
      <c r="J1065" s="21">
        <f>X1065</f>
        <v>0</v>
      </c>
    </row>
    <row r="1066" spans="1:10" ht="27.6" x14ac:dyDescent="0.3">
      <c r="A1066" s="2" t="s">
        <v>1023</v>
      </c>
      <c r="B1066" s="1" t="s">
        <v>2152</v>
      </c>
      <c r="C1066" s="6" t="s">
        <v>3176</v>
      </c>
      <c r="D1066" s="6" t="s">
        <v>5336</v>
      </c>
      <c r="E1066" s="20">
        <f t="shared" si="81"/>
        <v>0</v>
      </c>
      <c r="F1066" s="20">
        <v>332219</v>
      </c>
      <c r="G1066" s="24" t="s">
        <v>7521</v>
      </c>
      <c r="H1066" s="20">
        <f t="shared" si="82"/>
        <v>0</v>
      </c>
      <c r="I1066" s="21">
        <v>14850</v>
      </c>
      <c r="J1066" s="21">
        <f>X1066</f>
        <v>0</v>
      </c>
    </row>
    <row r="1067" spans="1:10" ht="55.2" x14ac:dyDescent="0.3">
      <c r="A1067" s="2" t="s">
        <v>1024</v>
      </c>
      <c r="B1067" s="1" t="s">
        <v>2152</v>
      </c>
      <c r="C1067" s="6" t="s">
        <v>3177</v>
      </c>
      <c r="D1067" s="6" t="s">
        <v>5337</v>
      </c>
      <c r="E1067" s="20">
        <f t="shared" si="81"/>
        <v>0</v>
      </c>
      <c r="F1067" s="20">
        <v>3000</v>
      </c>
      <c r="G1067" s="24" t="s">
        <v>7522</v>
      </c>
      <c r="H1067" s="20">
        <f t="shared" si="82"/>
        <v>0</v>
      </c>
      <c r="I1067" s="21">
        <v>240</v>
      </c>
      <c r="J1067" s="21">
        <f t="shared" ref="J1067:J1076" si="85">X1067</f>
        <v>0</v>
      </c>
    </row>
    <row r="1068" spans="1:10" ht="55.2" x14ac:dyDescent="0.3">
      <c r="A1068" s="2" t="s">
        <v>1025</v>
      </c>
      <c r="B1068" s="1" t="s">
        <v>2152</v>
      </c>
      <c r="C1068" s="6" t="s">
        <v>3178</v>
      </c>
      <c r="D1068" s="6" t="s">
        <v>5338</v>
      </c>
      <c r="E1068" s="20">
        <f t="shared" si="81"/>
        <v>0</v>
      </c>
      <c r="F1068" s="20">
        <v>697</v>
      </c>
      <c r="G1068" s="24" t="s">
        <v>7523</v>
      </c>
      <c r="H1068" s="20">
        <f t="shared" si="82"/>
        <v>0</v>
      </c>
      <c r="I1068" s="21">
        <v>300</v>
      </c>
      <c r="J1068" s="21">
        <f t="shared" si="85"/>
        <v>0</v>
      </c>
    </row>
    <row r="1069" spans="1:10" x14ac:dyDescent="0.3">
      <c r="A1069" s="2" t="s">
        <v>1026</v>
      </c>
      <c r="B1069" s="1" t="s">
        <v>2152</v>
      </c>
      <c r="C1069" s="6" t="s">
        <v>3179</v>
      </c>
      <c r="D1069" s="6" t="s">
        <v>5339</v>
      </c>
      <c r="E1069" s="20">
        <f t="shared" si="81"/>
        <v>0</v>
      </c>
      <c r="F1069" s="20"/>
      <c r="G1069" s="24" t="s">
        <v>7524</v>
      </c>
      <c r="H1069" s="20">
        <f t="shared" si="82"/>
        <v>0</v>
      </c>
      <c r="I1069" s="21">
        <v>15600</v>
      </c>
      <c r="J1069" s="21">
        <f t="shared" si="85"/>
        <v>0</v>
      </c>
    </row>
    <row r="1070" spans="1:10" x14ac:dyDescent="0.3">
      <c r="A1070" s="2" t="s">
        <v>1027</v>
      </c>
      <c r="B1070" s="1" t="s">
        <v>2152</v>
      </c>
      <c r="C1070" s="6" t="s">
        <v>3180</v>
      </c>
      <c r="D1070" s="6" t="s">
        <v>5340</v>
      </c>
      <c r="E1070" s="20">
        <f t="shared" si="81"/>
        <v>0</v>
      </c>
      <c r="F1070" s="20"/>
      <c r="G1070" s="24" t="s">
        <v>7525</v>
      </c>
      <c r="H1070" s="20">
        <f t="shared" si="82"/>
        <v>0</v>
      </c>
      <c r="I1070" s="21">
        <v>20400</v>
      </c>
      <c r="J1070" s="21">
        <f t="shared" si="85"/>
        <v>0</v>
      </c>
    </row>
    <row r="1071" spans="1:10" x14ac:dyDescent="0.3">
      <c r="A1071" s="2" t="s">
        <v>1028</v>
      </c>
      <c r="B1071" s="1" t="s">
        <v>2152</v>
      </c>
      <c r="C1071" s="6" t="s">
        <v>3181</v>
      </c>
      <c r="D1071" s="6" t="s">
        <v>5341</v>
      </c>
      <c r="E1071" s="20">
        <f t="shared" si="81"/>
        <v>0</v>
      </c>
      <c r="F1071" s="20"/>
      <c r="G1071" s="24" t="s">
        <v>7526</v>
      </c>
      <c r="H1071" s="20">
        <f t="shared" si="82"/>
        <v>0</v>
      </c>
      <c r="I1071" s="21">
        <v>25050</v>
      </c>
      <c r="J1071" s="21">
        <f t="shared" si="85"/>
        <v>0</v>
      </c>
    </row>
    <row r="1072" spans="1:10" x14ac:dyDescent="0.3">
      <c r="A1072" s="2" t="s">
        <v>1029</v>
      </c>
      <c r="B1072" s="1" t="s">
        <v>2152</v>
      </c>
      <c r="C1072" s="6" t="s">
        <v>3182</v>
      </c>
      <c r="D1072" s="6" t="s">
        <v>5342</v>
      </c>
      <c r="E1072" s="20">
        <f t="shared" si="81"/>
        <v>0</v>
      </c>
      <c r="F1072" s="20"/>
      <c r="G1072" s="24" t="s">
        <v>7527</v>
      </c>
      <c r="H1072" s="20">
        <f t="shared" si="82"/>
        <v>0</v>
      </c>
      <c r="I1072" s="21">
        <f>W1072</f>
        <v>0</v>
      </c>
      <c r="J1072" s="21">
        <f t="shared" si="85"/>
        <v>0</v>
      </c>
    </row>
    <row r="1073" spans="1:10" x14ac:dyDescent="0.3">
      <c r="A1073" s="2" t="s">
        <v>1030</v>
      </c>
      <c r="B1073" s="1" t="s">
        <v>2152</v>
      </c>
      <c r="C1073" s="6" t="s">
        <v>3183</v>
      </c>
      <c r="D1073" s="6" t="s">
        <v>5343</v>
      </c>
      <c r="E1073" s="20">
        <f t="shared" si="81"/>
        <v>0</v>
      </c>
      <c r="F1073" s="20"/>
      <c r="G1073" s="24" t="s">
        <v>7528</v>
      </c>
      <c r="H1073" s="20">
        <f t="shared" si="82"/>
        <v>0</v>
      </c>
      <c r="I1073" s="21">
        <f>W1073</f>
        <v>0</v>
      </c>
      <c r="J1073" s="21">
        <f t="shared" si="85"/>
        <v>0</v>
      </c>
    </row>
    <row r="1074" spans="1:10" x14ac:dyDescent="0.3">
      <c r="A1074" s="2" t="s">
        <v>1031</v>
      </c>
      <c r="B1074" s="1" t="s">
        <v>2152</v>
      </c>
      <c r="C1074" s="6" t="s">
        <v>3184</v>
      </c>
      <c r="D1074" s="6" t="s">
        <v>5344</v>
      </c>
      <c r="E1074" s="20">
        <f t="shared" si="81"/>
        <v>0</v>
      </c>
      <c r="F1074" s="20"/>
      <c r="G1074" s="24" t="s">
        <v>7529</v>
      </c>
      <c r="H1074" s="20">
        <f t="shared" si="82"/>
        <v>0</v>
      </c>
      <c r="I1074" s="21">
        <f>W1074</f>
        <v>0</v>
      </c>
      <c r="J1074" s="21">
        <f t="shared" si="85"/>
        <v>0</v>
      </c>
    </row>
    <row r="1075" spans="1:10" x14ac:dyDescent="0.3">
      <c r="A1075" s="2" t="s">
        <v>1031</v>
      </c>
      <c r="B1075" s="1" t="s">
        <v>2152</v>
      </c>
      <c r="C1075" s="6" t="s">
        <v>3183</v>
      </c>
      <c r="D1075" s="6" t="s">
        <v>5343</v>
      </c>
      <c r="E1075" s="20">
        <f t="shared" si="81"/>
        <v>0</v>
      </c>
      <c r="F1075" s="20"/>
      <c r="G1075" s="24" t="s">
        <v>7530</v>
      </c>
      <c r="H1075" s="20">
        <f t="shared" si="82"/>
        <v>0</v>
      </c>
      <c r="I1075" s="21">
        <f>W1075</f>
        <v>0</v>
      </c>
      <c r="J1075" s="21">
        <f t="shared" si="85"/>
        <v>0</v>
      </c>
    </row>
    <row r="1076" spans="1:10" x14ac:dyDescent="0.3">
      <c r="A1076" s="2" t="s">
        <v>1032</v>
      </c>
      <c r="B1076" s="1" t="s">
        <v>2152</v>
      </c>
      <c r="C1076" s="6" t="s">
        <v>3185</v>
      </c>
      <c r="D1076" s="6" t="s">
        <v>5345</v>
      </c>
      <c r="E1076" s="20">
        <f t="shared" si="81"/>
        <v>0</v>
      </c>
      <c r="F1076" s="20"/>
      <c r="G1076" s="24" t="s">
        <v>7531</v>
      </c>
      <c r="H1076" s="20">
        <f t="shared" si="82"/>
        <v>0</v>
      </c>
      <c r="I1076" s="21">
        <f>W1076</f>
        <v>0</v>
      </c>
      <c r="J1076" s="21">
        <f t="shared" si="85"/>
        <v>0</v>
      </c>
    </row>
    <row r="1077" spans="1:10" ht="55.2" x14ac:dyDescent="0.3">
      <c r="A1077" s="2" t="s">
        <v>1033</v>
      </c>
      <c r="B1077" s="1" t="s">
        <v>2152</v>
      </c>
      <c r="C1077" s="6" t="s">
        <v>3186</v>
      </c>
      <c r="D1077" s="6" t="s">
        <v>5346</v>
      </c>
      <c r="E1077" s="20">
        <f t="shared" si="81"/>
        <v>0</v>
      </c>
      <c r="F1077" s="20"/>
      <c r="G1077" s="24" t="s">
        <v>7532</v>
      </c>
      <c r="H1077" s="20">
        <f t="shared" si="82"/>
        <v>0</v>
      </c>
      <c r="I1077" s="21">
        <v>1440</v>
      </c>
      <c r="J1077" s="21">
        <f>X1077</f>
        <v>0</v>
      </c>
    </row>
    <row r="1078" spans="1:10" ht="69" x14ac:dyDescent="0.3">
      <c r="A1078" s="2" t="s">
        <v>1034</v>
      </c>
      <c r="B1078" s="1" t="s">
        <v>2152</v>
      </c>
      <c r="C1078" s="6" t="s">
        <v>3187</v>
      </c>
      <c r="D1078" s="6" t="s">
        <v>5347</v>
      </c>
      <c r="E1078" s="20">
        <f t="shared" si="81"/>
        <v>0</v>
      </c>
      <c r="F1078" s="20">
        <f>[69]BLAINE!$L$2</f>
        <v>6686</v>
      </c>
      <c r="G1078" s="24" t="s">
        <v>7533</v>
      </c>
      <c r="H1078" s="20">
        <f t="shared" si="82"/>
        <v>0</v>
      </c>
      <c r="I1078" s="21">
        <v>225</v>
      </c>
      <c r="J1078" s="21">
        <f t="shared" ref="J1078:J1087" si="86">X1078</f>
        <v>0</v>
      </c>
    </row>
    <row r="1079" spans="1:10" x14ac:dyDescent="0.3">
      <c r="A1079" s="2" t="s">
        <v>1035</v>
      </c>
      <c r="B1079" s="1" t="s">
        <v>2152</v>
      </c>
      <c r="C1079" s="6" t="s">
        <v>3188</v>
      </c>
      <c r="D1079" s="6" t="s">
        <v>5348</v>
      </c>
      <c r="E1079" s="20">
        <f t="shared" si="81"/>
        <v>0</v>
      </c>
      <c r="F1079" s="20">
        <v>2750</v>
      </c>
      <c r="G1079" s="24" t="s">
        <v>7534</v>
      </c>
      <c r="H1079" s="20">
        <f t="shared" si="82"/>
        <v>0</v>
      </c>
      <c r="I1079" s="21">
        <v>90</v>
      </c>
      <c r="J1079" s="21">
        <f t="shared" si="86"/>
        <v>0</v>
      </c>
    </row>
    <row r="1080" spans="1:10" x14ac:dyDescent="0.3">
      <c r="A1080" s="2" t="s">
        <v>1036</v>
      </c>
      <c r="B1080" s="1" t="s">
        <v>2152</v>
      </c>
      <c r="C1080" s="14" t="s">
        <v>3189</v>
      </c>
      <c r="D1080" s="6" t="s">
        <v>5349</v>
      </c>
      <c r="E1080" s="20">
        <f t="shared" si="81"/>
        <v>0</v>
      </c>
      <c r="F1080" s="20">
        <v>2073</v>
      </c>
      <c r="G1080" s="24" t="s">
        <v>7535</v>
      </c>
      <c r="H1080" s="20">
        <f t="shared" si="82"/>
        <v>0</v>
      </c>
      <c r="I1080" s="21">
        <v>78</v>
      </c>
      <c r="J1080" s="21">
        <f t="shared" si="86"/>
        <v>0</v>
      </c>
    </row>
    <row r="1081" spans="1:10" x14ac:dyDescent="0.3">
      <c r="A1081" s="2" t="s">
        <v>1037</v>
      </c>
      <c r="B1081" s="1" t="s">
        <v>2152</v>
      </c>
      <c r="C1081" s="6" t="s">
        <v>3190</v>
      </c>
      <c r="D1081" s="6" t="s">
        <v>5350</v>
      </c>
      <c r="E1081" s="20">
        <f t="shared" si="81"/>
        <v>0</v>
      </c>
      <c r="F1081" s="20">
        <v>423</v>
      </c>
      <c r="G1081" s="24" t="s">
        <v>7536</v>
      </c>
      <c r="H1081" s="20">
        <f t="shared" si="82"/>
        <v>0</v>
      </c>
      <c r="I1081" s="21">
        <v>9</v>
      </c>
      <c r="J1081" s="21">
        <f t="shared" si="86"/>
        <v>0</v>
      </c>
    </row>
    <row r="1082" spans="1:10" x14ac:dyDescent="0.3">
      <c r="A1082" s="2" t="s">
        <v>1038</v>
      </c>
      <c r="B1082" s="1" t="s">
        <v>2152</v>
      </c>
      <c r="C1082" s="6" t="s">
        <v>3191</v>
      </c>
      <c r="D1082" s="6" t="s">
        <v>5351</v>
      </c>
      <c r="E1082" s="20">
        <f t="shared" si="81"/>
        <v>0</v>
      </c>
      <c r="F1082" s="20">
        <v>226</v>
      </c>
      <c r="G1082" s="24" t="s">
        <v>7537</v>
      </c>
      <c r="H1082" s="20">
        <f t="shared" si="82"/>
        <v>0</v>
      </c>
      <c r="I1082" s="21">
        <v>9</v>
      </c>
      <c r="J1082" s="21">
        <f t="shared" si="86"/>
        <v>0</v>
      </c>
    </row>
    <row r="1083" spans="1:10" x14ac:dyDescent="0.3">
      <c r="A1083" s="2" t="s">
        <v>490</v>
      </c>
      <c r="B1083" s="1" t="s">
        <v>2152</v>
      </c>
      <c r="C1083" s="6" t="s">
        <v>2636</v>
      </c>
      <c r="D1083" s="6" t="s">
        <v>4804</v>
      </c>
      <c r="E1083" s="20">
        <f t="shared" si="81"/>
        <v>0</v>
      </c>
      <c r="F1083" s="20">
        <v>97</v>
      </c>
      <c r="G1083" s="24" t="s">
        <v>7538</v>
      </c>
      <c r="H1083" s="20">
        <f t="shared" si="82"/>
        <v>0</v>
      </c>
      <c r="I1083" s="21">
        <v>5.4</v>
      </c>
      <c r="J1083" s="21">
        <f t="shared" si="86"/>
        <v>0</v>
      </c>
    </row>
    <row r="1084" spans="1:10" x14ac:dyDescent="0.3">
      <c r="A1084" s="2" t="s">
        <v>1039</v>
      </c>
      <c r="B1084" s="1" t="s">
        <v>2152</v>
      </c>
      <c r="C1084" s="6" t="s">
        <v>3192</v>
      </c>
      <c r="D1084" s="6" t="s">
        <v>5352</v>
      </c>
      <c r="E1084" s="20">
        <f t="shared" si="81"/>
        <v>0</v>
      </c>
      <c r="F1084" s="20">
        <v>762</v>
      </c>
      <c r="G1084" s="24" t="s">
        <v>7539</v>
      </c>
      <c r="H1084" s="20">
        <f t="shared" si="82"/>
        <v>0</v>
      </c>
      <c r="I1084" s="21">
        <v>21</v>
      </c>
      <c r="J1084" s="21">
        <f t="shared" si="86"/>
        <v>0</v>
      </c>
    </row>
    <row r="1085" spans="1:10" x14ac:dyDescent="0.3">
      <c r="A1085" s="2" t="s">
        <v>1040</v>
      </c>
      <c r="B1085" s="1" t="s">
        <v>2152</v>
      </c>
      <c r="C1085" s="6" t="s">
        <v>3193</v>
      </c>
      <c r="D1085" s="6" t="s">
        <v>5353</v>
      </c>
      <c r="E1085" s="20">
        <f t="shared" si="81"/>
        <v>0</v>
      </c>
      <c r="F1085" s="20">
        <v>294</v>
      </c>
      <c r="G1085" s="24" t="s">
        <v>7540</v>
      </c>
      <c r="H1085" s="20">
        <f t="shared" si="82"/>
        <v>0</v>
      </c>
      <c r="I1085" s="21">
        <v>150</v>
      </c>
      <c r="J1085" s="21">
        <f t="shared" si="86"/>
        <v>0</v>
      </c>
    </row>
    <row r="1086" spans="1:10" ht="69" x14ac:dyDescent="0.3">
      <c r="A1086" s="2" t="s">
        <v>1041</v>
      </c>
      <c r="B1086" s="1" t="s">
        <v>2152</v>
      </c>
      <c r="C1086" s="6" t="s">
        <v>3194</v>
      </c>
      <c r="D1086" s="6" t="s">
        <v>5354</v>
      </c>
      <c r="E1086" s="20">
        <f t="shared" si="81"/>
        <v>0</v>
      </c>
      <c r="F1086" s="20">
        <v>31000</v>
      </c>
      <c r="G1086" s="24" t="s">
        <v>7541</v>
      </c>
      <c r="H1086" s="20">
        <f t="shared" si="82"/>
        <v>0</v>
      </c>
      <c r="I1086" s="21">
        <v>6750</v>
      </c>
      <c r="J1086" s="21">
        <f t="shared" si="86"/>
        <v>0</v>
      </c>
    </row>
    <row r="1087" spans="1:10" x14ac:dyDescent="0.3">
      <c r="A1087" s="2" t="s">
        <v>1042</v>
      </c>
      <c r="B1087" s="1" t="s">
        <v>2152</v>
      </c>
      <c r="C1087" s="6" t="s">
        <v>3195</v>
      </c>
      <c r="D1087" s="6" t="s">
        <v>5355</v>
      </c>
      <c r="E1087" s="20">
        <f t="shared" si="81"/>
        <v>0</v>
      </c>
      <c r="F1087" s="20">
        <v>31000</v>
      </c>
      <c r="G1087" s="24" t="s">
        <v>7542</v>
      </c>
      <c r="H1087" s="20">
        <f t="shared" si="82"/>
        <v>0</v>
      </c>
      <c r="I1087" s="21">
        <v>1860</v>
      </c>
      <c r="J1087" s="21">
        <f t="shared" si="86"/>
        <v>0</v>
      </c>
    </row>
    <row r="1088" spans="1:10" x14ac:dyDescent="0.3">
      <c r="A1088" s="2" t="s">
        <v>1043</v>
      </c>
      <c r="B1088" s="1" t="s">
        <v>2152</v>
      </c>
      <c r="C1088" s="6" t="s">
        <v>3196</v>
      </c>
      <c r="D1088" s="6" t="s">
        <v>5356</v>
      </c>
      <c r="E1088" s="20">
        <f t="shared" si="81"/>
        <v>0</v>
      </c>
      <c r="F1088" s="20"/>
      <c r="G1088" s="24" t="s">
        <v>7543</v>
      </c>
      <c r="H1088" s="20">
        <f t="shared" si="82"/>
        <v>0</v>
      </c>
    </row>
    <row r="1089" spans="1:10" x14ac:dyDescent="0.3">
      <c r="A1089" s="2" t="s">
        <v>1044</v>
      </c>
      <c r="B1089" s="1" t="s">
        <v>2152</v>
      </c>
      <c r="C1089" s="6" t="s">
        <v>3197</v>
      </c>
      <c r="D1089" s="6" t="s">
        <v>5357</v>
      </c>
      <c r="E1089" s="20">
        <f t="shared" si="81"/>
        <v>0</v>
      </c>
      <c r="F1089" s="20">
        <f>'[70]Üç Gözlü 40x40x160'!$L$2</f>
        <v>3543.1200000000003</v>
      </c>
      <c r="G1089" s="24" t="s">
        <v>7544</v>
      </c>
      <c r="H1089" s="20">
        <f t="shared" si="82"/>
        <v>0</v>
      </c>
      <c r="I1089" s="21">
        <v>216</v>
      </c>
      <c r="J1089" s="21">
        <f>X1089</f>
        <v>0</v>
      </c>
    </row>
    <row r="1090" spans="1:10" x14ac:dyDescent="0.3">
      <c r="A1090" s="2" t="s">
        <v>1045</v>
      </c>
      <c r="B1090" s="1" t="s">
        <v>2152</v>
      </c>
      <c r="C1090" s="6" t="s">
        <v>3198</v>
      </c>
      <c r="D1090" s="6" t="s">
        <v>5358</v>
      </c>
      <c r="E1090" s="20">
        <f t="shared" si="81"/>
        <v>0</v>
      </c>
      <c r="F1090" s="20"/>
      <c r="G1090" s="24" t="s">
        <v>7545</v>
      </c>
      <c r="H1090" s="20">
        <f t="shared" si="82"/>
        <v>0</v>
      </c>
      <c r="I1090" s="21">
        <v>30</v>
      </c>
      <c r="J1090" s="21">
        <f t="shared" ref="J1090:J1099" si="87">X1090</f>
        <v>0</v>
      </c>
    </row>
    <row r="1091" spans="1:10" x14ac:dyDescent="0.3">
      <c r="A1091" s="2" t="s">
        <v>1046</v>
      </c>
      <c r="B1091" s="1" t="s">
        <v>2152</v>
      </c>
      <c r="C1091" s="6" t="s">
        <v>3199</v>
      </c>
      <c r="D1091" s="6" t="s">
        <v>5359</v>
      </c>
      <c r="E1091" s="20">
        <f t="shared" si="81"/>
        <v>0</v>
      </c>
      <c r="F1091" s="20"/>
      <c r="G1091" s="24" t="s">
        <v>7546</v>
      </c>
      <c r="H1091" s="20">
        <f t="shared" si="82"/>
        <v>0</v>
      </c>
      <c r="I1091" s="21">
        <v>78</v>
      </c>
      <c r="J1091" s="21">
        <f t="shared" si="87"/>
        <v>0</v>
      </c>
    </row>
    <row r="1092" spans="1:10" x14ac:dyDescent="0.3">
      <c r="A1092" s="2" t="s">
        <v>576</v>
      </c>
      <c r="B1092" s="1" t="s">
        <v>2152</v>
      </c>
      <c r="C1092" s="6" t="s">
        <v>2723</v>
      </c>
      <c r="D1092" s="6" t="s">
        <v>4889</v>
      </c>
      <c r="E1092" s="20">
        <f t="shared" si="81"/>
        <v>0</v>
      </c>
      <c r="F1092" s="20">
        <v>290</v>
      </c>
      <c r="G1092" s="24" t="s">
        <v>7547</v>
      </c>
      <c r="H1092" s="20">
        <f t="shared" si="82"/>
        <v>0</v>
      </c>
      <c r="I1092" s="21">
        <v>243</v>
      </c>
      <c r="J1092" s="21">
        <f t="shared" si="87"/>
        <v>0</v>
      </c>
    </row>
    <row r="1093" spans="1:10" x14ac:dyDescent="0.3">
      <c r="A1093" s="2" t="s">
        <v>577</v>
      </c>
      <c r="B1093" s="1" t="s">
        <v>2152</v>
      </c>
      <c r="C1093" s="6" t="s">
        <v>3200</v>
      </c>
      <c r="D1093" s="6" t="s">
        <v>5360</v>
      </c>
      <c r="E1093" s="20">
        <f t="shared" si="81"/>
        <v>0</v>
      </c>
      <c r="F1093" s="20"/>
      <c r="G1093" s="24" t="s">
        <v>7548</v>
      </c>
      <c r="H1093" s="20">
        <f t="shared" si="82"/>
        <v>0</v>
      </c>
      <c r="I1093" s="21">
        <v>30</v>
      </c>
      <c r="J1093" s="21">
        <f t="shared" si="87"/>
        <v>0</v>
      </c>
    </row>
    <row r="1094" spans="1:10" x14ac:dyDescent="0.3">
      <c r="A1094" s="2" t="s">
        <v>578</v>
      </c>
      <c r="B1094" s="1" t="s">
        <v>2152</v>
      </c>
      <c r="C1094" s="6" t="s">
        <v>2724</v>
      </c>
      <c r="D1094" s="6" t="s">
        <v>5361</v>
      </c>
      <c r="E1094" s="20">
        <f t="shared" si="81"/>
        <v>0</v>
      </c>
      <c r="F1094" s="20"/>
      <c r="G1094" s="24" t="s">
        <v>7549</v>
      </c>
      <c r="H1094" s="20">
        <f t="shared" si="82"/>
        <v>0</v>
      </c>
      <c r="I1094" s="21">
        <v>96</v>
      </c>
      <c r="J1094" s="21">
        <f t="shared" si="87"/>
        <v>0</v>
      </c>
    </row>
    <row r="1095" spans="1:10" ht="41.4" x14ac:dyDescent="0.3">
      <c r="A1095" s="2" t="s">
        <v>560</v>
      </c>
      <c r="B1095" s="1" t="s">
        <v>2152</v>
      </c>
      <c r="C1095" s="6" t="s">
        <v>2707</v>
      </c>
      <c r="D1095" s="6" t="s">
        <v>4874</v>
      </c>
      <c r="E1095" s="20">
        <f t="shared" si="81"/>
        <v>0</v>
      </c>
      <c r="F1095" s="20"/>
      <c r="G1095" s="24" t="s">
        <v>7550</v>
      </c>
      <c r="H1095" s="20">
        <f t="shared" si="82"/>
        <v>0</v>
      </c>
      <c r="I1095" s="21">
        <v>300</v>
      </c>
      <c r="J1095" s="21">
        <f t="shared" si="87"/>
        <v>0</v>
      </c>
    </row>
    <row r="1096" spans="1:10" x14ac:dyDescent="0.3">
      <c r="A1096" s="2" t="s">
        <v>564</v>
      </c>
      <c r="B1096" s="1" t="s">
        <v>2152</v>
      </c>
      <c r="C1096" s="6" t="s">
        <v>2711</v>
      </c>
      <c r="D1096" s="6" t="s">
        <v>4878</v>
      </c>
      <c r="E1096" s="20">
        <f t="shared" si="81"/>
        <v>0</v>
      </c>
      <c r="F1096" s="20">
        <v>400</v>
      </c>
      <c r="G1096" s="24" t="s">
        <v>7551</v>
      </c>
      <c r="H1096" s="20">
        <f t="shared" si="82"/>
        <v>0</v>
      </c>
      <c r="I1096" s="21">
        <v>39</v>
      </c>
      <c r="J1096" s="21">
        <f t="shared" si="87"/>
        <v>0</v>
      </c>
    </row>
    <row r="1097" spans="1:10" x14ac:dyDescent="0.3">
      <c r="A1097" s="2" t="s">
        <v>565</v>
      </c>
      <c r="B1097" s="1" t="s">
        <v>2152</v>
      </c>
      <c r="C1097" s="6" t="s">
        <v>2712</v>
      </c>
      <c r="D1097" s="6" t="s">
        <v>4879</v>
      </c>
      <c r="E1097" s="20">
        <f t="shared" si="81"/>
        <v>0</v>
      </c>
      <c r="F1097" s="20">
        <v>2500</v>
      </c>
      <c r="G1097" s="24" t="s">
        <v>7552</v>
      </c>
      <c r="H1097" s="20">
        <f t="shared" si="82"/>
        <v>0</v>
      </c>
      <c r="I1097" s="21">
        <v>210</v>
      </c>
      <c r="J1097" s="21">
        <f t="shared" si="87"/>
        <v>0</v>
      </c>
    </row>
    <row r="1098" spans="1:10" ht="55.2" x14ac:dyDescent="0.3">
      <c r="A1098" s="2" t="s">
        <v>558</v>
      </c>
      <c r="B1098" s="1" t="s">
        <v>2152</v>
      </c>
      <c r="C1098" s="6" t="s">
        <v>3201</v>
      </c>
      <c r="D1098" s="6" t="s">
        <v>5362</v>
      </c>
      <c r="E1098" s="20">
        <f t="shared" si="81"/>
        <v>0</v>
      </c>
      <c r="F1098" s="20">
        <v>1200</v>
      </c>
      <c r="G1098" s="24" t="s">
        <v>7553</v>
      </c>
      <c r="H1098" s="20">
        <f t="shared" si="82"/>
        <v>0</v>
      </c>
      <c r="I1098" s="21">
        <v>693</v>
      </c>
      <c r="J1098" s="21">
        <f t="shared" si="87"/>
        <v>0</v>
      </c>
    </row>
    <row r="1099" spans="1:10" ht="55.2" x14ac:dyDescent="0.3">
      <c r="A1099" s="2" t="s">
        <v>559</v>
      </c>
      <c r="B1099" s="1" t="s">
        <v>2152</v>
      </c>
      <c r="C1099" s="6" t="s">
        <v>3202</v>
      </c>
      <c r="D1099" s="6" t="s">
        <v>5363</v>
      </c>
      <c r="E1099" s="20">
        <f t="shared" ref="E1099:E1162" si="88">H1099*1.8*1.4</f>
        <v>0</v>
      </c>
      <c r="F1099" s="20"/>
      <c r="G1099" s="24" t="s">
        <v>7554</v>
      </c>
      <c r="H1099" s="20">
        <f t="shared" ref="H1099:H1162" si="89">K1099*1.8*1.4</f>
        <v>0</v>
      </c>
      <c r="I1099" s="21">
        <v>822</v>
      </c>
      <c r="J1099" s="21">
        <f t="shared" si="87"/>
        <v>0</v>
      </c>
    </row>
    <row r="1100" spans="1:10" x14ac:dyDescent="0.3">
      <c r="A1100" s="2" t="s">
        <v>1047</v>
      </c>
      <c r="B1100" s="1" t="s">
        <v>2152</v>
      </c>
      <c r="C1100" s="6" t="s">
        <v>3203</v>
      </c>
      <c r="D1100" s="6" t="s">
        <v>5364</v>
      </c>
      <c r="E1100" s="20">
        <f t="shared" si="88"/>
        <v>0</v>
      </c>
      <c r="F1100" s="20">
        <v>5000</v>
      </c>
      <c r="G1100" s="24" t="s">
        <v>7555</v>
      </c>
      <c r="H1100" s="20">
        <f t="shared" si="89"/>
        <v>0</v>
      </c>
    </row>
    <row r="1101" spans="1:10" x14ac:dyDescent="0.3">
      <c r="A1101" s="2" t="s">
        <v>1048</v>
      </c>
      <c r="B1101" s="1" t="s">
        <v>2152</v>
      </c>
      <c r="C1101" s="6" t="s">
        <v>3204</v>
      </c>
      <c r="D1101" s="6" t="s">
        <v>5365</v>
      </c>
      <c r="E1101" s="20">
        <f t="shared" si="88"/>
        <v>0</v>
      </c>
      <c r="F1101" s="20">
        <v>16500</v>
      </c>
      <c r="G1101" s="24" t="s">
        <v>7556</v>
      </c>
      <c r="H1101" s="20">
        <f t="shared" si="89"/>
        <v>0</v>
      </c>
      <c r="I1101" s="21">
        <v>1350</v>
      </c>
      <c r="J1101" s="21">
        <f>X1101</f>
        <v>0</v>
      </c>
    </row>
    <row r="1102" spans="1:10" x14ac:dyDescent="0.3">
      <c r="A1102" s="2" t="s">
        <v>1049</v>
      </c>
      <c r="B1102" s="1" t="s">
        <v>2152</v>
      </c>
      <c r="C1102" s="6" t="s">
        <v>3205</v>
      </c>
      <c r="D1102" s="6" t="s">
        <v>5366</v>
      </c>
      <c r="E1102" s="20">
        <f t="shared" si="88"/>
        <v>0</v>
      </c>
      <c r="F1102" s="20"/>
      <c r="G1102" s="24" t="s">
        <v>7557</v>
      </c>
      <c r="H1102" s="20">
        <f t="shared" si="89"/>
        <v>0</v>
      </c>
    </row>
    <row r="1103" spans="1:10" x14ac:dyDescent="0.3">
      <c r="A1103" s="2" t="s">
        <v>1050</v>
      </c>
      <c r="B1103" s="1" t="s">
        <v>2152</v>
      </c>
      <c r="C1103" s="6" t="s">
        <v>3206</v>
      </c>
      <c r="D1103" s="6" t="s">
        <v>5367</v>
      </c>
      <c r="E1103" s="20">
        <f t="shared" si="88"/>
        <v>0</v>
      </c>
      <c r="F1103" s="20"/>
      <c r="G1103" s="24" t="s">
        <v>7558</v>
      </c>
      <c r="H1103" s="20">
        <f t="shared" si="89"/>
        <v>0</v>
      </c>
    </row>
    <row r="1104" spans="1:10" x14ac:dyDescent="0.3">
      <c r="A1104" s="2" t="s">
        <v>1051</v>
      </c>
      <c r="B1104" s="1" t="s">
        <v>2152</v>
      </c>
      <c r="C1104" s="6" t="s">
        <v>3207</v>
      </c>
      <c r="D1104" s="6" t="s">
        <v>5368</v>
      </c>
      <c r="E1104" s="20">
        <f t="shared" si="88"/>
        <v>0</v>
      </c>
      <c r="F1104" s="20"/>
      <c r="G1104" s="24" t="s">
        <v>7559</v>
      </c>
      <c r="H1104" s="20">
        <f t="shared" si="89"/>
        <v>0</v>
      </c>
    </row>
    <row r="1105" spans="1:10" ht="55.2" x14ac:dyDescent="0.3">
      <c r="A1105" s="2" t="s">
        <v>1052</v>
      </c>
      <c r="B1105" s="1" t="s">
        <v>2152</v>
      </c>
      <c r="C1105" s="6" t="s">
        <v>3208</v>
      </c>
      <c r="D1105" s="6" t="s">
        <v>5369</v>
      </c>
      <c r="E1105" s="20">
        <f t="shared" si="88"/>
        <v>0</v>
      </c>
      <c r="F1105" s="20"/>
      <c r="G1105" s="24" t="s">
        <v>7560</v>
      </c>
      <c r="H1105" s="20">
        <f t="shared" si="89"/>
        <v>0</v>
      </c>
      <c r="I1105" s="21">
        <v>900</v>
      </c>
      <c r="J1105" s="21">
        <f>X1105</f>
        <v>0</v>
      </c>
    </row>
    <row r="1106" spans="1:10" x14ac:dyDescent="0.3">
      <c r="A1106" s="2" t="s">
        <v>1053</v>
      </c>
      <c r="B1106" s="1" t="s">
        <v>2152</v>
      </c>
      <c r="C1106" s="6" t="s">
        <v>3209</v>
      </c>
      <c r="D1106" s="6" t="s">
        <v>5370</v>
      </c>
      <c r="E1106" s="20">
        <f t="shared" si="88"/>
        <v>0</v>
      </c>
      <c r="F1106" s="20"/>
      <c r="G1106" s="24" t="s">
        <v>7561</v>
      </c>
      <c r="H1106" s="20">
        <f t="shared" si="89"/>
        <v>0</v>
      </c>
      <c r="I1106" s="21">
        <f t="shared" ref="I1106:J1114" si="90">W1106</f>
        <v>0</v>
      </c>
      <c r="J1106" s="21">
        <f t="shared" si="90"/>
        <v>0</v>
      </c>
    </row>
    <row r="1107" spans="1:10" x14ac:dyDescent="0.3">
      <c r="A1107" s="2" t="s">
        <v>1054</v>
      </c>
      <c r="B1107" s="1" t="s">
        <v>2152</v>
      </c>
      <c r="C1107" s="6" t="s">
        <v>3210</v>
      </c>
      <c r="D1107" s="6" t="s">
        <v>5371</v>
      </c>
      <c r="E1107" s="20">
        <f t="shared" si="88"/>
        <v>0</v>
      </c>
      <c r="F1107" s="20"/>
      <c r="G1107" s="24" t="s">
        <v>7562</v>
      </c>
      <c r="H1107" s="20">
        <f t="shared" si="89"/>
        <v>0</v>
      </c>
      <c r="I1107" s="21">
        <f t="shared" si="90"/>
        <v>0</v>
      </c>
      <c r="J1107" s="21">
        <f t="shared" si="90"/>
        <v>0</v>
      </c>
    </row>
    <row r="1108" spans="1:10" x14ac:dyDescent="0.3">
      <c r="A1108" s="2" t="s">
        <v>1055</v>
      </c>
      <c r="B1108" s="1" t="s">
        <v>2152</v>
      </c>
      <c r="C1108" s="6" t="s">
        <v>3211</v>
      </c>
      <c r="D1108" s="6" t="s">
        <v>5372</v>
      </c>
      <c r="E1108" s="20">
        <f t="shared" si="88"/>
        <v>0</v>
      </c>
      <c r="F1108" s="20">
        <v>70</v>
      </c>
      <c r="G1108" s="24" t="s">
        <v>7563</v>
      </c>
      <c r="H1108" s="20">
        <f t="shared" si="89"/>
        <v>0</v>
      </c>
      <c r="I1108" s="21">
        <v>60</v>
      </c>
      <c r="J1108" s="21">
        <f t="shared" si="90"/>
        <v>0</v>
      </c>
    </row>
    <row r="1109" spans="1:10" x14ac:dyDescent="0.3">
      <c r="A1109" s="2" t="s">
        <v>1056</v>
      </c>
      <c r="B1109" s="1" t="s">
        <v>2152</v>
      </c>
      <c r="C1109" s="6" t="s">
        <v>3212</v>
      </c>
      <c r="D1109" s="6" t="s">
        <v>5373</v>
      </c>
      <c r="E1109" s="20">
        <f t="shared" si="88"/>
        <v>0</v>
      </c>
      <c r="F1109" s="20"/>
      <c r="G1109" s="24" t="s">
        <v>7564</v>
      </c>
      <c r="H1109" s="20">
        <f t="shared" si="89"/>
        <v>0</v>
      </c>
      <c r="I1109" s="21">
        <f t="shared" si="90"/>
        <v>0</v>
      </c>
      <c r="J1109" s="21">
        <f t="shared" si="90"/>
        <v>0</v>
      </c>
    </row>
    <row r="1110" spans="1:10" x14ac:dyDescent="0.3">
      <c r="A1110" s="2" t="s">
        <v>1057</v>
      </c>
      <c r="B1110" s="1" t="s">
        <v>2152</v>
      </c>
      <c r="C1110" s="6" t="s">
        <v>3213</v>
      </c>
      <c r="D1110" s="6" t="s">
        <v>5374</v>
      </c>
      <c r="E1110" s="20">
        <f t="shared" si="88"/>
        <v>0</v>
      </c>
      <c r="F1110" s="20"/>
      <c r="G1110" s="24" t="s">
        <v>7565</v>
      </c>
      <c r="H1110" s="20">
        <f t="shared" si="89"/>
        <v>0</v>
      </c>
      <c r="I1110" s="21">
        <f t="shared" si="90"/>
        <v>0</v>
      </c>
      <c r="J1110" s="21">
        <f t="shared" si="90"/>
        <v>0</v>
      </c>
    </row>
    <row r="1111" spans="1:10" x14ac:dyDescent="0.3">
      <c r="A1111" s="2" t="s">
        <v>1058</v>
      </c>
      <c r="B1111" s="1" t="s">
        <v>2152</v>
      </c>
      <c r="C1111" s="6" t="s">
        <v>3214</v>
      </c>
      <c r="D1111" s="6" t="s">
        <v>5375</v>
      </c>
      <c r="E1111" s="20">
        <f t="shared" si="88"/>
        <v>0</v>
      </c>
      <c r="F1111" s="20"/>
      <c r="G1111" s="24" t="s">
        <v>7566</v>
      </c>
      <c r="H1111" s="20">
        <f t="shared" si="89"/>
        <v>0</v>
      </c>
      <c r="I1111" s="21">
        <f t="shared" si="90"/>
        <v>0</v>
      </c>
      <c r="J1111" s="21">
        <f t="shared" si="90"/>
        <v>0</v>
      </c>
    </row>
    <row r="1112" spans="1:10" x14ac:dyDescent="0.3">
      <c r="A1112" s="2" t="s">
        <v>1059</v>
      </c>
      <c r="B1112" s="1" t="s">
        <v>2152</v>
      </c>
      <c r="C1112" s="6" t="s">
        <v>3215</v>
      </c>
      <c r="D1112" s="6" t="s">
        <v>5376</v>
      </c>
      <c r="E1112" s="20">
        <f t="shared" si="88"/>
        <v>0</v>
      </c>
      <c r="F1112" s="20"/>
      <c r="G1112" s="24" t="s">
        <v>7567</v>
      </c>
      <c r="H1112" s="20">
        <f t="shared" si="89"/>
        <v>0</v>
      </c>
      <c r="I1112" s="21">
        <f t="shared" si="90"/>
        <v>0</v>
      </c>
      <c r="J1112" s="21">
        <f t="shared" si="90"/>
        <v>0</v>
      </c>
    </row>
    <row r="1113" spans="1:10" x14ac:dyDescent="0.3">
      <c r="A1113" s="2" t="s">
        <v>1060</v>
      </c>
      <c r="B1113" s="1" t="s">
        <v>2152</v>
      </c>
      <c r="C1113" s="6" t="s">
        <v>3216</v>
      </c>
      <c r="D1113" s="6" t="s">
        <v>5377</v>
      </c>
      <c r="E1113" s="20">
        <f t="shared" si="88"/>
        <v>0</v>
      </c>
      <c r="F1113" s="20"/>
      <c r="G1113" s="24" t="s">
        <v>7568</v>
      </c>
      <c r="H1113" s="20">
        <f t="shared" si="89"/>
        <v>0</v>
      </c>
      <c r="I1113" s="21">
        <f t="shared" si="90"/>
        <v>0</v>
      </c>
      <c r="J1113" s="21">
        <f t="shared" si="90"/>
        <v>0</v>
      </c>
    </row>
    <row r="1114" spans="1:10" x14ac:dyDescent="0.3">
      <c r="A1114" s="2" t="s">
        <v>1061</v>
      </c>
      <c r="B1114" s="1" t="s">
        <v>2152</v>
      </c>
      <c r="C1114" s="6" t="s">
        <v>3217</v>
      </c>
      <c r="D1114" s="6" t="s">
        <v>5378</v>
      </c>
      <c r="E1114" s="20">
        <f t="shared" si="88"/>
        <v>0</v>
      </c>
      <c r="F1114" s="20">
        <v>4800</v>
      </c>
      <c r="G1114" s="24" t="s">
        <v>7569</v>
      </c>
      <c r="H1114" s="20">
        <f t="shared" si="89"/>
        <v>0</v>
      </c>
      <c r="I1114" s="21">
        <v>6.6</v>
      </c>
      <c r="J1114" s="21">
        <f t="shared" si="90"/>
        <v>0</v>
      </c>
    </row>
    <row r="1115" spans="1:10" x14ac:dyDescent="0.3">
      <c r="A1115" s="2" t="s">
        <v>1062</v>
      </c>
      <c r="B1115" s="1" t="s">
        <v>2152</v>
      </c>
      <c r="C1115" s="6" t="s">
        <v>3218</v>
      </c>
      <c r="D1115" s="6" t="s">
        <v>5379</v>
      </c>
      <c r="E1115" s="20">
        <f t="shared" si="88"/>
        <v>0</v>
      </c>
      <c r="F1115" s="20">
        <v>6345</v>
      </c>
      <c r="G1115" s="24" t="s">
        <v>7570</v>
      </c>
      <c r="H1115" s="20">
        <f t="shared" si="89"/>
        <v>0</v>
      </c>
      <c r="I1115" s="21">
        <v>210</v>
      </c>
      <c r="J1115" s="21">
        <f>X1115</f>
        <v>0</v>
      </c>
    </row>
    <row r="1116" spans="1:10" x14ac:dyDescent="0.3">
      <c r="A1116" s="2" t="s">
        <v>1063</v>
      </c>
      <c r="B1116" s="1" t="s">
        <v>2152</v>
      </c>
      <c r="C1116" s="6" t="s">
        <v>3219</v>
      </c>
      <c r="D1116" s="6" t="s">
        <v>5380</v>
      </c>
      <c r="E1116" s="20">
        <f t="shared" si="88"/>
        <v>0</v>
      </c>
      <c r="F1116" s="20">
        <v>32000</v>
      </c>
      <c r="G1116" s="24" t="s">
        <v>7571</v>
      </c>
      <c r="H1116" s="20">
        <f t="shared" si="89"/>
        <v>0</v>
      </c>
      <c r="I1116" s="21">
        <v>465</v>
      </c>
      <c r="J1116" s="21">
        <f>X1116</f>
        <v>0</v>
      </c>
    </row>
    <row r="1117" spans="1:10" x14ac:dyDescent="0.3">
      <c r="A1117" s="2" t="s">
        <v>1064</v>
      </c>
      <c r="B1117" s="1" t="s">
        <v>2152</v>
      </c>
      <c r="C1117" s="6" t="s">
        <v>3220</v>
      </c>
      <c r="D1117" s="6" t="s">
        <v>5381</v>
      </c>
      <c r="E1117" s="20">
        <f t="shared" si="88"/>
        <v>0</v>
      </c>
      <c r="F1117" s="20">
        <v>250</v>
      </c>
      <c r="G1117" s="24" t="s">
        <v>7572</v>
      </c>
      <c r="H1117" s="20">
        <f t="shared" si="89"/>
        <v>0</v>
      </c>
      <c r="I1117" s="21">
        <v>60</v>
      </c>
      <c r="J1117" s="21">
        <f>X1117</f>
        <v>0</v>
      </c>
    </row>
    <row r="1118" spans="1:10" x14ac:dyDescent="0.3">
      <c r="A1118" s="2" t="s">
        <v>1065</v>
      </c>
      <c r="B1118" s="1" t="s">
        <v>2152</v>
      </c>
      <c r="C1118" s="6" t="s">
        <v>3221</v>
      </c>
      <c r="D1118" s="6" t="s">
        <v>5380</v>
      </c>
      <c r="E1118" s="20">
        <f t="shared" si="88"/>
        <v>0</v>
      </c>
      <c r="F1118" s="20">
        <v>1590</v>
      </c>
      <c r="G1118" s="24" t="s">
        <v>7573</v>
      </c>
      <c r="H1118" s="20">
        <f t="shared" si="89"/>
        <v>0</v>
      </c>
      <c r="I1118" s="21">
        <v>810</v>
      </c>
      <c r="J1118" s="21">
        <f>X1118</f>
        <v>0</v>
      </c>
    </row>
    <row r="1119" spans="1:10" x14ac:dyDescent="0.3">
      <c r="A1119" s="2" t="s">
        <v>1066</v>
      </c>
      <c r="B1119" s="1" t="s">
        <v>2152</v>
      </c>
      <c r="C1119" s="6" t="s">
        <v>3222</v>
      </c>
      <c r="D1119" s="6" t="s">
        <v>5382</v>
      </c>
      <c r="E1119" s="20">
        <f t="shared" si="88"/>
        <v>0</v>
      </c>
      <c r="F1119" s="20"/>
      <c r="G1119" s="24" t="s">
        <v>7574</v>
      </c>
      <c r="H1119" s="20">
        <f t="shared" si="89"/>
        <v>0</v>
      </c>
    </row>
    <row r="1120" spans="1:10" ht="55.2" x14ac:dyDescent="0.3">
      <c r="A1120" s="2" t="s">
        <v>1067</v>
      </c>
      <c r="B1120" s="1" t="s">
        <v>2152</v>
      </c>
      <c r="C1120" s="6" t="s">
        <v>3223</v>
      </c>
      <c r="D1120" s="6" t="s">
        <v>5383</v>
      </c>
      <c r="E1120" s="20">
        <f t="shared" si="88"/>
        <v>0</v>
      </c>
      <c r="F1120" s="20">
        <v>1550</v>
      </c>
      <c r="G1120" s="24" t="s">
        <v>7575</v>
      </c>
      <c r="H1120" s="20">
        <f t="shared" si="89"/>
        <v>0</v>
      </c>
      <c r="I1120" s="21">
        <v>180</v>
      </c>
      <c r="J1120" s="21">
        <f t="shared" ref="J1120:J1132" si="91">X1120</f>
        <v>0</v>
      </c>
    </row>
    <row r="1121" spans="1:10" x14ac:dyDescent="0.3">
      <c r="A1121" s="2" t="s">
        <v>1068</v>
      </c>
      <c r="B1121" s="1" t="s">
        <v>2152</v>
      </c>
      <c r="C1121" s="6" t="s">
        <v>3224</v>
      </c>
      <c r="D1121" s="6" t="s">
        <v>5384</v>
      </c>
      <c r="E1121" s="20">
        <f t="shared" si="88"/>
        <v>0</v>
      </c>
      <c r="F1121" s="20"/>
      <c r="G1121" s="24" t="s">
        <v>7576</v>
      </c>
      <c r="H1121" s="20">
        <f t="shared" si="89"/>
        <v>0</v>
      </c>
      <c r="I1121" s="21">
        <v>72</v>
      </c>
      <c r="J1121" s="21">
        <f t="shared" si="91"/>
        <v>0</v>
      </c>
    </row>
    <row r="1122" spans="1:10" x14ac:dyDescent="0.3">
      <c r="A1122" s="2" t="s">
        <v>1069</v>
      </c>
      <c r="B1122" s="1" t="s">
        <v>2152</v>
      </c>
      <c r="C1122" s="6" t="s">
        <v>3225</v>
      </c>
      <c r="D1122" s="6" t="s">
        <v>5385</v>
      </c>
      <c r="E1122" s="20">
        <f t="shared" si="88"/>
        <v>0</v>
      </c>
      <c r="F1122" s="20">
        <v>1350</v>
      </c>
      <c r="G1122" s="24" t="s">
        <v>7577</v>
      </c>
      <c r="H1122" s="20">
        <f t="shared" si="89"/>
        <v>0</v>
      </c>
      <c r="I1122" s="21">
        <v>18</v>
      </c>
      <c r="J1122" s="21">
        <f t="shared" si="91"/>
        <v>0</v>
      </c>
    </row>
    <row r="1123" spans="1:10" x14ac:dyDescent="0.3">
      <c r="A1123" s="2" t="s">
        <v>1070</v>
      </c>
      <c r="B1123" s="1" t="s">
        <v>2152</v>
      </c>
      <c r="C1123" s="6" t="s">
        <v>3226</v>
      </c>
      <c r="D1123" s="6" t="s">
        <v>5386</v>
      </c>
      <c r="E1123" s="20">
        <f t="shared" si="88"/>
        <v>0</v>
      </c>
      <c r="F1123" s="20">
        <v>25</v>
      </c>
      <c r="G1123" s="24" t="s">
        <v>7578</v>
      </c>
      <c r="H1123" s="20">
        <f t="shared" si="89"/>
        <v>0</v>
      </c>
      <c r="I1123" s="21">
        <v>18</v>
      </c>
      <c r="J1123" s="21">
        <f t="shared" si="91"/>
        <v>0</v>
      </c>
    </row>
    <row r="1124" spans="1:10" x14ac:dyDescent="0.3">
      <c r="A1124" s="2" t="s">
        <v>1071</v>
      </c>
      <c r="B1124" s="1" t="s">
        <v>2152</v>
      </c>
      <c r="C1124" s="6" t="s">
        <v>3227</v>
      </c>
      <c r="D1124" s="6" t="s">
        <v>5387</v>
      </c>
      <c r="E1124" s="20">
        <f t="shared" si="88"/>
        <v>0</v>
      </c>
      <c r="F1124" s="20">
        <v>25</v>
      </c>
      <c r="G1124" s="24" t="s">
        <v>7579</v>
      </c>
      <c r="H1124" s="20">
        <f t="shared" si="89"/>
        <v>0</v>
      </c>
      <c r="I1124" s="21">
        <v>18</v>
      </c>
      <c r="J1124" s="21">
        <f t="shared" si="91"/>
        <v>0</v>
      </c>
    </row>
    <row r="1125" spans="1:10" x14ac:dyDescent="0.3">
      <c r="A1125" s="2" t="s">
        <v>1072</v>
      </c>
      <c r="B1125" s="1" t="s">
        <v>2152</v>
      </c>
      <c r="C1125" s="6" t="s">
        <v>3228</v>
      </c>
      <c r="D1125" s="6" t="s">
        <v>5388</v>
      </c>
      <c r="E1125" s="20">
        <f t="shared" si="88"/>
        <v>0</v>
      </c>
      <c r="F1125" s="20">
        <v>25</v>
      </c>
      <c r="G1125" s="24" t="s">
        <v>7580</v>
      </c>
      <c r="H1125" s="20">
        <f t="shared" si="89"/>
        <v>0</v>
      </c>
      <c r="I1125" s="21">
        <v>18</v>
      </c>
      <c r="J1125" s="21">
        <f t="shared" si="91"/>
        <v>0</v>
      </c>
    </row>
    <row r="1126" spans="1:10" x14ac:dyDescent="0.3">
      <c r="A1126" s="2" t="s">
        <v>1073</v>
      </c>
      <c r="B1126" s="1" t="s">
        <v>2152</v>
      </c>
      <c r="C1126" s="6" t="s">
        <v>3229</v>
      </c>
      <c r="D1126" s="6" t="s">
        <v>5389</v>
      </c>
      <c r="E1126" s="20">
        <f t="shared" si="88"/>
        <v>0</v>
      </c>
      <c r="F1126" s="20"/>
      <c r="G1126" s="24" t="s">
        <v>7581</v>
      </c>
      <c r="H1126" s="20">
        <f t="shared" si="89"/>
        <v>0</v>
      </c>
      <c r="I1126" s="21">
        <v>4.8</v>
      </c>
      <c r="J1126" s="21">
        <f t="shared" si="91"/>
        <v>0</v>
      </c>
    </row>
    <row r="1127" spans="1:10" x14ac:dyDescent="0.3">
      <c r="A1127" s="2" t="s">
        <v>1074</v>
      </c>
      <c r="B1127" s="1" t="s">
        <v>2152</v>
      </c>
      <c r="C1127" s="6" t="s">
        <v>3230</v>
      </c>
      <c r="D1127" s="6" t="s">
        <v>5390</v>
      </c>
      <c r="E1127" s="20">
        <f t="shared" si="88"/>
        <v>0</v>
      </c>
      <c r="F1127" s="20"/>
      <c r="G1127" s="24" t="s">
        <v>7582</v>
      </c>
      <c r="H1127" s="20">
        <f t="shared" si="89"/>
        <v>0</v>
      </c>
      <c r="I1127" s="21">
        <v>17.399999999999999</v>
      </c>
      <c r="J1127" s="21">
        <f t="shared" si="91"/>
        <v>0</v>
      </c>
    </row>
    <row r="1128" spans="1:10" x14ac:dyDescent="0.3">
      <c r="A1128" s="2" t="s">
        <v>709</v>
      </c>
      <c r="B1128" s="1" t="s">
        <v>2152</v>
      </c>
      <c r="C1128" s="6" t="s">
        <v>2856</v>
      </c>
      <c r="D1128" s="6" t="s">
        <v>5024</v>
      </c>
      <c r="E1128" s="20">
        <f t="shared" si="88"/>
        <v>0</v>
      </c>
      <c r="F1128" s="20">
        <v>128</v>
      </c>
      <c r="G1128" s="24" t="s">
        <v>7583</v>
      </c>
      <c r="H1128" s="20">
        <f t="shared" si="89"/>
        <v>0</v>
      </c>
      <c r="I1128" s="21">
        <v>9</v>
      </c>
      <c r="J1128" s="21">
        <f t="shared" si="91"/>
        <v>0</v>
      </c>
    </row>
    <row r="1129" spans="1:10" x14ac:dyDescent="0.3">
      <c r="A1129" s="2" t="s">
        <v>678</v>
      </c>
      <c r="B1129" s="1" t="s">
        <v>2152</v>
      </c>
      <c r="C1129" s="6" t="s">
        <v>2823</v>
      </c>
      <c r="D1129" s="6" t="s">
        <v>4991</v>
      </c>
      <c r="E1129" s="20">
        <f t="shared" si="88"/>
        <v>0</v>
      </c>
      <c r="F1129" s="20">
        <v>40</v>
      </c>
      <c r="G1129" s="24" t="s">
        <v>7584</v>
      </c>
      <c r="H1129" s="20">
        <f t="shared" si="89"/>
        <v>0</v>
      </c>
      <c r="I1129" s="21">
        <v>6.75</v>
      </c>
      <c r="J1129" s="21">
        <f t="shared" si="91"/>
        <v>0</v>
      </c>
    </row>
    <row r="1130" spans="1:10" ht="55.2" x14ac:dyDescent="0.3">
      <c r="A1130" s="2" t="s">
        <v>1075</v>
      </c>
      <c r="B1130" s="1" t="s">
        <v>2152</v>
      </c>
      <c r="C1130" s="6" t="s">
        <v>3231</v>
      </c>
      <c r="D1130" s="6" t="s">
        <v>5391</v>
      </c>
      <c r="E1130" s="20">
        <f t="shared" si="88"/>
        <v>0</v>
      </c>
      <c r="F1130" s="20"/>
      <c r="G1130" s="24" t="s">
        <v>7585</v>
      </c>
      <c r="H1130" s="20">
        <f t="shared" si="89"/>
        <v>0</v>
      </c>
      <c r="I1130" s="21">
        <v>180</v>
      </c>
      <c r="J1130" s="21">
        <f t="shared" si="91"/>
        <v>0</v>
      </c>
    </row>
    <row r="1131" spans="1:10" x14ac:dyDescent="0.3">
      <c r="A1131" s="2" t="s">
        <v>1076</v>
      </c>
      <c r="B1131" s="1" t="s">
        <v>2152</v>
      </c>
      <c r="C1131" s="6" t="s">
        <v>3232</v>
      </c>
      <c r="D1131" s="6" t="s">
        <v>5392</v>
      </c>
      <c r="E1131" s="20">
        <f t="shared" si="88"/>
        <v>0</v>
      </c>
      <c r="F1131" s="20"/>
      <c r="G1131" s="24" t="s">
        <v>7586</v>
      </c>
      <c r="H1131" s="20">
        <f t="shared" si="89"/>
        <v>0</v>
      </c>
      <c r="I1131" s="21">
        <v>18</v>
      </c>
      <c r="J1131" s="21">
        <f t="shared" si="91"/>
        <v>0</v>
      </c>
    </row>
    <row r="1132" spans="1:10" x14ac:dyDescent="0.3">
      <c r="A1132" s="2" t="s">
        <v>1077</v>
      </c>
      <c r="B1132" s="1" t="s">
        <v>2152</v>
      </c>
      <c r="C1132" s="6" t="s">
        <v>3233</v>
      </c>
      <c r="D1132" s="6" t="s">
        <v>5393</v>
      </c>
      <c r="E1132" s="20">
        <f t="shared" si="88"/>
        <v>0</v>
      </c>
      <c r="F1132" s="20"/>
      <c r="G1132" s="24" t="s">
        <v>7587</v>
      </c>
      <c r="H1132" s="20">
        <f t="shared" si="89"/>
        <v>0</v>
      </c>
      <c r="I1132" s="21">
        <v>18</v>
      </c>
      <c r="J1132" s="21">
        <f t="shared" si="91"/>
        <v>0</v>
      </c>
    </row>
    <row r="1133" spans="1:10" x14ac:dyDescent="0.3">
      <c r="A1133" s="2" t="s">
        <v>1078</v>
      </c>
      <c r="B1133" s="1" t="s">
        <v>2152</v>
      </c>
      <c r="C1133" s="6" t="s">
        <v>3234</v>
      </c>
      <c r="D1133" s="6" t="s">
        <v>5394</v>
      </c>
      <c r="E1133" s="20">
        <f t="shared" si="88"/>
        <v>0</v>
      </c>
      <c r="F1133" s="20"/>
      <c r="G1133" s="24" t="s">
        <v>7588</v>
      </c>
      <c r="H1133" s="20">
        <f t="shared" si="89"/>
        <v>0</v>
      </c>
      <c r="I1133" s="21">
        <v>6750</v>
      </c>
    </row>
    <row r="1134" spans="1:10" ht="41.4" x14ac:dyDescent="0.3">
      <c r="A1134" s="2" t="s">
        <v>1079</v>
      </c>
      <c r="B1134" s="1" t="s">
        <v>2152</v>
      </c>
      <c r="C1134" s="6" t="s">
        <v>3235</v>
      </c>
      <c r="D1134" s="6" t="s">
        <v>5395</v>
      </c>
      <c r="E1134" s="20">
        <f t="shared" si="88"/>
        <v>0</v>
      </c>
      <c r="F1134" s="20">
        <v>1590</v>
      </c>
      <c r="G1134" s="24" t="s">
        <v>7589</v>
      </c>
      <c r="H1134" s="20">
        <f t="shared" si="89"/>
        <v>0</v>
      </c>
      <c r="I1134" s="21">
        <v>120</v>
      </c>
      <c r="J1134" s="21">
        <f t="shared" ref="J1134:J1164" si="92">X1134</f>
        <v>0</v>
      </c>
    </row>
    <row r="1135" spans="1:10" ht="55.2" x14ac:dyDescent="0.3">
      <c r="A1135" s="2" t="s">
        <v>1080</v>
      </c>
      <c r="B1135" s="1" t="s">
        <v>2152</v>
      </c>
      <c r="C1135" s="6" t="s">
        <v>3236</v>
      </c>
      <c r="D1135" s="6" t="s">
        <v>5396</v>
      </c>
      <c r="E1135" s="20">
        <f t="shared" si="88"/>
        <v>0</v>
      </c>
      <c r="F1135" s="20">
        <v>170</v>
      </c>
      <c r="G1135" s="24" t="s">
        <v>7590</v>
      </c>
      <c r="H1135" s="20">
        <f t="shared" si="89"/>
        <v>0</v>
      </c>
      <c r="I1135" s="21">
        <v>120</v>
      </c>
      <c r="J1135" s="21">
        <f t="shared" si="92"/>
        <v>0</v>
      </c>
    </row>
    <row r="1136" spans="1:10" ht="55.2" x14ac:dyDescent="0.3">
      <c r="A1136" s="2" t="s">
        <v>1081</v>
      </c>
      <c r="B1136" s="1" t="s">
        <v>2152</v>
      </c>
      <c r="C1136" s="6" t="s">
        <v>3237</v>
      </c>
      <c r="D1136" s="6" t="s">
        <v>5397</v>
      </c>
      <c r="E1136" s="20">
        <f t="shared" si="88"/>
        <v>0</v>
      </c>
      <c r="F1136" s="20">
        <v>700</v>
      </c>
      <c r="G1136" s="24" t="s">
        <v>7591</v>
      </c>
      <c r="H1136" s="20">
        <f t="shared" si="89"/>
        <v>0</v>
      </c>
      <c r="I1136" s="21">
        <v>525</v>
      </c>
      <c r="J1136" s="21">
        <f t="shared" si="92"/>
        <v>0</v>
      </c>
    </row>
    <row r="1137" spans="1:10" x14ac:dyDescent="0.3">
      <c r="A1137" s="2" t="s">
        <v>1082</v>
      </c>
      <c r="B1137" s="1" t="s">
        <v>2152</v>
      </c>
      <c r="C1137" s="6" t="s">
        <v>3238</v>
      </c>
      <c r="D1137" s="6" t="s">
        <v>5398</v>
      </c>
      <c r="E1137" s="20">
        <f t="shared" si="88"/>
        <v>0</v>
      </c>
      <c r="F1137" s="20"/>
      <c r="G1137" s="24" t="s">
        <v>7592</v>
      </c>
      <c r="H1137" s="20">
        <f t="shared" si="89"/>
        <v>0</v>
      </c>
      <c r="I1137" s="21">
        <v>12</v>
      </c>
      <c r="J1137" s="21">
        <f t="shared" si="92"/>
        <v>0</v>
      </c>
    </row>
    <row r="1138" spans="1:10" x14ac:dyDescent="0.3">
      <c r="A1138" s="2" t="s">
        <v>1083</v>
      </c>
      <c r="B1138" s="1" t="s">
        <v>2152</v>
      </c>
      <c r="C1138" s="6" t="s">
        <v>3239</v>
      </c>
      <c r="D1138" s="6" t="s">
        <v>5399</v>
      </c>
      <c r="E1138" s="20">
        <f t="shared" si="88"/>
        <v>0</v>
      </c>
      <c r="F1138" s="20"/>
      <c r="G1138" s="24" t="s">
        <v>7593</v>
      </c>
      <c r="H1138" s="20">
        <f t="shared" si="89"/>
        <v>0</v>
      </c>
      <c r="I1138" s="21">
        <v>12</v>
      </c>
      <c r="J1138" s="21">
        <f t="shared" si="92"/>
        <v>0</v>
      </c>
    </row>
    <row r="1139" spans="1:10" x14ac:dyDescent="0.3">
      <c r="A1139" s="2" t="s">
        <v>1084</v>
      </c>
      <c r="B1139" s="1" t="s">
        <v>2152</v>
      </c>
      <c r="C1139" s="6" t="s">
        <v>3240</v>
      </c>
      <c r="D1139" s="6" t="s">
        <v>5400</v>
      </c>
      <c r="E1139" s="20">
        <f t="shared" si="88"/>
        <v>0</v>
      </c>
      <c r="F1139" s="20"/>
      <c r="G1139" s="24" t="s">
        <v>7594</v>
      </c>
      <c r="H1139" s="20">
        <f t="shared" si="89"/>
        <v>0</v>
      </c>
      <c r="I1139" s="21">
        <v>9</v>
      </c>
      <c r="J1139" s="21">
        <f t="shared" si="92"/>
        <v>0</v>
      </c>
    </row>
    <row r="1140" spans="1:10" x14ac:dyDescent="0.3">
      <c r="A1140" s="2" t="s">
        <v>1085</v>
      </c>
      <c r="B1140" s="1" t="s">
        <v>2152</v>
      </c>
      <c r="C1140" s="6" t="s">
        <v>3241</v>
      </c>
      <c r="D1140" s="6" t="s">
        <v>5401</v>
      </c>
      <c r="E1140" s="20">
        <f t="shared" si="88"/>
        <v>0</v>
      </c>
      <c r="F1140" s="20"/>
      <c r="G1140" s="24" t="s">
        <v>7595</v>
      </c>
      <c r="H1140" s="20">
        <f t="shared" si="89"/>
        <v>0</v>
      </c>
      <c r="I1140" s="21">
        <v>16.8</v>
      </c>
      <c r="J1140" s="21">
        <f t="shared" si="92"/>
        <v>0</v>
      </c>
    </row>
    <row r="1141" spans="1:10" x14ac:dyDescent="0.3">
      <c r="A1141" s="2" t="s">
        <v>489</v>
      </c>
      <c r="B1141" s="1" t="s">
        <v>2152</v>
      </c>
      <c r="C1141" s="6" t="s">
        <v>2635</v>
      </c>
      <c r="D1141" s="6" t="s">
        <v>4803</v>
      </c>
      <c r="E1141" s="20">
        <f t="shared" si="88"/>
        <v>0</v>
      </c>
      <c r="F1141" s="20">
        <v>8</v>
      </c>
      <c r="G1141" s="24" t="s">
        <v>7596</v>
      </c>
      <c r="H1141" s="20">
        <f t="shared" si="89"/>
        <v>0</v>
      </c>
      <c r="I1141" s="21">
        <v>7.2</v>
      </c>
      <c r="J1141" s="21">
        <f t="shared" si="92"/>
        <v>0</v>
      </c>
    </row>
    <row r="1142" spans="1:10" ht="96.6" x14ac:dyDescent="0.3">
      <c r="A1142" s="2" t="s">
        <v>1086</v>
      </c>
      <c r="B1142" s="1" t="s">
        <v>2152</v>
      </c>
      <c r="C1142" s="6" t="s">
        <v>3242</v>
      </c>
      <c r="D1142" s="6" t="s">
        <v>5402</v>
      </c>
      <c r="E1142" s="20">
        <f t="shared" si="88"/>
        <v>0</v>
      </c>
      <c r="F1142" s="20">
        <v>750</v>
      </c>
      <c r="G1142" s="24" t="s">
        <v>7597</v>
      </c>
      <c r="H1142" s="20">
        <f t="shared" si="89"/>
        <v>0</v>
      </c>
      <c r="I1142" s="21">
        <v>930</v>
      </c>
      <c r="J1142" s="21">
        <f t="shared" si="92"/>
        <v>0</v>
      </c>
    </row>
    <row r="1143" spans="1:10" ht="55.2" x14ac:dyDescent="0.3">
      <c r="A1143" s="2" t="s">
        <v>1087</v>
      </c>
      <c r="B1143" s="1" t="s">
        <v>2152</v>
      </c>
      <c r="C1143" s="6" t="s">
        <v>3243</v>
      </c>
      <c r="D1143" s="6" t="s">
        <v>5403</v>
      </c>
      <c r="E1143" s="20">
        <f t="shared" si="88"/>
        <v>0</v>
      </c>
      <c r="F1143" s="20">
        <f>'[71]MANUEL ÇİMENTO YAYILMA TABLASI'!$H$12</f>
        <v>10074.9</v>
      </c>
      <c r="G1143" s="24" t="s">
        <v>7598</v>
      </c>
      <c r="H1143" s="20">
        <f t="shared" si="89"/>
        <v>0</v>
      </c>
      <c r="I1143" s="21">
        <v>585</v>
      </c>
      <c r="J1143" s="21">
        <f t="shared" si="92"/>
        <v>0</v>
      </c>
    </row>
    <row r="1144" spans="1:10" ht="27.6" x14ac:dyDescent="0.3">
      <c r="A1144" s="2" t="s">
        <v>1088</v>
      </c>
      <c r="B1144" s="1" t="s">
        <v>2152</v>
      </c>
      <c r="C1144" s="6" t="s">
        <v>3244</v>
      </c>
      <c r="D1144" s="6" t="s">
        <v>5404</v>
      </c>
      <c r="E1144" s="20">
        <f t="shared" si="88"/>
        <v>0</v>
      </c>
      <c r="F1144" s="20">
        <f>'[72]KALIP EN'!$H$4</f>
        <v>2250</v>
      </c>
      <c r="G1144" s="24" t="s">
        <v>7599</v>
      </c>
      <c r="H1144" s="20">
        <f t="shared" si="89"/>
        <v>0</v>
      </c>
      <c r="I1144" s="21">
        <v>177</v>
      </c>
      <c r="J1144" s="21">
        <f t="shared" si="92"/>
        <v>0</v>
      </c>
    </row>
    <row r="1145" spans="1:10" x14ac:dyDescent="0.3">
      <c r="A1145" s="2" t="s">
        <v>1089</v>
      </c>
      <c r="B1145" s="1" t="s">
        <v>2152</v>
      </c>
      <c r="C1145" s="6" t="s">
        <v>3245</v>
      </c>
      <c r="D1145" s="6" t="s">
        <v>5405</v>
      </c>
      <c r="E1145" s="20">
        <f t="shared" si="88"/>
        <v>0</v>
      </c>
      <c r="F1145" s="20"/>
      <c r="G1145" s="24" t="s">
        <v>7600</v>
      </c>
      <c r="H1145" s="20">
        <f t="shared" si="89"/>
        <v>0</v>
      </c>
      <c r="I1145" s="21">
        <v>24</v>
      </c>
      <c r="J1145" s="21">
        <f t="shared" si="92"/>
        <v>0</v>
      </c>
    </row>
    <row r="1146" spans="1:10" ht="55.2" x14ac:dyDescent="0.3">
      <c r="A1146" s="2" t="s">
        <v>1090</v>
      </c>
      <c r="B1146" s="1" t="s">
        <v>2152</v>
      </c>
      <c r="C1146" s="6" t="s">
        <v>3246</v>
      </c>
      <c r="D1146" s="6" t="s">
        <v>5406</v>
      </c>
      <c r="E1146" s="20">
        <f t="shared" si="88"/>
        <v>0</v>
      </c>
      <c r="F1146" s="20">
        <f>'[72]MANUEL ÇİMENTO YAYILMA TABLASI'!$H$12</f>
        <v>10074.9</v>
      </c>
      <c r="G1146" s="24" t="s">
        <v>7601</v>
      </c>
      <c r="H1146" s="20">
        <f t="shared" si="89"/>
        <v>0</v>
      </c>
      <c r="I1146" s="21">
        <v>585</v>
      </c>
      <c r="J1146" s="21">
        <f t="shared" si="92"/>
        <v>0</v>
      </c>
    </row>
    <row r="1147" spans="1:10" ht="27.6" x14ac:dyDescent="0.3">
      <c r="A1147" s="2" t="s">
        <v>1091</v>
      </c>
      <c r="B1147" s="1" t="s">
        <v>2152</v>
      </c>
      <c r="C1147" s="6" t="s">
        <v>3247</v>
      </c>
      <c r="D1147" s="6" t="s">
        <v>5407</v>
      </c>
      <c r="E1147" s="20">
        <f t="shared" si="88"/>
        <v>0</v>
      </c>
      <c r="F1147" s="20">
        <f>'[72]KALIP ASTM'!$H$4</f>
        <v>2250</v>
      </c>
      <c r="G1147" s="24" t="s">
        <v>7602</v>
      </c>
      <c r="H1147" s="20">
        <f t="shared" si="89"/>
        <v>0</v>
      </c>
      <c r="I1147" s="21">
        <v>177</v>
      </c>
      <c r="J1147" s="21">
        <f t="shared" si="92"/>
        <v>0</v>
      </c>
    </row>
    <row r="1148" spans="1:10" x14ac:dyDescent="0.3">
      <c r="A1148" s="2" t="s">
        <v>1092</v>
      </c>
      <c r="B1148" s="1" t="s">
        <v>2152</v>
      </c>
      <c r="C1148" s="6" t="s">
        <v>3248</v>
      </c>
      <c r="D1148" s="6" t="s">
        <v>5408</v>
      </c>
      <c r="E1148" s="20">
        <f t="shared" si="88"/>
        <v>0</v>
      </c>
      <c r="F1148" s="20"/>
      <c r="G1148" s="24" t="s">
        <v>7603</v>
      </c>
      <c r="H1148" s="20">
        <f t="shared" si="89"/>
        <v>0</v>
      </c>
      <c r="I1148" s="21">
        <v>24</v>
      </c>
      <c r="J1148" s="21">
        <f t="shared" si="92"/>
        <v>0</v>
      </c>
    </row>
    <row r="1149" spans="1:10" ht="69" x14ac:dyDescent="0.3">
      <c r="A1149" s="2" t="s">
        <v>1093</v>
      </c>
      <c r="B1149" s="1" t="s">
        <v>2152</v>
      </c>
      <c r="C1149" s="6" t="s">
        <v>3249</v>
      </c>
      <c r="D1149" s="6" t="s">
        <v>5409</v>
      </c>
      <c r="E1149" s="20">
        <f t="shared" si="88"/>
        <v>0</v>
      </c>
      <c r="F1149" s="20">
        <f>'[72]OTOMATİK ÇİMENTO YAYILMA TABLAS'!$H$26</f>
        <v>21421.5</v>
      </c>
      <c r="G1149" s="24" t="s">
        <v>7604</v>
      </c>
      <c r="H1149" s="20">
        <f t="shared" si="89"/>
        <v>0</v>
      </c>
      <c r="I1149" s="21">
        <v>1605</v>
      </c>
      <c r="J1149" s="21">
        <f t="shared" si="92"/>
        <v>0</v>
      </c>
    </row>
    <row r="1150" spans="1:10" ht="69" x14ac:dyDescent="0.3">
      <c r="A1150" s="2" t="s">
        <v>1094</v>
      </c>
      <c r="B1150" s="1" t="s">
        <v>2152</v>
      </c>
      <c r="C1150" s="6" t="s">
        <v>3250</v>
      </c>
      <c r="D1150" s="6" t="s">
        <v>5410</v>
      </c>
      <c r="E1150" s="20">
        <f t="shared" si="88"/>
        <v>0</v>
      </c>
      <c r="F1150" s="20">
        <f>'[72]OTOMATİK ÇİMENTO YAYILMA TABLAS'!$H$26</f>
        <v>21421.5</v>
      </c>
      <c r="G1150" s="24" t="s">
        <v>7605</v>
      </c>
      <c r="H1150" s="20">
        <f t="shared" si="89"/>
        <v>0</v>
      </c>
      <c r="I1150" s="21">
        <v>1605</v>
      </c>
      <c r="J1150" s="21">
        <f t="shared" si="92"/>
        <v>0</v>
      </c>
    </row>
    <row r="1151" spans="1:10" ht="69" x14ac:dyDescent="0.3">
      <c r="A1151" s="2" t="s">
        <v>1095</v>
      </c>
      <c r="B1151" s="1" t="s">
        <v>2152</v>
      </c>
      <c r="C1151" s="6" t="s">
        <v>3251</v>
      </c>
      <c r="D1151" s="6" t="s">
        <v>5411</v>
      </c>
      <c r="E1151" s="20">
        <f t="shared" si="88"/>
        <v>0</v>
      </c>
      <c r="F1151" s="20"/>
      <c r="G1151" s="24" t="s">
        <v>7606</v>
      </c>
      <c r="H1151" s="20">
        <f t="shared" si="89"/>
        <v>0</v>
      </c>
      <c r="I1151" s="21">
        <f>W1151</f>
        <v>0</v>
      </c>
      <c r="J1151" s="21">
        <f t="shared" si="92"/>
        <v>0</v>
      </c>
    </row>
    <row r="1152" spans="1:10" x14ac:dyDescent="0.3">
      <c r="A1152" s="2" t="s">
        <v>1096</v>
      </c>
      <c r="B1152" s="1" t="s">
        <v>2152</v>
      </c>
      <c r="C1152" s="6" t="s">
        <v>3252</v>
      </c>
      <c r="D1152" s="6" t="s">
        <v>5412</v>
      </c>
      <c r="E1152" s="20">
        <f t="shared" si="88"/>
        <v>0</v>
      </c>
      <c r="F1152" s="20"/>
      <c r="G1152" s="24" t="s">
        <v>7607</v>
      </c>
      <c r="H1152" s="20">
        <f t="shared" si="89"/>
        <v>0</v>
      </c>
      <c r="I1152" s="21">
        <f>W1152</f>
        <v>0</v>
      </c>
      <c r="J1152" s="21">
        <f t="shared" si="92"/>
        <v>0</v>
      </c>
    </row>
    <row r="1153" spans="1:10" x14ac:dyDescent="0.3">
      <c r="A1153" s="2" t="s">
        <v>1097</v>
      </c>
      <c r="B1153" s="1" t="s">
        <v>2152</v>
      </c>
      <c r="C1153" s="6" t="s">
        <v>3013</v>
      </c>
      <c r="D1153" s="6" t="s">
        <v>5413</v>
      </c>
      <c r="E1153" s="20">
        <f t="shared" si="88"/>
        <v>0</v>
      </c>
      <c r="F1153" s="20"/>
      <c r="G1153" s="24" t="s">
        <v>7608</v>
      </c>
      <c r="H1153" s="20">
        <f t="shared" si="89"/>
        <v>0</v>
      </c>
      <c r="I1153" s="21">
        <f>W1153</f>
        <v>0</v>
      </c>
      <c r="J1153" s="21">
        <f t="shared" si="92"/>
        <v>0</v>
      </c>
    </row>
    <row r="1154" spans="1:10" ht="55.2" x14ac:dyDescent="0.3">
      <c r="A1154" s="2" t="s">
        <v>1098</v>
      </c>
      <c r="B1154" s="1" t="s">
        <v>2152</v>
      </c>
      <c r="C1154" s="6" t="s">
        <v>3253</v>
      </c>
      <c r="D1154" s="6" t="s">
        <v>5414</v>
      </c>
      <c r="E1154" s="20">
        <f t="shared" si="88"/>
        <v>0</v>
      </c>
      <c r="F1154" s="20">
        <v>48000</v>
      </c>
      <c r="G1154" s="24" t="s">
        <v>7609</v>
      </c>
      <c r="H1154" s="20">
        <f t="shared" si="89"/>
        <v>0</v>
      </c>
      <c r="I1154" s="21">
        <v>1680</v>
      </c>
      <c r="J1154" s="21">
        <f t="shared" si="92"/>
        <v>0</v>
      </c>
    </row>
    <row r="1155" spans="1:10" ht="82.8" x14ac:dyDescent="0.3">
      <c r="A1155" s="2" t="s">
        <v>1099</v>
      </c>
      <c r="B1155" s="1" t="s">
        <v>2152</v>
      </c>
      <c r="C1155" s="6" t="s">
        <v>3254</v>
      </c>
      <c r="D1155" s="6" t="s">
        <v>5415</v>
      </c>
      <c r="E1155" s="20">
        <f t="shared" si="88"/>
        <v>0</v>
      </c>
      <c r="F1155" s="20">
        <v>50000</v>
      </c>
      <c r="G1155" s="24" t="s">
        <v>7610</v>
      </c>
      <c r="H1155" s="20">
        <f t="shared" si="89"/>
        <v>0</v>
      </c>
      <c r="I1155" s="21">
        <v>3500</v>
      </c>
      <c r="J1155" s="21">
        <f t="shared" si="92"/>
        <v>0</v>
      </c>
    </row>
    <row r="1156" spans="1:10" x14ac:dyDescent="0.3">
      <c r="A1156" s="2" t="s">
        <v>1100</v>
      </c>
      <c r="B1156" s="1" t="s">
        <v>2152</v>
      </c>
      <c r="C1156" s="6" t="s">
        <v>3255</v>
      </c>
      <c r="D1156" s="6" t="s">
        <v>5416</v>
      </c>
      <c r="E1156" s="20">
        <f t="shared" si="88"/>
        <v>0</v>
      </c>
      <c r="F1156" s="20">
        <v>450</v>
      </c>
      <c r="G1156" s="24" t="s">
        <v>7611</v>
      </c>
      <c r="H1156" s="20">
        <f t="shared" si="89"/>
        <v>0</v>
      </c>
      <c r="I1156" s="21">
        <v>160</v>
      </c>
      <c r="J1156" s="21">
        <f t="shared" si="92"/>
        <v>0</v>
      </c>
    </row>
    <row r="1157" spans="1:10" x14ac:dyDescent="0.3">
      <c r="A1157" s="2" t="s">
        <v>1101</v>
      </c>
      <c r="B1157" s="1" t="s">
        <v>2152</v>
      </c>
      <c r="C1157" s="6" t="s">
        <v>3256</v>
      </c>
      <c r="D1157" s="6" t="s">
        <v>5417</v>
      </c>
      <c r="E1157" s="20">
        <f t="shared" si="88"/>
        <v>0</v>
      </c>
      <c r="F1157" s="20">
        <v>300</v>
      </c>
      <c r="G1157" s="24" t="s">
        <v>7612</v>
      </c>
      <c r="H1157" s="20">
        <f t="shared" si="89"/>
        <v>0</v>
      </c>
      <c r="I1157" s="21">
        <v>110</v>
      </c>
      <c r="J1157" s="21">
        <f t="shared" si="92"/>
        <v>0</v>
      </c>
    </row>
    <row r="1158" spans="1:10" x14ac:dyDescent="0.3">
      <c r="A1158" s="2" t="s">
        <v>1102</v>
      </c>
      <c r="B1158" s="1" t="s">
        <v>2152</v>
      </c>
      <c r="C1158" s="6" t="s">
        <v>3257</v>
      </c>
      <c r="D1158" s="6" t="s">
        <v>5357</v>
      </c>
      <c r="E1158" s="20">
        <f t="shared" si="88"/>
        <v>0</v>
      </c>
      <c r="F1158" s="20">
        <f>'[70]Üç Gözlü 40x40x160'!$L$2</f>
        <v>3543.1200000000003</v>
      </c>
      <c r="G1158" s="24" t="s">
        <v>7613</v>
      </c>
      <c r="H1158" s="20">
        <f t="shared" si="89"/>
        <v>0</v>
      </c>
      <c r="I1158" s="21">
        <v>132</v>
      </c>
      <c r="J1158" s="21">
        <f t="shared" si="92"/>
        <v>0</v>
      </c>
    </row>
    <row r="1159" spans="1:10" ht="27.6" x14ac:dyDescent="0.3">
      <c r="A1159" s="2" t="s">
        <v>1103</v>
      </c>
      <c r="B1159" s="1" t="s">
        <v>2152</v>
      </c>
      <c r="C1159" s="6" t="s">
        <v>3258</v>
      </c>
      <c r="D1159" s="6" t="s">
        <v>5418</v>
      </c>
      <c r="E1159" s="20">
        <f t="shared" si="88"/>
        <v>0</v>
      </c>
      <c r="F1159" s="20"/>
      <c r="G1159" s="24" t="s">
        <v>7614</v>
      </c>
      <c r="H1159" s="20">
        <f t="shared" si="89"/>
        <v>0</v>
      </c>
      <c r="I1159" s="21">
        <v>57</v>
      </c>
      <c r="J1159" s="21">
        <f t="shared" si="92"/>
        <v>0</v>
      </c>
    </row>
    <row r="1160" spans="1:10" x14ac:dyDescent="0.3">
      <c r="A1160" s="2" t="s">
        <v>1104</v>
      </c>
      <c r="B1160" s="1" t="s">
        <v>2152</v>
      </c>
      <c r="C1160" s="6" t="s">
        <v>3259</v>
      </c>
      <c r="D1160" s="6" t="s">
        <v>5419</v>
      </c>
      <c r="E1160" s="20">
        <f t="shared" si="88"/>
        <v>0</v>
      </c>
      <c r="F1160" s="20">
        <f>'[73]50X50X50'!$H$11</f>
        <v>3358.3999999999996</v>
      </c>
      <c r="G1160" s="24" t="s">
        <v>7615</v>
      </c>
      <c r="H1160" s="20">
        <f t="shared" si="89"/>
        <v>0</v>
      </c>
      <c r="I1160" s="21">
        <v>129</v>
      </c>
      <c r="J1160" s="21">
        <f t="shared" si="92"/>
        <v>0</v>
      </c>
    </row>
    <row r="1161" spans="1:10" x14ac:dyDescent="0.3">
      <c r="A1161" s="2" t="s">
        <v>1105</v>
      </c>
      <c r="B1161" s="1" t="s">
        <v>2152</v>
      </c>
      <c r="C1161" s="6" t="s">
        <v>3260</v>
      </c>
      <c r="D1161" s="6" t="s">
        <v>5420</v>
      </c>
      <c r="E1161" s="20">
        <f t="shared" si="88"/>
        <v>0</v>
      </c>
      <c r="F1161" s="20">
        <f>'[74]70,7 KALIP'!$L$2</f>
        <v>1776.8</v>
      </c>
      <c r="G1161" s="24" t="s">
        <v>7616</v>
      </c>
      <c r="H1161" s="20">
        <f t="shared" si="89"/>
        <v>0</v>
      </c>
      <c r="I1161" s="21">
        <v>84</v>
      </c>
      <c r="J1161" s="21">
        <f t="shared" si="92"/>
        <v>0</v>
      </c>
    </row>
    <row r="1162" spans="1:10" x14ac:dyDescent="0.3">
      <c r="A1162" s="2" t="s">
        <v>576</v>
      </c>
      <c r="B1162" s="1" t="s">
        <v>2152</v>
      </c>
      <c r="C1162" s="6" t="s">
        <v>2723</v>
      </c>
      <c r="D1162" s="6" t="s">
        <v>5421</v>
      </c>
      <c r="E1162" s="20">
        <f t="shared" si="88"/>
        <v>0</v>
      </c>
      <c r="F1162" s="20"/>
      <c r="G1162" s="24" t="s">
        <v>7617</v>
      </c>
      <c r="H1162" s="20">
        <f t="shared" si="89"/>
        <v>0</v>
      </c>
      <c r="I1162" s="21">
        <v>243</v>
      </c>
      <c r="J1162" s="21">
        <f t="shared" si="92"/>
        <v>0</v>
      </c>
    </row>
    <row r="1163" spans="1:10" x14ac:dyDescent="0.3">
      <c r="A1163" s="2" t="s">
        <v>577</v>
      </c>
      <c r="B1163" s="1" t="s">
        <v>2152</v>
      </c>
      <c r="C1163" s="6" t="s">
        <v>2709</v>
      </c>
      <c r="D1163" s="6" t="s">
        <v>4876</v>
      </c>
      <c r="E1163" s="20">
        <f t="shared" ref="E1163:E1224" si="93">H1163*1.8*1.4</f>
        <v>0</v>
      </c>
      <c r="F1163" s="20"/>
      <c r="G1163" s="24" t="s">
        <v>7618</v>
      </c>
      <c r="H1163" s="20">
        <f t="shared" ref="H1163:H1224" si="94">K1163*1.8*1.4</f>
        <v>0</v>
      </c>
      <c r="I1163" s="21">
        <v>30</v>
      </c>
      <c r="J1163" s="21">
        <f t="shared" si="92"/>
        <v>0</v>
      </c>
    </row>
    <row r="1164" spans="1:10" x14ac:dyDescent="0.3">
      <c r="A1164" s="2" t="s">
        <v>578</v>
      </c>
      <c r="B1164" s="1" t="s">
        <v>2152</v>
      </c>
      <c r="C1164" s="6" t="s">
        <v>2724</v>
      </c>
      <c r="D1164" s="6" t="s">
        <v>4890</v>
      </c>
      <c r="E1164" s="20">
        <f t="shared" si="93"/>
        <v>0</v>
      </c>
      <c r="F1164" s="20"/>
      <c r="G1164" s="24" t="s">
        <v>7619</v>
      </c>
      <c r="H1164" s="20">
        <f t="shared" si="94"/>
        <v>0</v>
      </c>
      <c r="I1164" s="21">
        <v>96</v>
      </c>
      <c r="J1164" s="21">
        <f t="shared" si="92"/>
        <v>0</v>
      </c>
    </row>
    <row r="1165" spans="1:10" ht="69" x14ac:dyDescent="0.3">
      <c r="A1165" s="2" t="s">
        <v>1106</v>
      </c>
      <c r="B1165" s="1" t="s">
        <v>2152</v>
      </c>
      <c r="C1165" s="6" t="s">
        <v>3261</v>
      </c>
      <c r="D1165" s="6" t="s">
        <v>5422</v>
      </c>
      <c r="E1165" s="20">
        <f t="shared" si="93"/>
        <v>0</v>
      </c>
      <c r="F1165" s="20">
        <v>6500</v>
      </c>
      <c r="G1165" s="24" t="s">
        <v>7620</v>
      </c>
      <c r="H1165" s="20">
        <f t="shared" si="94"/>
        <v>0</v>
      </c>
      <c r="I1165" s="21">
        <v>1260</v>
      </c>
      <c r="J1165" s="21">
        <f>X1165</f>
        <v>0</v>
      </c>
    </row>
    <row r="1166" spans="1:10" x14ac:dyDescent="0.3">
      <c r="A1166" s="2" t="s">
        <v>1107</v>
      </c>
      <c r="B1166" s="1" t="s">
        <v>2152</v>
      </c>
      <c r="C1166" s="6" t="s">
        <v>3262</v>
      </c>
      <c r="D1166" s="6" t="s">
        <v>5423</v>
      </c>
      <c r="E1166" s="20">
        <f t="shared" si="93"/>
        <v>0</v>
      </c>
      <c r="F1166" s="20">
        <v>40</v>
      </c>
      <c r="G1166" s="24" t="s">
        <v>7621</v>
      </c>
      <c r="H1166" s="20">
        <f t="shared" si="94"/>
        <v>0</v>
      </c>
      <c r="I1166" s="21">
        <v>9</v>
      </c>
      <c r="J1166" s="21">
        <f>X1166</f>
        <v>0</v>
      </c>
    </row>
    <row r="1167" spans="1:10" ht="94.8" x14ac:dyDescent="0.3">
      <c r="A1167" s="2" t="s">
        <v>1108</v>
      </c>
      <c r="B1167" s="1" t="s">
        <v>2152</v>
      </c>
      <c r="C1167" s="6" t="s">
        <v>3263</v>
      </c>
      <c r="D1167" s="6" t="s">
        <v>5424</v>
      </c>
      <c r="E1167" s="20">
        <f t="shared" si="93"/>
        <v>0</v>
      </c>
      <c r="F1167" s="20">
        <v>155000</v>
      </c>
      <c r="G1167" s="24" t="s">
        <v>7622</v>
      </c>
      <c r="H1167" s="20">
        <f t="shared" si="94"/>
        <v>0</v>
      </c>
      <c r="I1167" s="21">
        <v>6300</v>
      </c>
      <c r="J1167" s="21">
        <f t="shared" ref="J1167:J1172" si="95">X1167</f>
        <v>0</v>
      </c>
    </row>
    <row r="1168" spans="1:10" ht="94.8" x14ac:dyDescent="0.3">
      <c r="A1168" s="2" t="s">
        <v>1109</v>
      </c>
      <c r="B1168" s="1" t="s">
        <v>2152</v>
      </c>
      <c r="C1168" s="6" t="s">
        <v>3264</v>
      </c>
      <c r="D1168" s="6" t="s">
        <v>5425</v>
      </c>
      <c r="E1168" s="20">
        <f t="shared" si="93"/>
        <v>0</v>
      </c>
      <c r="F1168" s="20">
        <v>155000</v>
      </c>
      <c r="G1168" s="24" t="s">
        <v>7623</v>
      </c>
      <c r="H1168" s="20">
        <f t="shared" si="94"/>
        <v>0</v>
      </c>
      <c r="I1168" s="21">
        <v>8100</v>
      </c>
      <c r="J1168" s="21">
        <f t="shared" si="95"/>
        <v>0</v>
      </c>
    </row>
    <row r="1169" spans="1:10" ht="96.6" x14ac:dyDescent="0.3">
      <c r="A1169" s="2" t="s">
        <v>1110</v>
      </c>
      <c r="B1169" s="1" t="s">
        <v>2152</v>
      </c>
      <c r="C1169" s="6" t="s">
        <v>3265</v>
      </c>
      <c r="D1169" s="6" t="s">
        <v>5426</v>
      </c>
      <c r="E1169" s="20">
        <f t="shared" si="93"/>
        <v>0</v>
      </c>
      <c r="F1169" s="20">
        <v>218000</v>
      </c>
      <c r="G1169" s="24" t="s">
        <v>7624</v>
      </c>
      <c r="H1169" s="20">
        <f t="shared" si="94"/>
        <v>0</v>
      </c>
      <c r="I1169" s="21">
        <v>6900</v>
      </c>
      <c r="J1169" s="21">
        <f t="shared" si="95"/>
        <v>0</v>
      </c>
    </row>
    <row r="1170" spans="1:10" ht="94.8" x14ac:dyDescent="0.3">
      <c r="A1170" s="2" t="s">
        <v>1111</v>
      </c>
      <c r="B1170" s="1" t="s">
        <v>2152</v>
      </c>
      <c r="C1170" s="6" t="s">
        <v>3266</v>
      </c>
      <c r="D1170" s="6" t="s">
        <v>5427</v>
      </c>
      <c r="E1170" s="20">
        <f t="shared" si="93"/>
        <v>0</v>
      </c>
      <c r="F1170" s="20">
        <v>218000</v>
      </c>
      <c r="G1170" s="24" t="s">
        <v>7625</v>
      </c>
      <c r="H1170" s="20">
        <f t="shared" si="94"/>
        <v>0</v>
      </c>
      <c r="I1170" s="21">
        <v>8910</v>
      </c>
      <c r="J1170" s="21">
        <f t="shared" si="95"/>
        <v>0</v>
      </c>
    </row>
    <row r="1171" spans="1:10" ht="94.8" x14ac:dyDescent="0.3">
      <c r="A1171" s="2" t="s">
        <v>1112</v>
      </c>
      <c r="B1171" s="1" t="s">
        <v>2152</v>
      </c>
      <c r="C1171" s="6" t="s">
        <v>3267</v>
      </c>
      <c r="D1171" s="6" t="s">
        <v>5428</v>
      </c>
      <c r="E1171" s="20">
        <f t="shared" si="93"/>
        <v>0</v>
      </c>
      <c r="F1171" s="20">
        <v>275000</v>
      </c>
      <c r="G1171" s="24" t="s">
        <v>7626</v>
      </c>
      <c r="H1171" s="20">
        <f t="shared" si="94"/>
        <v>0</v>
      </c>
      <c r="I1171" s="21">
        <v>10500</v>
      </c>
      <c r="J1171" s="21">
        <f t="shared" si="95"/>
        <v>0</v>
      </c>
    </row>
    <row r="1172" spans="1:10" ht="94.8" x14ac:dyDescent="0.3">
      <c r="A1172" s="2" t="s">
        <v>1113</v>
      </c>
      <c r="B1172" s="1" t="s">
        <v>2152</v>
      </c>
      <c r="C1172" s="6" t="s">
        <v>3268</v>
      </c>
      <c r="D1172" s="6" t="s">
        <v>5429</v>
      </c>
      <c r="E1172" s="20">
        <f t="shared" si="93"/>
        <v>0</v>
      </c>
      <c r="F1172" s="20">
        <v>275000</v>
      </c>
      <c r="G1172" s="24" t="s">
        <v>7627</v>
      </c>
      <c r="H1172" s="20">
        <f t="shared" si="94"/>
        <v>0</v>
      </c>
      <c r="I1172" s="21">
        <v>10500</v>
      </c>
      <c r="J1172" s="21">
        <f t="shared" si="95"/>
        <v>0</v>
      </c>
    </row>
    <row r="1173" spans="1:10" ht="94.8" x14ac:dyDescent="0.3">
      <c r="A1173" s="2" t="s">
        <v>1114</v>
      </c>
      <c r="B1173" s="1" t="s">
        <v>2152</v>
      </c>
      <c r="C1173" s="6" t="s">
        <v>3269</v>
      </c>
      <c r="D1173" s="6" t="s">
        <v>5430</v>
      </c>
      <c r="E1173" s="20">
        <f t="shared" si="93"/>
        <v>0</v>
      </c>
      <c r="F1173" s="20">
        <v>363000</v>
      </c>
      <c r="G1173" s="24" t="s">
        <v>7628</v>
      </c>
      <c r="H1173" s="20">
        <f t="shared" si="94"/>
        <v>0</v>
      </c>
      <c r="I1173" s="21">
        <v>11700</v>
      </c>
      <c r="J1173" s="21">
        <f>X1173</f>
        <v>0</v>
      </c>
    </row>
    <row r="1174" spans="1:10" ht="94.8" x14ac:dyDescent="0.3">
      <c r="A1174" s="2" t="s">
        <v>1115</v>
      </c>
      <c r="B1174" s="1" t="s">
        <v>2152</v>
      </c>
      <c r="C1174" s="6" t="s">
        <v>3270</v>
      </c>
      <c r="D1174" s="6" t="s">
        <v>5431</v>
      </c>
      <c r="E1174" s="20">
        <f t="shared" si="93"/>
        <v>0</v>
      </c>
      <c r="F1174" s="20">
        <v>363000</v>
      </c>
      <c r="G1174" s="24" t="s">
        <v>7629</v>
      </c>
      <c r="H1174" s="20">
        <f t="shared" si="94"/>
        <v>0</v>
      </c>
      <c r="I1174" s="21">
        <v>14580</v>
      </c>
      <c r="J1174" s="21">
        <f>X1174</f>
        <v>0</v>
      </c>
    </row>
    <row r="1175" spans="1:10" ht="94.8" x14ac:dyDescent="0.3">
      <c r="A1175" s="2" t="s">
        <v>1116</v>
      </c>
      <c r="B1175" s="1" t="s">
        <v>2152</v>
      </c>
      <c r="C1175" s="6" t="s">
        <v>3271</v>
      </c>
      <c r="D1175" s="6" t="s">
        <v>5432</v>
      </c>
      <c r="E1175" s="20">
        <f t="shared" si="93"/>
        <v>0</v>
      </c>
      <c r="F1175" s="20">
        <v>135000</v>
      </c>
      <c r="G1175" s="24" t="s">
        <v>7630</v>
      </c>
      <c r="H1175" s="20">
        <f t="shared" si="94"/>
        <v>0</v>
      </c>
      <c r="I1175" s="21">
        <v>15000</v>
      </c>
      <c r="J1175" s="21">
        <f>X1175</f>
        <v>0</v>
      </c>
    </row>
    <row r="1176" spans="1:10" ht="165.6" x14ac:dyDescent="0.3">
      <c r="A1176" s="2" t="s">
        <v>1117</v>
      </c>
      <c r="B1176" s="1" t="s">
        <v>2152</v>
      </c>
      <c r="C1176" s="6" t="s">
        <v>3272</v>
      </c>
      <c r="D1176" s="6" t="s">
        <v>5433</v>
      </c>
      <c r="E1176" s="20">
        <f>H1176*1.8</f>
        <v>0</v>
      </c>
      <c r="F1176" s="20">
        <f>'[75]ÇİMENTO PRESİ'!$H$58</f>
        <v>129041</v>
      </c>
      <c r="G1176" s="24" t="s">
        <v>7631</v>
      </c>
      <c r="H1176" s="20">
        <f>K1176*1.8</f>
        <v>0</v>
      </c>
      <c r="I1176" s="21">
        <v>7700</v>
      </c>
      <c r="J1176" s="21">
        <f t="shared" ref="J1176:J1197" si="96">X1176</f>
        <v>0</v>
      </c>
    </row>
    <row r="1177" spans="1:10" ht="110.4" x14ac:dyDescent="0.3">
      <c r="A1177" s="2" t="s">
        <v>1118</v>
      </c>
      <c r="B1177" s="1" t="s">
        <v>2152</v>
      </c>
      <c r="C1177" s="6" t="s">
        <v>3273</v>
      </c>
      <c r="D1177" s="6" t="s">
        <v>5434</v>
      </c>
      <c r="E1177" s="20">
        <f t="shared" si="93"/>
        <v>0</v>
      </c>
      <c r="F1177" s="20"/>
      <c r="G1177" s="24" t="s">
        <v>7632</v>
      </c>
      <c r="H1177" s="20">
        <f t="shared" si="94"/>
        <v>0</v>
      </c>
      <c r="I1177" s="21">
        <v>3875</v>
      </c>
      <c r="J1177" s="21">
        <f t="shared" si="96"/>
        <v>0</v>
      </c>
    </row>
    <row r="1178" spans="1:10" ht="124.2" x14ac:dyDescent="0.3">
      <c r="A1178" s="3" t="s">
        <v>1119</v>
      </c>
      <c r="B1178" s="1" t="s">
        <v>2152</v>
      </c>
      <c r="C1178" s="6" t="s">
        <v>3274</v>
      </c>
      <c r="D1178" s="6" t="s">
        <v>5435</v>
      </c>
      <c r="E1178" s="20">
        <f t="shared" si="93"/>
        <v>0</v>
      </c>
      <c r="F1178" s="20"/>
      <c r="G1178" s="24" t="s">
        <v>7633</v>
      </c>
      <c r="H1178" s="20">
        <f t="shared" si="94"/>
        <v>0</v>
      </c>
      <c r="I1178" s="21">
        <v>7187</v>
      </c>
      <c r="J1178" s="21">
        <f t="shared" si="96"/>
        <v>0</v>
      </c>
    </row>
    <row r="1179" spans="1:10" ht="69" x14ac:dyDescent="0.3">
      <c r="A1179" s="2" t="s">
        <v>1120</v>
      </c>
      <c r="B1179" s="1" t="s">
        <v>2152</v>
      </c>
      <c r="C1179" s="6" t="s">
        <v>3275</v>
      </c>
      <c r="D1179" s="6" t="s">
        <v>5436</v>
      </c>
      <c r="E1179" s="20">
        <f t="shared" si="93"/>
        <v>0</v>
      </c>
      <c r="F1179" s="20"/>
      <c r="G1179" s="24" t="s">
        <v>7634</v>
      </c>
      <c r="H1179" s="20">
        <f t="shared" si="94"/>
        <v>0</v>
      </c>
      <c r="I1179" s="21">
        <v>4687</v>
      </c>
      <c r="J1179" s="21">
        <f t="shared" si="96"/>
        <v>0</v>
      </c>
    </row>
    <row r="1180" spans="1:10" ht="124.2" x14ac:dyDescent="0.3">
      <c r="A1180" s="2" t="s">
        <v>1121</v>
      </c>
      <c r="B1180" s="1" t="s">
        <v>2152</v>
      </c>
      <c r="C1180" s="6" t="s">
        <v>3276</v>
      </c>
      <c r="D1180" s="6" t="s">
        <v>5437</v>
      </c>
      <c r="E1180" s="20">
        <f t="shared" si="93"/>
        <v>0</v>
      </c>
      <c r="F1180" s="20">
        <v>20000</v>
      </c>
      <c r="G1180" s="24" t="s">
        <v>7635</v>
      </c>
      <c r="H1180" s="20">
        <f t="shared" si="94"/>
        <v>0</v>
      </c>
      <c r="I1180" s="21">
        <v>9500</v>
      </c>
      <c r="J1180" s="21">
        <f t="shared" si="96"/>
        <v>0</v>
      </c>
    </row>
    <row r="1181" spans="1:10" x14ac:dyDescent="0.3">
      <c r="A1181" s="2" t="s">
        <v>1122</v>
      </c>
      <c r="B1181" s="1" t="s">
        <v>2152</v>
      </c>
      <c r="C1181" s="6" t="s">
        <v>3277</v>
      </c>
      <c r="D1181" s="6" t="s">
        <v>5438</v>
      </c>
      <c r="E1181" s="20">
        <f t="shared" si="93"/>
        <v>0</v>
      </c>
      <c r="F1181" s="20">
        <v>700</v>
      </c>
      <c r="G1181" s="24" t="s">
        <v>7636</v>
      </c>
      <c r="H1181" s="20">
        <f t="shared" si="94"/>
        <v>0</v>
      </c>
      <c r="I1181" s="21">
        <v>270</v>
      </c>
      <c r="J1181" s="21">
        <f t="shared" si="96"/>
        <v>0</v>
      </c>
    </row>
    <row r="1182" spans="1:10" x14ac:dyDescent="0.3">
      <c r="A1182" s="2" t="s">
        <v>1123</v>
      </c>
      <c r="B1182" s="1" t="s">
        <v>2152</v>
      </c>
      <c r="C1182" s="6" t="s">
        <v>3278</v>
      </c>
      <c r="D1182" s="6" t="s">
        <v>5439</v>
      </c>
      <c r="E1182" s="20">
        <f t="shared" si="93"/>
        <v>0</v>
      </c>
      <c r="F1182" s="20">
        <v>700</v>
      </c>
      <c r="G1182" s="24" t="s">
        <v>7637</v>
      </c>
      <c r="H1182" s="20">
        <f t="shared" si="94"/>
        <v>0</v>
      </c>
      <c r="I1182" s="21">
        <v>270</v>
      </c>
      <c r="J1182" s="21">
        <f t="shared" si="96"/>
        <v>0</v>
      </c>
    </row>
    <row r="1183" spans="1:10" ht="27.6" x14ac:dyDescent="0.3">
      <c r="A1183" s="2" t="s">
        <v>1124</v>
      </c>
      <c r="B1183" s="1" t="s">
        <v>2152</v>
      </c>
      <c r="C1183" s="6" t="s">
        <v>3279</v>
      </c>
      <c r="D1183" s="6" t="s">
        <v>5440</v>
      </c>
      <c r="E1183" s="20">
        <f t="shared" si="93"/>
        <v>0</v>
      </c>
      <c r="F1183" s="20">
        <v>700</v>
      </c>
      <c r="G1183" s="24" t="s">
        <v>7638</v>
      </c>
      <c r="H1183" s="20">
        <f t="shared" si="94"/>
        <v>0</v>
      </c>
      <c r="I1183" s="21">
        <v>270</v>
      </c>
      <c r="J1183" s="21">
        <f t="shared" si="96"/>
        <v>0</v>
      </c>
    </row>
    <row r="1184" spans="1:10" x14ac:dyDescent="0.3">
      <c r="A1184" s="2" t="s">
        <v>1125</v>
      </c>
      <c r="B1184" s="1" t="s">
        <v>2152</v>
      </c>
      <c r="C1184" s="6" t="s">
        <v>3280</v>
      </c>
      <c r="D1184" s="6" t="s">
        <v>5441</v>
      </c>
      <c r="E1184" s="20">
        <f t="shared" si="93"/>
        <v>0</v>
      </c>
      <c r="F1184" s="20">
        <v>700</v>
      </c>
      <c r="G1184" s="24" t="s">
        <v>7639</v>
      </c>
      <c r="H1184" s="20">
        <f t="shared" si="94"/>
        <v>0</v>
      </c>
      <c r="I1184" s="21">
        <v>270</v>
      </c>
      <c r="J1184" s="21">
        <f t="shared" si="96"/>
        <v>0</v>
      </c>
    </row>
    <row r="1185" spans="1:10" ht="69" x14ac:dyDescent="0.3">
      <c r="A1185" s="2" t="s">
        <v>1126</v>
      </c>
      <c r="B1185" s="1" t="s">
        <v>2152</v>
      </c>
      <c r="C1185" s="6" t="s">
        <v>3281</v>
      </c>
      <c r="D1185" s="6" t="s">
        <v>5442</v>
      </c>
      <c r="E1185" s="20"/>
      <c r="F1185" s="20"/>
      <c r="G1185" s="24" t="s">
        <v>7640</v>
      </c>
      <c r="H1185" s="20"/>
    </row>
    <row r="1186" spans="1:10" x14ac:dyDescent="0.3">
      <c r="A1186" s="2" t="s">
        <v>1127</v>
      </c>
      <c r="B1186" s="1" t="s">
        <v>2152</v>
      </c>
      <c r="C1186" s="6" t="s">
        <v>3282</v>
      </c>
      <c r="D1186" s="6" t="s">
        <v>5443</v>
      </c>
      <c r="E1186" s="20"/>
      <c r="F1186" s="20"/>
      <c r="G1186" s="24" t="s">
        <v>7641</v>
      </c>
      <c r="H1186" s="20"/>
    </row>
    <row r="1187" spans="1:10" x14ac:dyDescent="0.3">
      <c r="A1187" s="2" t="s">
        <v>1128</v>
      </c>
      <c r="B1187" s="1" t="s">
        <v>2152</v>
      </c>
      <c r="C1187" s="6" t="s">
        <v>3283</v>
      </c>
      <c r="D1187" s="6" t="s">
        <v>5444</v>
      </c>
      <c r="E1187" s="20"/>
      <c r="F1187" s="20"/>
      <c r="G1187" s="24" t="s">
        <v>7642</v>
      </c>
      <c r="H1187" s="20"/>
    </row>
    <row r="1188" spans="1:10" x14ac:dyDescent="0.3">
      <c r="A1188" s="2" t="s">
        <v>1129</v>
      </c>
      <c r="B1188" s="1" t="s">
        <v>2152</v>
      </c>
      <c r="C1188" s="6" t="s">
        <v>3284</v>
      </c>
      <c r="D1188" s="6" t="s">
        <v>5445</v>
      </c>
      <c r="E1188" s="20"/>
      <c r="F1188" s="20"/>
      <c r="G1188" s="24" t="s">
        <v>7643</v>
      </c>
      <c r="H1188" s="20"/>
    </row>
    <row r="1189" spans="1:10" ht="55.2" x14ac:dyDescent="0.3">
      <c r="A1189" s="2" t="s">
        <v>1130</v>
      </c>
      <c r="B1189" s="1" t="s">
        <v>2152</v>
      </c>
      <c r="C1189" s="6" t="s">
        <v>3285</v>
      </c>
      <c r="D1189" s="6" t="s">
        <v>4893</v>
      </c>
      <c r="E1189" s="20">
        <f t="shared" si="93"/>
        <v>0</v>
      </c>
      <c r="F1189" s="20"/>
      <c r="G1189" s="24" t="s">
        <v>7644</v>
      </c>
      <c r="H1189" s="20">
        <f t="shared" si="94"/>
        <v>0</v>
      </c>
      <c r="I1189" s="21">
        <v>4325</v>
      </c>
      <c r="J1189" s="21">
        <f t="shared" si="96"/>
        <v>0</v>
      </c>
    </row>
    <row r="1190" spans="1:10" ht="27.6" x14ac:dyDescent="0.3">
      <c r="A1190" s="2" t="s">
        <v>1131</v>
      </c>
      <c r="B1190" s="1" t="s">
        <v>2152</v>
      </c>
      <c r="C1190" s="6" t="s">
        <v>2728</v>
      </c>
      <c r="D1190" s="6" t="s">
        <v>4894</v>
      </c>
      <c r="E1190" s="20">
        <f t="shared" si="93"/>
        <v>0</v>
      </c>
      <c r="F1190" s="20"/>
      <c r="G1190" s="24" t="s">
        <v>7645</v>
      </c>
      <c r="H1190" s="20">
        <f t="shared" si="94"/>
        <v>0</v>
      </c>
      <c r="I1190" s="21">
        <v>2093</v>
      </c>
      <c r="J1190" s="21">
        <f t="shared" si="96"/>
        <v>0</v>
      </c>
    </row>
    <row r="1191" spans="1:10" ht="27.6" x14ac:dyDescent="0.3">
      <c r="A1191" s="2" t="s">
        <v>1132</v>
      </c>
      <c r="B1191" s="1" t="s">
        <v>2152</v>
      </c>
      <c r="C1191" s="6" t="s">
        <v>2729</v>
      </c>
      <c r="D1191" s="6" t="s">
        <v>4895</v>
      </c>
      <c r="E1191" s="20">
        <f t="shared" si="93"/>
        <v>0</v>
      </c>
      <c r="F1191" s="20"/>
      <c r="G1191" s="24" t="s">
        <v>7646</v>
      </c>
      <c r="H1191" s="20">
        <f t="shared" si="94"/>
        <v>0</v>
      </c>
      <c r="I1191" s="21">
        <v>2232</v>
      </c>
      <c r="J1191" s="21">
        <f t="shared" si="96"/>
        <v>0</v>
      </c>
    </row>
    <row r="1192" spans="1:10" x14ac:dyDescent="0.3">
      <c r="A1192" s="2" t="s">
        <v>1133</v>
      </c>
      <c r="B1192" s="1" t="s">
        <v>2152</v>
      </c>
      <c r="C1192" s="6" t="s">
        <v>2731</v>
      </c>
      <c r="D1192" s="6" t="s">
        <v>4897</v>
      </c>
      <c r="E1192" s="20">
        <f t="shared" si="93"/>
        <v>0</v>
      </c>
      <c r="F1192" s="20"/>
      <c r="G1192" s="24" t="s">
        <v>7647</v>
      </c>
      <c r="H1192" s="20">
        <f t="shared" si="94"/>
        <v>0</v>
      </c>
      <c r="I1192" s="21">
        <v>60</v>
      </c>
      <c r="J1192" s="21">
        <f t="shared" si="96"/>
        <v>0</v>
      </c>
    </row>
    <row r="1193" spans="1:10" x14ac:dyDescent="0.3">
      <c r="A1193" s="2" t="s">
        <v>1134</v>
      </c>
      <c r="B1193" s="1" t="s">
        <v>2152</v>
      </c>
      <c r="C1193" s="6" t="s">
        <v>3286</v>
      </c>
      <c r="D1193" s="6" t="s">
        <v>5446</v>
      </c>
      <c r="E1193" s="20">
        <f t="shared" si="93"/>
        <v>0</v>
      </c>
      <c r="F1193" s="20"/>
      <c r="G1193" s="24" t="s">
        <v>7648</v>
      </c>
      <c r="H1193" s="20">
        <f t="shared" si="94"/>
        <v>0</v>
      </c>
      <c r="I1193" s="21">
        <v>48</v>
      </c>
      <c r="J1193" s="21">
        <f t="shared" si="96"/>
        <v>0</v>
      </c>
    </row>
    <row r="1194" spans="1:10" x14ac:dyDescent="0.3">
      <c r="A1194" s="2" t="s">
        <v>1135</v>
      </c>
      <c r="B1194" s="1" t="s">
        <v>2152</v>
      </c>
      <c r="C1194" s="6" t="s">
        <v>3287</v>
      </c>
      <c r="D1194" s="6" t="s">
        <v>5447</v>
      </c>
      <c r="E1194" s="20">
        <f t="shared" si="93"/>
        <v>0</v>
      </c>
      <c r="F1194" s="20"/>
      <c r="G1194" s="24" t="s">
        <v>7649</v>
      </c>
      <c r="H1194" s="20">
        <f t="shared" si="94"/>
        <v>0</v>
      </c>
      <c r="I1194" s="21">
        <v>54</v>
      </c>
      <c r="J1194" s="21">
        <f t="shared" si="96"/>
        <v>0</v>
      </c>
    </row>
    <row r="1195" spans="1:10" x14ac:dyDescent="0.3">
      <c r="A1195" s="2" t="s">
        <v>1136</v>
      </c>
      <c r="B1195" s="1" t="s">
        <v>2152</v>
      </c>
      <c r="C1195" s="6" t="s">
        <v>3288</v>
      </c>
      <c r="D1195" s="6" t="s">
        <v>5448</v>
      </c>
      <c r="E1195" s="20">
        <f t="shared" si="93"/>
        <v>0</v>
      </c>
      <c r="F1195" s="20"/>
      <c r="G1195" s="24" t="s">
        <v>7650</v>
      </c>
      <c r="H1195" s="20">
        <f t="shared" si="94"/>
        <v>0</v>
      </c>
      <c r="I1195" s="21">
        <v>66</v>
      </c>
      <c r="J1195" s="21">
        <f t="shared" si="96"/>
        <v>0</v>
      </c>
    </row>
    <row r="1196" spans="1:10" x14ac:dyDescent="0.3">
      <c r="A1196" s="2" t="s">
        <v>1137</v>
      </c>
      <c r="B1196" s="1" t="s">
        <v>2152</v>
      </c>
      <c r="C1196" s="6" t="s">
        <v>3289</v>
      </c>
      <c r="D1196" s="6" t="s">
        <v>5449</v>
      </c>
      <c r="E1196" s="20">
        <f t="shared" si="93"/>
        <v>0</v>
      </c>
      <c r="F1196" s="20"/>
      <c r="G1196" s="24" t="s">
        <v>7651</v>
      </c>
      <c r="H1196" s="20">
        <f t="shared" si="94"/>
        <v>0</v>
      </c>
      <c r="I1196" s="21">
        <v>78</v>
      </c>
      <c r="J1196" s="21">
        <f t="shared" si="96"/>
        <v>0</v>
      </c>
    </row>
    <row r="1197" spans="1:10" x14ac:dyDescent="0.3">
      <c r="A1197" s="2" t="s">
        <v>589</v>
      </c>
      <c r="B1197" s="1" t="s">
        <v>2152</v>
      </c>
      <c r="C1197" s="6" t="s">
        <v>2735</v>
      </c>
      <c r="D1197" s="6" t="s">
        <v>4901</v>
      </c>
      <c r="E1197" s="20">
        <f t="shared" si="93"/>
        <v>0</v>
      </c>
      <c r="F1197" s="20">
        <v>20000</v>
      </c>
      <c r="G1197" s="24" t="s">
        <v>7652</v>
      </c>
      <c r="H1197" s="20">
        <f t="shared" si="94"/>
        <v>0</v>
      </c>
      <c r="I1197" s="21">
        <v>936</v>
      </c>
      <c r="J1197" s="21">
        <f t="shared" si="96"/>
        <v>0</v>
      </c>
    </row>
    <row r="1198" spans="1:10" ht="110.4" x14ac:dyDescent="0.3">
      <c r="A1198" s="2" t="s">
        <v>1138</v>
      </c>
      <c r="B1198" s="1" t="s">
        <v>2152</v>
      </c>
      <c r="C1198" s="6" t="s">
        <v>3290</v>
      </c>
      <c r="D1198" s="6" t="s">
        <v>5450</v>
      </c>
      <c r="E1198" s="20">
        <f t="shared" si="93"/>
        <v>0</v>
      </c>
      <c r="F1198" s="20">
        <f>'[76]BİLYALI DEĞİRMEN'!$L$2</f>
        <v>43305.94</v>
      </c>
      <c r="G1198" s="24" t="s">
        <v>7653</v>
      </c>
      <c r="H1198" s="20">
        <f t="shared" si="94"/>
        <v>0</v>
      </c>
      <c r="I1198" s="21">
        <v>4080</v>
      </c>
      <c r="J1198" s="21">
        <f>X1198</f>
        <v>0</v>
      </c>
    </row>
    <row r="1199" spans="1:10" ht="110.4" x14ac:dyDescent="0.3">
      <c r="A1199" s="2" t="s">
        <v>1139</v>
      </c>
      <c r="B1199" s="1" t="s">
        <v>2152</v>
      </c>
      <c r="C1199" s="6" t="s">
        <v>3291</v>
      </c>
      <c r="D1199" s="6" t="s">
        <v>5451</v>
      </c>
      <c r="E1199" s="20">
        <f t="shared" si="93"/>
        <v>0</v>
      </c>
      <c r="F1199" s="20">
        <v>9000</v>
      </c>
      <c r="G1199" s="24" t="s">
        <v>7654</v>
      </c>
      <c r="H1199" s="20">
        <f t="shared" si="94"/>
        <v>0</v>
      </c>
      <c r="I1199" s="21">
        <v>4350</v>
      </c>
      <c r="J1199" s="21">
        <f>X1199</f>
        <v>0</v>
      </c>
    </row>
    <row r="1200" spans="1:10" ht="41.4" x14ac:dyDescent="0.3">
      <c r="A1200" s="2" t="s">
        <v>1140</v>
      </c>
      <c r="B1200" s="1" t="s">
        <v>2152</v>
      </c>
      <c r="C1200" s="6" t="s">
        <v>3292</v>
      </c>
      <c r="D1200" s="6" t="s">
        <v>5452</v>
      </c>
      <c r="E1200" s="20">
        <f t="shared" si="93"/>
        <v>0</v>
      </c>
      <c r="F1200" s="20">
        <f>'[77]BİLYALI DEĞİRMEN'!$G$25</f>
        <v>6200</v>
      </c>
      <c r="G1200" s="24" t="s">
        <v>7655</v>
      </c>
      <c r="H1200" s="20">
        <f t="shared" si="94"/>
        <v>0</v>
      </c>
      <c r="I1200" s="21">
        <v>870</v>
      </c>
      <c r="J1200" s="21">
        <f>X1200</f>
        <v>0</v>
      </c>
    </row>
    <row r="1201" spans="1:10" ht="82.8" x14ac:dyDescent="0.3">
      <c r="A1201" s="2" t="s">
        <v>1141</v>
      </c>
      <c r="B1201" s="1" t="s">
        <v>2152</v>
      </c>
      <c r="C1201" s="6" t="s">
        <v>3293</v>
      </c>
      <c r="D1201" s="6" t="s">
        <v>5453</v>
      </c>
      <c r="E1201" s="20">
        <f>H1201*1.8*1.4</f>
        <v>0</v>
      </c>
      <c r="F1201" s="20">
        <f>'[78]DİNAMİK KONİK PENETROMETRE'!$L$2</f>
        <v>10607.2</v>
      </c>
      <c r="G1201" s="24" t="s">
        <v>7656</v>
      </c>
      <c r="H1201" s="20">
        <f>K1201*1.8*1.4</f>
        <v>0</v>
      </c>
      <c r="I1201" s="21">
        <v>1050</v>
      </c>
      <c r="J1201" s="21">
        <f t="shared" ref="J1201:J1206" si="97">X1201</f>
        <v>0</v>
      </c>
    </row>
    <row r="1202" spans="1:10" x14ac:dyDescent="0.3">
      <c r="A1202" s="2" t="s">
        <v>1142</v>
      </c>
      <c r="B1202" s="1" t="s">
        <v>2152</v>
      </c>
      <c r="C1202" s="6" t="s">
        <v>3294</v>
      </c>
      <c r="D1202" s="6" t="s">
        <v>5454</v>
      </c>
      <c r="E1202" s="20">
        <f t="shared" si="93"/>
        <v>0</v>
      </c>
      <c r="F1202" s="20"/>
      <c r="G1202" s="24" t="s">
        <v>7657</v>
      </c>
      <c r="H1202" s="20">
        <f t="shared" si="94"/>
        <v>0</v>
      </c>
      <c r="I1202" s="21">
        <f t="shared" ref="I1202:I1207" si="98">W1202</f>
        <v>0</v>
      </c>
      <c r="J1202" s="21">
        <f t="shared" si="97"/>
        <v>0</v>
      </c>
    </row>
    <row r="1203" spans="1:10" x14ac:dyDescent="0.3">
      <c r="A1203" s="2" t="s">
        <v>1143</v>
      </c>
      <c r="B1203" s="1" t="s">
        <v>2152</v>
      </c>
      <c r="C1203" s="6" t="s">
        <v>3295</v>
      </c>
      <c r="D1203" s="6" t="s">
        <v>5455</v>
      </c>
      <c r="E1203" s="20">
        <f t="shared" si="93"/>
        <v>0</v>
      </c>
      <c r="F1203" s="20"/>
      <c r="G1203" s="24" t="s">
        <v>7658</v>
      </c>
      <c r="H1203" s="20">
        <f t="shared" si="94"/>
        <v>0</v>
      </c>
      <c r="I1203" s="21">
        <f t="shared" si="98"/>
        <v>0</v>
      </c>
      <c r="J1203" s="21">
        <f t="shared" si="97"/>
        <v>0</v>
      </c>
    </row>
    <row r="1204" spans="1:10" x14ac:dyDescent="0.3">
      <c r="A1204" s="2" t="s">
        <v>1144</v>
      </c>
      <c r="B1204" s="1" t="s">
        <v>2152</v>
      </c>
      <c r="C1204" s="6" t="s">
        <v>3296</v>
      </c>
      <c r="D1204" s="6" t="s">
        <v>5456</v>
      </c>
      <c r="E1204" s="20">
        <f t="shared" si="93"/>
        <v>0</v>
      </c>
      <c r="F1204" s="20"/>
      <c r="G1204" s="24" t="s">
        <v>7659</v>
      </c>
      <c r="H1204" s="20">
        <f t="shared" si="94"/>
        <v>0</v>
      </c>
      <c r="I1204" s="21">
        <f t="shared" si="98"/>
        <v>0</v>
      </c>
      <c r="J1204" s="21">
        <f t="shared" si="97"/>
        <v>0</v>
      </c>
    </row>
    <row r="1205" spans="1:10" x14ac:dyDescent="0.3">
      <c r="A1205" s="2" t="s">
        <v>1145</v>
      </c>
      <c r="B1205" s="1" t="s">
        <v>2152</v>
      </c>
      <c r="C1205" s="6" t="s">
        <v>3297</v>
      </c>
      <c r="D1205" s="6" t="s">
        <v>5457</v>
      </c>
      <c r="E1205" s="20">
        <f t="shared" si="93"/>
        <v>0</v>
      </c>
      <c r="F1205" s="20"/>
      <c r="G1205" s="24" t="s">
        <v>7660</v>
      </c>
      <c r="H1205" s="20">
        <f t="shared" si="94"/>
        <v>0</v>
      </c>
      <c r="I1205" s="21">
        <f t="shared" si="98"/>
        <v>0</v>
      </c>
      <c r="J1205" s="21">
        <f t="shared" si="97"/>
        <v>0</v>
      </c>
    </row>
    <row r="1206" spans="1:10" x14ac:dyDescent="0.3">
      <c r="A1206" s="2" t="s">
        <v>1146</v>
      </c>
      <c r="B1206" s="1" t="s">
        <v>2152</v>
      </c>
      <c r="C1206" s="6" t="s">
        <v>3298</v>
      </c>
      <c r="D1206" s="6" t="s">
        <v>5458</v>
      </c>
      <c r="E1206" s="20">
        <f t="shared" si="93"/>
        <v>0</v>
      </c>
      <c r="F1206" s="20"/>
      <c r="G1206" s="24" t="s">
        <v>7661</v>
      </c>
      <c r="H1206" s="20">
        <f t="shared" si="94"/>
        <v>0</v>
      </c>
      <c r="I1206" s="21">
        <f t="shared" si="98"/>
        <v>0</v>
      </c>
      <c r="J1206" s="21">
        <f t="shared" si="97"/>
        <v>0</v>
      </c>
    </row>
    <row r="1207" spans="1:10" x14ac:dyDescent="0.3">
      <c r="A1207" s="2" t="s">
        <v>1147</v>
      </c>
      <c r="B1207" s="1" t="s">
        <v>2152</v>
      </c>
      <c r="C1207" s="6" t="s">
        <v>3299</v>
      </c>
      <c r="D1207" s="6" t="s">
        <v>5459</v>
      </c>
      <c r="E1207" s="20">
        <f t="shared" si="93"/>
        <v>0</v>
      </c>
      <c r="F1207" s="20"/>
      <c r="G1207" s="24" t="s">
        <v>7662</v>
      </c>
      <c r="H1207" s="20">
        <f t="shared" si="94"/>
        <v>0</v>
      </c>
      <c r="I1207" s="21">
        <f t="shared" si="98"/>
        <v>0</v>
      </c>
      <c r="J1207" s="21">
        <f>X1207</f>
        <v>0</v>
      </c>
    </row>
    <row r="1208" spans="1:10" x14ac:dyDescent="0.3">
      <c r="A1208" s="2" t="s">
        <v>1148</v>
      </c>
      <c r="B1208" s="1" t="s">
        <v>2152</v>
      </c>
      <c r="C1208" s="6" t="s">
        <v>3300</v>
      </c>
      <c r="D1208" s="6" t="s">
        <v>5460</v>
      </c>
      <c r="E1208" s="20"/>
      <c r="F1208" s="20"/>
      <c r="G1208" s="24" t="s">
        <v>7663</v>
      </c>
      <c r="H1208" s="20"/>
    </row>
    <row r="1209" spans="1:10" x14ac:dyDescent="0.3">
      <c r="A1209" s="2" t="s">
        <v>1149</v>
      </c>
      <c r="B1209" s="1" t="s">
        <v>2152</v>
      </c>
      <c r="C1209" s="6" t="s">
        <v>3301</v>
      </c>
      <c r="D1209" s="6" t="s">
        <v>5461</v>
      </c>
      <c r="E1209" s="20">
        <f t="shared" si="93"/>
        <v>0</v>
      </c>
      <c r="F1209" s="20"/>
      <c r="G1209" s="24" t="s">
        <v>7664</v>
      </c>
      <c r="H1209" s="20">
        <f t="shared" si="94"/>
        <v>0</v>
      </c>
    </row>
    <row r="1210" spans="1:10" ht="41.4" x14ac:dyDescent="0.3">
      <c r="A1210" s="2" t="s">
        <v>1150</v>
      </c>
      <c r="B1210" s="1" t="s">
        <v>2152</v>
      </c>
      <c r="C1210" s="6" t="s">
        <v>3302</v>
      </c>
      <c r="D1210" s="6" t="s">
        <v>5462</v>
      </c>
      <c r="E1210" s="20">
        <f t="shared" si="93"/>
        <v>0</v>
      </c>
      <c r="F1210" s="20"/>
      <c r="G1210" s="24" t="s">
        <v>7665</v>
      </c>
      <c r="H1210" s="20">
        <f t="shared" si="94"/>
        <v>0</v>
      </c>
    </row>
    <row r="1211" spans="1:10" ht="41.4" x14ac:dyDescent="0.3">
      <c r="A1211" s="2" t="s">
        <v>1151</v>
      </c>
      <c r="B1211" s="1" t="s">
        <v>2152</v>
      </c>
      <c r="C1211" s="6" t="s">
        <v>3303</v>
      </c>
      <c r="D1211" s="6" t="s">
        <v>5463</v>
      </c>
      <c r="E1211" s="20">
        <f t="shared" si="93"/>
        <v>0</v>
      </c>
      <c r="F1211" s="20"/>
      <c r="G1211" s="24" t="s">
        <v>7666</v>
      </c>
      <c r="H1211" s="20">
        <f t="shared" si="94"/>
        <v>0</v>
      </c>
    </row>
    <row r="1212" spans="1:10" x14ac:dyDescent="0.3">
      <c r="A1212" s="2" t="s">
        <v>1152</v>
      </c>
      <c r="B1212" s="1" t="s">
        <v>2152</v>
      </c>
      <c r="C1212" s="6" t="s">
        <v>3304</v>
      </c>
      <c r="D1212" s="6" t="s">
        <v>5464</v>
      </c>
      <c r="E1212" s="20">
        <f t="shared" si="93"/>
        <v>0</v>
      </c>
      <c r="F1212" s="20"/>
      <c r="G1212" s="24" t="s">
        <v>7667</v>
      </c>
      <c r="H1212" s="20">
        <f t="shared" si="94"/>
        <v>0</v>
      </c>
      <c r="I1212" s="21">
        <f>W1212</f>
        <v>0</v>
      </c>
      <c r="J1212" s="21">
        <f>X1212</f>
        <v>0</v>
      </c>
    </row>
    <row r="1213" spans="1:10" ht="27.6" x14ac:dyDescent="0.3">
      <c r="A1213" s="2" t="s">
        <v>1153</v>
      </c>
      <c r="B1213" s="1" t="s">
        <v>2152</v>
      </c>
      <c r="C1213" s="6" t="s">
        <v>3305</v>
      </c>
      <c r="D1213" s="6" t="s">
        <v>5465</v>
      </c>
      <c r="E1213" s="20">
        <f t="shared" si="93"/>
        <v>0</v>
      </c>
      <c r="F1213" s="20">
        <v>30</v>
      </c>
      <c r="G1213" s="24" t="s">
        <v>7668</v>
      </c>
      <c r="H1213" s="20">
        <f t="shared" si="94"/>
        <v>0</v>
      </c>
      <c r="I1213" s="21">
        <v>9</v>
      </c>
      <c r="J1213" s="21">
        <f>X1213</f>
        <v>0</v>
      </c>
    </row>
    <row r="1214" spans="1:10" ht="27.6" x14ac:dyDescent="0.3">
      <c r="A1214" s="2" t="s">
        <v>1154</v>
      </c>
      <c r="B1214" s="1" t="s">
        <v>2152</v>
      </c>
      <c r="C1214" s="6" t="s">
        <v>3306</v>
      </c>
      <c r="D1214" s="6" t="s">
        <v>5466</v>
      </c>
      <c r="E1214" s="20">
        <f t="shared" si="93"/>
        <v>0</v>
      </c>
      <c r="F1214" s="20">
        <v>30</v>
      </c>
      <c r="G1214" s="24" t="s">
        <v>7669</v>
      </c>
      <c r="H1214" s="20">
        <f t="shared" si="94"/>
        <v>0</v>
      </c>
      <c r="I1214" s="21">
        <v>9</v>
      </c>
      <c r="J1214" s="21">
        <f>X1214</f>
        <v>0</v>
      </c>
    </row>
    <row r="1215" spans="1:10" ht="82.8" x14ac:dyDescent="0.3">
      <c r="A1215" s="2" t="s">
        <v>1155</v>
      </c>
      <c r="B1215" s="1" t="s">
        <v>2152</v>
      </c>
      <c r="C1215" s="6" t="s">
        <v>3307</v>
      </c>
      <c r="D1215" s="6" t="s">
        <v>5467</v>
      </c>
      <c r="E1215" s="20">
        <f t="shared" si="93"/>
        <v>0</v>
      </c>
      <c r="F1215" s="20"/>
      <c r="G1215" s="24" t="s">
        <v>7670</v>
      </c>
      <c r="H1215" s="20">
        <f t="shared" si="94"/>
        <v>0</v>
      </c>
    </row>
    <row r="1216" spans="1:10" ht="41.4" x14ac:dyDescent="0.3">
      <c r="A1216" s="2" t="s">
        <v>1156</v>
      </c>
      <c r="B1216" s="1" t="s">
        <v>2152</v>
      </c>
      <c r="C1216" s="6" t="s">
        <v>3308</v>
      </c>
      <c r="D1216" s="6" t="s">
        <v>5468</v>
      </c>
      <c r="E1216" s="20">
        <f t="shared" si="93"/>
        <v>0</v>
      </c>
      <c r="F1216" s="20"/>
      <c r="G1216" s="24" t="s">
        <v>7671</v>
      </c>
      <c r="H1216" s="20">
        <f t="shared" si="94"/>
        <v>0</v>
      </c>
    </row>
    <row r="1217" spans="1:10" x14ac:dyDescent="0.3">
      <c r="A1217" s="2" t="s">
        <v>1157</v>
      </c>
      <c r="B1217" s="1" t="s">
        <v>2152</v>
      </c>
      <c r="C1217" s="6" t="s">
        <v>3309</v>
      </c>
      <c r="D1217" s="6" t="s">
        <v>5469</v>
      </c>
      <c r="E1217" s="20">
        <f t="shared" si="93"/>
        <v>0</v>
      </c>
      <c r="F1217" s="20"/>
      <c r="G1217" s="24" t="s">
        <v>7672</v>
      </c>
      <c r="H1217" s="20">
        <f t="shared" si="94"/>
        <v>0</v>
      </c>
    </row>
    <row r="1218" spans="1:10" ht="55.2" x14ac:dyDescent="0.3">
      <c r="A1218" s="2" t="s">
        <v>1158</v>
      </c>
      <c r="B1218" s="1" t="s">
        <v>2152</v>
      </c>
      <c r="C1218" s="6" t="s">
        <v>3310</v>
      </c>
      <c r="D1218" s="6" t="s">
        <v>5470</v>
      </c>
      <c r="E1218" s="20">
        <f t="shared" si="93"/>
        <v>0</v>
      </c>
      <c r="F1218" s="20"/>
      <c r="G1218" s="24" t="s">
        <v>7673</v>
      </c>
      <c r="H1218" s="20">
        <f t="shared" si="94"/>
        <v>0</v>
      </c>
      <c r="I1218" s="21">
        <v>240</v>
      </c>
      <c r="J1218" s="21">
        <f t="shared" ref="J1218:J1227" si="99">X1218</f>
        <v>0</v>
      </c>
    </row>
    <row r="1219" spans="1:10" x14ac:dyDescent="0.3">
      <c r="A1219" s="2" t="s">
        <v>1159</v>
      </c>
      <c r="B1219" s="1" t="s">
        <v>2152</v>
      </c>
      <c r="C1219" s="6" t="s">
        <v>3311</v>
      </c>
      <c r="D1219" s="6" t="s">
        <v>5471</v>
      </c>
      <c r="E1219" s="20">
        <f t="shared" si="93"/>
        <v>0</v>
      </c>
      <c r="F1219" s="20"/>
      <c r="G1219" s="24" t="s">
        <v>7674</v>
      </c>
      <c r="H1219" s="20">
        <f t="shared" si="94"/>
        <v>0</v>
      </c>
      <c r="I1219" s="21">
        <v>75</v>
      </c>
      <c r="J1219" s="21">
        <f t="shared" si="99"/>
        <v>0</v>
      </c>
    </row>
    <row r="1220" spans="1:10" ht="55.2" x14ac:dyDescent="0.3">
      <c r="A1220" s="2" t="s">
        <v>1160</v>
      </c>
      <c r="B1220" s="1" t="s">
        <v>2152</v>
      </c>
      <c r="C1220" s="6" t="s">
        <v>3312</v>
      </c>
      <c r="D1220" s="6" t="s">
        <v>5472</v>
      </c>
      <c r="E1220" s="20">
        <f t="shared" si="93"/>
        <v>0</v>
      </c>
      <c r="F1220" s="20">
        <v>350</v>
      </c>
      <c r="G1220" s="24" t="s">
        <v>7675</v>
      </c>
      <c r="H1220" s="20">
        <f t="shared" si="94"/>
        <v>0</v>
      </c>
      <c r="I1220" s="21">
        <v>330</v>
      </c>
      <c r="J1220" s="21">
        <f t="shared" si="99"/>
        <v>0</v>
      </c>
    </row>
    <row r="1221" spans="1:10" x14ac:dyDescent="0.3">
      <c r="A1221" s="2" t="s">
        <v>1161</v>
      </c>
      <c r="B1221" s="1" t="s">
        <v>2152</v>
      </c>
      <c r="C1221" s="6" t="s">
        <v>3313</v>
      </c>
      <c r="D1221" s="6" t="s">
        <v>5473</v>
      </c>
      <c r="E1221" s="20">
        <f t="shared" si="93"/>
        <v>0</v>
      </c>
      <c r="F1221" s="20">
        <v>75</v>
      </c>
      <c r="G1221" s="24" t="s">
        <v>7676</v>
      </c>
      <c r="H1221" s="20">
        <f t="shared" si="94"/>
        <v>0</v>
      </c>
      <c r="I1221" s="21">
        <v>90</v>
      </c>
      <c r="J1221" s="21">
        <f t="shared" si="99"/>
        <v>0</v>
      </c>
    </row>
    <row r="1222" spans="1:10" ht="55.2" x14ac:dyDescent="0.3">
      <c r="A1222" s="2" t="s">
        <v>1162</v>
      </c>
      <c r="B1222" s="1" t="s">
        <v>2152</v>
      </c>
      <c r="C1222" s="6" t="s">
        <v>3314</v>
      </c>
      <c r="D1222" s="6" t="s">
        <v>5474</v>
      </c>
      <c r="E1222" s="20">
        <f t="shared" si="93"/>
        <v>0</v>
      </c>
      <c r="F1222" s="20"/>
      <c r="G1222" s="24" t="s">
        <v>7677</v>
      </c>
      <c r="H1222" s="20">
        <f t="shared" si="94"/>
        <v>0</v>
      </c>
      <c r="I1222" s="21">
        <v>555</v>
      </c>
      <c r="J1222" s="21">
        <f t="shared" si="99"/>
        <v>0</v>
      </c>
    </row>
    <row r="1223" spans="1:10" x14ac:dyDescent="0.3">
      <c r="A1223" s="2" t="s">
        <v>1163</v>
      </c>
      <c r="B1223" s="1" t="s">
        <v>2152</v>
      </c>
      <c r="C1223" s="6" t="s">
        <v>3315</v>
      </c>
      <c r="D1223" s="6" t="s">
        <v>5475</v>
      </c>
      <c r="E1223" s="20">
        <f t="shared" si="93"/>
        <v>0</v>
      </c>
      <c r="F1223" s="20"/>
      <c r="G1223" s="24" t="s">
        <v>7678</v>
      </c>
      <c r="H1223" s="20">
        <f t="shared" si="94"/>
        <v>0</v>
      </c>
      <c r="I1223" s="21">
        <v>120</v>
      </c>
      <c r="J1223" s="21">
        <f t="shared" si="99"/>
        <v>0</v>
      </c>
    </row>
    <row r="1224" spans="1:10" ht="55.2" x14ac:dyDescent="0.3">
      <c r="A1224" s="2" t="s">
        <v>1164</v>
      </c>
      <c r="B1224" s="1" t="s">
        <v>2152</v>
      </c>
      <c r="C1224" s="6" t="s">
        <v>3316</v>
      </c>
      <c r="D1224" s="6" t="s">
        <v>5476</v>
      </c>
      <c r="E1224" s="20">
        <f t="shared" si="93"/>
        <v>0</v>
      </c>
      <c r="F1224" s="20"/>
      <c r="G1224" s="24" t="s">
        <v>7679</v>
      </c>
      <c r="H1224" s="20">
        <f t="shared" si="94"/>
        <v>0</v>
      </c>
      <c r="I1224" s="21">
        <v>555</v>
      </c>
      <c r="J1224" s="21">
        <f t="shared" si="99"/>
        <v>0</v>
      </c>
    </row>
    <row r="1225" spans="1:10" x14ac:dyDescent="0.3">
      <c r="A1225" s="2" t="s">
        <v>1165</v>
      </c>
      <c r="B1225" s="1" t="s">
        <v>2152</v>
      </c>
      <c r="C1225" s="6" t="s">
        <v>3317</v>
      </c>
      <c r="D1225" s="6" t="s">
        <v>5477</v>
      </c>
      <c r="E1225" s="20">
        <f t="shared" ref="E1225:E1288" si="100">H1225*1.8*1.4</f>
        <v>0</v>
      </c>
      <c r="F1225" s="20"/>
      <c r="G1225" s="24" t="s">
        <v>7680</v>
      </c>
      <c r="H1225" s="20">
        <f t="shared" ref="H1225:H1288" si="101">K1225*1.8*1.4</f>
        <v>0</v>
      </c>
      <c r="I1225" s="21">
        <v>135</v>
      </c>
      <c r="J1225" s="21">
        <f t="shared" si="99"/>
        <v>0</v>
      </c>
    </row>
    <row r="1226" spans="1:10" ht="55.2" x14ac:dyDescent="0.3">
      <c r="A1226" s="2" t="s">
        <v>1166</v>
      </c>
      <c r="B1226" s="1" t="s">
        <v>2152</v>
      </c>
      <c r="C1226" s="6" t="s">
        <v>3318</v>
      </c>
      <c r="D1226" s="6" t="s">
        <v>5478</v>
      </c>
      <c r="E1226" s="20">
        <f t="shared" si="100"/>
        <v>0</v>
      </c>
      <c r="F1226" s="20"/>
      <c r="G1226" s="24" t="s">
        <v>7681</v>
      </c>
      <c r="H1226" s="20">
        <f t="shared" si="101"/>
        <v>0</v>
      </c>
      <c r="I1226" s="21">
        <v>734</v>
      </c>
      <c r="J1226" s="21">
        <f t="shared" si="99"/>
        <v>0</v>
      </c>
    </row>
    <row r="1227" spans="1:10" x14ac:dyDescent="0.3">
      <c r="A1227" s="2" t="s">
        <v>1167</v>
      </c>
      <c r="B1227" s="1" t="s">
        <v>2152</v>
      </c>
      <c r="C1227" s="6" t="s">
        <v>3319</v>
      </c>
      <c r="D1227" s="6" t="s">
        <v>5479</v>
      </c>
      <c r="E1227" s="20">
        <f t="shared" si="100"/>
        <v>0</v>
      </c>
      <c r="F1227" s="20"/>
      <c r="G1227" s="24" t="s">
        <v>7682</v>
      </c>
      <c r="H1227" s="20">
        <f t="shared" si="101"/>
        <v>0</v>
      </c>
      <c r="I1227" s="21">
        <v>180</v>
      </c>
      <c r="J1227" s="21">
        <f t="shared" si="99"/>
        <v>0</v>
      </c>
    </row>
    <row r="1228" spans="1:10" ht="27.6" x14ac:dyDescent="0.3">
      <c r="A1228" s="2" t="s">
        <v>1168</v>
      </c>
      <c r="B1228" s="1" t="s">
        <v>2152</v>
      </c>
      <c r="C1228" s="6" t="s">
        <v>3320</v>
      </c>
      <c r="D1228" s="6" t="s">
        <v>5480</v>
      </c>
      <c r="E1228" s="20"/>
      <c r="F1228" s="20"/>
      <c r="G1228" s="24" t="s">
        <v>7683</v>
      </c>
      <c r="H1228" s="20"/>
    </row>
    <row r="1229" spans="1:10" ht="69" x14ac:dyDescent="0.3">
      <c r="A1229" s="2" t="s">
        <v>1157</v>
      </c>
      <c r="B1229" s="1" t="s">
        <v>2152</v>
      </c>
      <c r="C1229" s="6" t="s">
        <v>3321</v>
      </c>
      <c r="D1229" s="6" t="s">
        <v>5481</v>
      </c>
      <c r="E1229" s="20">
        <f t="shared" si="100"/>
        <v>0</v>
      </c>
      <c r="F1229" s="20">
        <v>18000</v>
      </c>
      <c r="G1229" s="24" t="s">
        <v>7684</v>
      </c>
      <c r="H1229" s="20">
        <f t="shared" si="101"/>
        <v>0</v>
      </c>
      <c r="I1229" s="21">
        <v>996</v>
      </c>
      <c r="J1229" s="21">
        <f>X1229</f>
        <v>0</v>
      </c>
    </row>
    <row r="1230" spans="1:10" x14ac:dyDescent="0.3">
      <c r="A1230" s="2" t="s">
        <v>1169</v>
      </c>
      <c r="B1230" s="1" t="s">
        <v>2152</v>
      </c>
      <c r="C1230" s="6" t="s">
        <v>3322</v>
      </c>
      <c r="D1230" s="6" t="s">
        <v>5482</v>
      </c>
      <c r="E1230" s="20">
        <f t="shared" si="100"/>
        <v>0</v>
      </c>
      <c r="F1230" s="20"/>
      <c r="G1230" s="24" t="s">
        <v>7685</v>
      </c>
      <c r="H1230" s="20">
        <f t="shared" si="101"/>
        <v>0</v>
      </c>
      <c r="I1230" s="21">
        <f>W1230</f>
        <v>0</v>
      </c>
      <c r="J1230" s="21">
        <f>X1230</f>
        <v>0</v>
      </c>
    </row>
    <row r="1231" spans="1:10" x14ac:dyDescent="0.3">
      <c r="A1231" s="2" t="s">
        <v>1170</v>
      </c>
      <c r="B1231" s="1" t="s">
        <v>2152</v>
      </c>
      <c r="C1231" s="6" t="s">
        <v>3323</v>
      </c>
      <c r="D1231" s="6" t="s">
        <v>5483</v>
      </c>
      <c r="E1231" s="20">
        <f t="shared" si="100"/>
        <v>0</v>
      </c>
      <c r="F1231" s="20"/>
      <c r="G1231" s="24" t="s">
        <v>7686</v>
      </c>
      <c r="H1231" s="20">
        <f t="shared" si="101"/>
        <v>0</v>
      </c>
      <c r="I1231" s="21">
        <f t="shared" ref="I1231:J1238" si="102">W1231</f>
        <v>0</v>
      </c>
      <c r="J1231" s="21">
        <f t="shared" si="102"/>
        <v>0</v>
      </c>
    </row>
    <row r="1232" spans="1:10" x14ac:dyDescent="0.3">
      <c r="A1232" s="2" t="s">
        <v>1171</v>
      </c>
      <c r="B1232" s="1" t="s">
        <v>2152</v>
      </c>
      <c r="C1232" s="6" t="s">
        <v>3324</v>
      </c>
      <c r="D1232" s="6" t="s">
        <v>5484</v>
      </c>
      <c r="E1232" s="20">
        <f t="shared" si="100"/>
        <v>0</v>
      </c>
      <c r="F1232" s="20"/>
      <c r="G1232" s="24" t="s">
        <v>7687</v>
      </c>
      <c r="H1232" s="20">
        <f t="shared" si="101"/>
        <v>0</v>
      </c>
      <c r="I1232" s="21">
        <f t="shared" si="102"/>
        <v>0</v>
      </c>
      <c r="J1232" s="21">
        <f t="shared" si="102"/>
        <v>0</v>
      </c>
    </row>
    <row r="1233" spans="1:10" x14ac:dyDescent="0.3">
      <c r="A1233" s="2" t="s">
        <v>1172</v>
      </c>
      <c r="B1233" s="1" t="s">
        <v>2152</v>
      </c>
      <c r="C1233" s="6" t="s">
        <v>3325</v>
      </c>
      <c r="D1233" s="6" t="s">
        <v>5485</v>
      </c>
      <c r="E1233" s="20">
        <f t="shared" si="100"/>
        <v>0</v>
      </c>
      <c r="F1233" s="20"/>
      <c r="G1233" s="24" t="s">
        <v>7688</v>
      </c>
      <c r="H1233" s="20">
        <f t="shared" si="101"/>
        <v>0</v>
      </c>
      <c r="I1233" s="21">
        <f t="shared" si="102"/>
        <v>0</v>
      </c>
      <c r="J1233" s="21">
        <f t="shared" si="102"/>
        <v>0</v>
      </c>
    </row>
    <row r="1234" spans="1:10" x14ac:dyDescent="0.3">
      <c r="A1234" s="2" t="s">
        <v>1173</v>
      </c>
      <c r="B1234" s="1" t="s">
        <v>2152</v>
      </c>
      <c r="C1234" s="6" t="s">
        <v>3326</v>
      </c>
      <c r="D1234" s="6" t="s">
        <v>5486</v>
      </c>
      <c r="E1234" s="20">
        <f t="shared" si="100"/>
        <v>0</v>
      </c>
      <c r="F1234" s="20"/>
      <c r="G1234" s="24" t="s">
        <v>7689</v>
      </c>
      <c r="H1234" s="20">
        <f t="shared" si="101"/>
        <v>0</v>
      </c>
      <c r="I1234" s="21">
        <f t="shared" si="102"/>
        <v>0</v>
      </c>
      <c r="J1234" s="21">
        <f t="shared" si="102"/>
        <v>0</v>
      </c>
    </row>
    <row r="1235" spans="1:10" x14ac:dyDescent="0.3">
      <c r="A1235" s="2" t="s">
        <v>1174</v>
      </c>
      <c r="B1235" s="1" t="s">
        <v>2152</v>
      </c>
      <c r="C1235" s="6" t="s">
        <v>3327</v>
      </c>
      <c r="D1235" s="6" t="s">
        <v>5487</v>
      </c>
      <c r="E1235" s="20">
        <f t="shared" si="100"/>
        <v>0</v>
      </c>
      <c r="F1235" s="20"/>
      <c r="G1235" s="24" t="s">
        <v>7690</v>
      </c>
      <c r="H1235" s="20">
        <f t="shared" si="101"/>
        <v>0</v>
      </c>
      <c r="I1235" s="21">
        <f t="shared" si="102"/>
        <v>0</v>
      </c>
      <c r="J1235" s="21">
        <f t="shared" si="102"/>
        <v>0</v>
      </c>
    </row>
    <row r="1236" spans="1:10" x14ac:dyDescent="0.3">
      <c r="A1236" s="2" t="s">
        <v>1175</v>
      </c>
      <c r="B1236" s="1" t="s">
        <v>2152</v>
      </c>
      <c r="C1236" s="6" t="s">
        <v>3328</v>
      </c>
      <c r="D1236" s="6" t="s">
        <v>5488</v>
      </c>
      <c r="E1236" s="20">
        <f t="shared" si="100"/>
        <v>0</v>
      </c>
      <c r="F1236" s="20"/>
      <c r="G1236" s="24" t="s">
        <v>7691</v>
      </c>
      <c r="H1236" s="20">
        <f t="shared" si="101"/>
        <v>0</v>
      </c>
      <c r="I1236" s="21">
        <f t="shared" si="102"/>
        <v>0</v>
      </c>
      <c r="J1236" s="21">
        <f t="shared" si="102"/>
        <v>0</v>
      </c>
    </row>
    <row r="1237" spans="1:10" x14ac:dyDescent="0.3">
      <c r="A1237" s="2" t="s">
        <v>1176</v>
      </c>
      <c r="B1237" s="1" t="s">
        <v>2152</v>
      </c>
      <c r="C1237" s="6" t="s">
        <v>3329</v>
      </c>
      <c r="D1237" s="6" t="s">
        <v>5489</v>
      </c>
      <c r="E1237" s="20">
        <f t="shared" si="100"/>
        <v>0</v>
      </c>
      <c r="F1237" s="20"/>
      <c r="G1237" s="24" t="s">
        <v>7692</v>
      </c>
      <c r="H1237" s="20">
        <f t="shared" si="101"/>
        <v>0</v>
      </c>
      <c r="I1237" s="21">
        <f t="shared" si="102"/>
        <v>0</v>
      </c>
      <c r="J1237" s="21">
        <f t="shared" si="102"/>
        <v>0</v>
      </c>
    </row>
    <row r="1238" spans="1:10" x14ac:dyDescent="0.3">
      <c r="A1238" s="2" t="s">
        <v>1177</v>
      </c>
      <c r="B1238" s="1" t="s">
        <v>2152</v>
      </c>
      <c r="C1238" s="6" t="s">
        <v>3330</v>
      </c>
      <c r="D1238" s="6" t="s">
        <v>5490</v>
      </c>
      <c r="E1238" s="20">
        <f t="shared" si="100"/>
        <v>0</v>
      </c>
      <c r="F1238" s="20"/>
      <c r="G1238" s="24" t="s">
        <v>7693</v>
      </c>
      <c r="H1238" s="20">
        <f t="shared" si="101"/>
        <v>0</v>
      </c>
      <c r="I1238" s="21">
        <f t="shared" si="102"/>
        <v>0</v>
      </c>
      <c r="J1238" s="21">
        <f t="shared" si="102"/>
        <v>0</v>
      </c>
    </row>
    <row r="1239" spans="1:10" x14ac:dyDescent="0.3">
      <c r="A1239" s="2" t="s">
        <v>1178</v>
      </c>
      <c r="B1239" s="1" t="s">
        <v>2152</v>
      </c>
      <c r="C1239" s="6" t="s">
        <v>3331</v>
      </c>
      <c r="D1239" s="6" t="s">
        <v>5491</v>
      </c>
      <c r="E1239" s="20">
        <f t="shared" si="100"/>
        <v>0</v>
      </c>
      <c r="F1239" s="20">
        <v>675</v>
      </c>
      <c r="G1239" s="24" t="s">
        <v>7694</v>
      </c>
      <c r="H1239" s="20">
        <f t="shared" si="101"/>
        <v>0</v>
      </c>
      <c r="I1239" s="21">
        <v>660</v>
      </c>
      <c r="J1239" s="21">
        <f>X1239</f>
        <v>0</v>
      </c>
    </row>
    <row r="1240" spans="1:10" x14ac:dyDescent="0.3">
      <c r="A1240" s="2" t="s">
        <v>1179</v>
      </c>
      <c r="B1240" s="1" t="s">
        <v>2152</v>
      </c>
      <c r="C1240" s="6" t="s">
        <v>3332</v>
      </c>
      <c r="D1240" s="6" t="s">
        <v>5492</v>
      </c>
      <c r="E1240" s="20">
        <f t="shared" si="100"/>
        <v>0</v>
      </c>
      <c r="F1240" s="20">
        <v>350</v>
      </c>
      <c r="G1240" s="24" t="s">
        <v>7695</v>
      </c>
      <c r="H1240" s="20">
        <f t="shared" si="101"/>
        <v>0</v>
      </c>
      <c r="I1240" s="21">
        <v>390</v>
      </c>
      <c r="J1240" s="21">
        <f>X1240</f>
        <v>0</v>
      </c>
    </row>
    <row r="1241" spans="1:10" ht="96.6" x14ac:dyDescent="0.3">
      <c r="A1241" s="2" t="s">
        <v>1180</v>
      </c>
      <c r="B1241" s="1" t="s">
        <v>2152</v>
      </c>
      <c r="C1241" s="6" t="s">
        <v>3333</v>
      </c>
      <c r="D1241" s="6" t="s">
        <v>5493</v>
      </c>
      <c r="E1241" s="20">
        <f t="shared" si="100"/>
        <v>0</v>
      </c>
      <c r="F1241" s="20">
        <f>'[79]MOTORLU HİDROLİK NUMUNE ÇIKARIC'!$L$2</f>
        <v>4495</v>
      </c>
      <c r="G1241" s="24" t="s">
        <v>7696</v>
      </c>
      <c r="H1241" s="20">
        <f t="shared" si="101"/>
        <v>0</v>
      </c>
      <c r="I1241" s="21">
        <v>2812</v>
      </c>
      <c r="J1241" s="21">
        <f>X1241</f>
        <v>0</v>
      </c>
    </row>
    <row r="1242" spans="1:10" ht="96.6" x14ac:dyDescent="0.3">
      <c r="A1242" s="2" t="s">
        <v>1181</v>
      </c>
      <c r="B1242" s="1" t="s">
        <v>2152</v>
      </c>
      <c r="C1242" s="6" t="s">
        <v>3334</v>
      </c>
      <c r="D1242" s="6" t="s">
        <v>5494</v>
      </c>
      <c r="E1242" s="20">
        <f t="shared" si="100"/>
        <v>0</v>
      </c>
      <c r="F1242" s="20"/>
      <c r="G1242" s="24" t="s">
        <v>7697</v>
      </c>
      <c r="H1242" s="20">
        <f t="shared" si="101"/>
        <v>0</v>
      </c>
      <c r="I1242" s="21">
        <v>3062</v>
      </c>
      <c r="J1242" s="21">
        <f>X1242</f>
        <v>0</v>
      </c>
    </row>
    <row r="1243" spans="1:10" x14ac:dyDescent="0.3">
      <c r="A1243" s="2" t="s">
        <v>1182</v>
      </c>
      <c r="B1243" s="1" t="s">
        <v>2152</v>
      </c>
      <c r="C1243" s="6" t="s">
        <v>3335</v>
      </c>
      <c r="D1243" s="6" t="s">
        <v>5495</v>
      </c>
      <c r="E1243" s="20">
        <f t="shared" si="100"/>
        <v>0</v>
      </c>
      <c r="F1243" s="20"/>
      <c r="G1243" s="24" t="s">
        <v>7698</v>
      </c>
      <c r="H1243" s="20">
        <f t="shared" si="101"/>
        <v>0</v>
      </c>
      <c r="I1243" s="21">
        <v>54</v>
      </c>
      <c r="J1243" s="21">
        <f t="shared" ref="J1243:J1264" si="103">X1243</f>
        <v>0</v>
      </c>
    </row>
    <row r="1244" spans="1:10" x14ac:dyDescent="0.3">
      <c r="A1244" s="2" t="s">
        <v>1183</v>
      </c>
      <c r="B1244" s="1" t="s">
        <v>2152</v>
      </c>
      <c r="C1244" s="6" t="s">
        <v>3336</v>
      </c>
      <c r="D1244" s="6" t="s">
        <v>5496</v>
      </c>
      <c r="E1244" s="20">
        <f t="shared" si="100"/>
        <v>0</v>
      </c>
      <c r="F1244" s="20"/>
      <c r="G1244" s="24" t="s">
        <v>7699</v>
      </c>
      <c r="H1244" s="20">
        <f t="shared" si="101"/>
        <v>0</v>
      </c>
      <c r="I1244" s="21">
        <v>57</v>
      </c>
      <c r="J1244" s="21">
        <f t="shared" si="103"/>
        <v>0</v>
      </c>
    </row>
    <row r="1245" spans="1:10" x14ac:dyDescent="0.3">
      <c r="A1245" s="2" t="s">
        <v>1184</v>
      </c>
      <c r="B1245" s="1" t="s">
        <v>2152</v>
      </c>
      <c r="C1245" s="6" t="s">
        <v>3337</v>
      </c>
      <c r="D1245" s="6" t="s">
        <v>5497</v>
      </c>
      <c r="E1245" s="20">
        <f t="shared" si="100"/>
        <v>0</v>
      </c>
      <c r="F1245" s="20"/>
      <c r="G1245" s="24" t="s">
        <v>7700</v>
      </c>
      <c r="H1245" s="20">
        <f t="shared" si="101"/>
        <v>0</v>
      </c>
      <c r="I1245" s="21">
        <v>60</v>
      </c>
      <c r="J1245" s="21">
        <f t="shared" si="103"/>
        <v>0</v>
      </c>
    </row>
    <row r="1246" spans="1:10" x14ac:dyDescent="0.3">
      <c r="A1246" s="2" t="s">
        <v>1185</v>
      </c>
      <c r="B1246" s="1" t="s">
        <v>2152</v>
      </c>
      <c r="C1246" s="6" t="s">
        <v>3338</v>
      </c>
      <c r="D1246" s="6" t="s">
        <v>5498</v>
      </c>
      <c r="E1246" s="20">
        <f t="shared" si="100"/>
        <v>0</v>
      </c>
      <c r="F1246" s="20"/>
      <c r="G1246" s="24" t="s">
        <v>7701</v>
      </c>
      <c r="H1246" s="20">
        <f t="shared" si="101"/>
        <v>0</v>
      </c>
      <c r="I1246" s="21">
        <v>63</v>
      </c>
      <c r="J1246" s="21">
        <f t="shared" si="103"/>
        <v>0</v>
      </c>
    </row>
    <row r="1247" spans="1:10" x14ac:dyDescent="0.3">
      <c r="A1247" s="2" t="s">
        <v>1186</v>
      </c>
      <c r="B1247" s="1" t="s">
        <v>2152</v>
      </c>
      <c r="C1247" s="6" t="s">
        <v>3339</v>
      </c>
      <c r="D1247" s="6" t="s">
        <v>5499</v>
      </c>
      <c r="E1247" s="20">
        <f t="shared" si="100"/>
        <v>0</v>
      </c>
      <c r="F1247" s="20"/>
      <c r="G1247" s="24" t="s">
        <v>7702</v>
      </c>
      <c r="H1247" s="20">
        <f t="shared" si="101"/>
        <v>0</v>
      </c>
      <c r="I1247" s="21">
        <v>66</v>
      </c>
      <c r="J1247" s="21">
        <f t="shared" si="103"/>
        <v>0</v>
      </c>
    </row>
    <row r="1248" spans="1:10" ht="55.2" x14ac:dyDescent="0.3">
      <c r="A1248" s="2" t="s">
        <v>661</v>
      </c>
      <c r="B1248" s="1" t="s">
        <v>2152</v>
      </c>
      <c r="C1248" s="6" t="s">
        <v>2806</v>
      </c>
      <c r="D1248" s="6" t="s">
        <v>4974</v>
      </c>
      <c r="E1248" s="20">
        <f t="shared" si="100"/>
        <v>0</v>
      </c>
      <c r="F1248" s="20">
        <v>490</v>
      </c>
      <c r="G1248" s="24" t="s">
        <v>7703</v>
      </c>
      <c r="H1248" s="20">
        <f t="shared" si="101"/>
        <v>0</v>
      </c>
      <c r="I1248" s="21">
        <v>300</v>
      </c>
      <c r="J1248" s="21">
        <f t="shared" si="103"/>
        <v>0</v>
      </c>
    </row>
    <row r="1249" spans="1:10" ht="96.6" x14ac:dyDescent="0.3">
      <c r="A1249" s="2" t="s">
        <v>1187</v>
      </c>
      <c r="B1249" s="1" t="s">
        <v>2152</v>
      </c>
      <c r="C1249" s="6" t="s">
        <v>3340</v>
      </c>
      <c r="D1249" s="6" t="s">
        <v>5500</v>
      </c>
      <c r="E1249" s="20">
        <f t="shared" si="100"/>
        <v>0</v>
      </c>
      <c r="F1249" s="20"/>
      <c r="G1249" s="24" t="s">
        <v>7704</v>
      </c>
      <c r="H1249" s="20">
        <f t="shared" si="101"/>
        <v>0</v>
      </c>
      <c r="I1249" s="21">
        <v>1080</v>
      </c>
      <c r="J1249" s="21">
        <f t="shared" si="103"/>
        <v>0</v>
      </c>
    </row>
    <row r="1250" spans="1:10" x14ac:dyDescent="0.3">
      <c r="A1250" s="2" t="s">
        <v>1188</v>
      </c>
      <c r="B1250" s="1" t="s">
        <v>2152</v>
      </c>
      <c r="C1250" s="6" t="s">
        <v>3335</v>
      </c>
      <c r="D1250" s="6" t="s">
        <v>5495</v>
      </c>
      <c r="E1250" s="20">
        <f t="shared" si="100"/>
        <v>0</v>
      </c>
      <c r="F1250" s="20"/>
      <c r="G1250" s="24" t="s">
        <v>7705</v>
      </c>
      <c r="H1250" s="20">
        <f t="shared" si="101"/>
        <v>0</v>
      </c>
      <c r="I1250" s="21">
        <v>54</v>
      </c>
      <c r="J1250" s="21">
        <f t="shared" si="103"/>
        <v>0</v>
      </c>
    </row>
    <row r="1251" spans="1:10" x14ac:dyDescent="0.3">
      <c r="A1251" s="2" t="s">
        <v>1189</v>
      </c>
      <c r="B1251" s="1" t="s">
        <v>2152</v>
      </c>
      <c r="C1251" s="6" t="s">
        <v>3336</v>
      </c>
      <c r="D1251" s="6" t="s">
        <v>5496</v>
      </c>
      <c r="E1251" s="20">
        <f t="shared" si="100"/>
        <v>0</v>
      </c>
      <c r="F1251" s="20"/>
      <c r="G1251" s="24" t="s">
        <v>7706</v>
      </c>
      <c r="H1251" s="20">
        <f t="shared" si="101"/>
        <v>0</v>
      </c>
      <c r="I1251" s="21">
        <v>57</v>
      </c>
      <c r="J1251" s="21">
        <f t="shared" si="103"/>
        <v>0</v>
      </c>
    </row>
    <row r="1252" spans="1:10" x14ac:dyDescent="0.3">
      <c r="A1252" s="2" t="s">
        <v>1190</v>
      </c>
      <c r="B1252" s="1" t="s">
        <v>2152</v>
      </c>
      <c r="C1252" s="6" t="s">
        <v>3337</v>
      </c>
      <c r="D1252" s="6" t="s">
        <v>5497</v>
      </c>
      <c r="E1252" s="20">
        <f t="shared" si="100"/>
        <v>0</v>
      </c>
      <c r="F1252" s="20"/>
      <c r="G1252" s="24" t="s">
        <v>7707</v>
      </c>
      <c r="H1252" s="20">
        <f t="shared" si="101"/>
        <v>0</v>
      </c>
      <c r="I1252" s="21">
        <v>60</v>
      </c>
      <c r="J1252" s="21">
        <f t="shared" si="103"/>
        <v>0</v>
      </c>
    </row>
    <row r="1253" spans="1:10" x14ac:dyDescent="0.3">
      <c r="A1253" s="2" t="s">
        <v>1191</v>
      </c>
      <c r="B1253" s="1" t="s">
        <v>2152</v>
      </c>
      <c r="C1253" s="6" t="s">
        <v>3338</v>
      </c>
      <c r="D1253" s="6" t="s">
        <v>5498</v>
      </c>
      <c r="E1253" s="20">
        <f t="shared" si="100"/>
        <v>0</v>
      </c>
      <c r="F1253" s="20"/>
      <c r="G1253" s="24" t="s">
        <v>7708</v>
      </c>
      <c r="H1253" s="20">
        <f t="shared" si="101"/>
        <v>0</v>
      </c>
      <c r="I1253" s="21">
        <v>63</v>
      </c>
      <c r="J1253" s="21">
        <f t="shared" si="103"/>
        <v>0</v>
      </c>
    </row>
    <row r="1254" spans="1:10" x14ac:dyDescent="0.3">
      <c r="A1254" s="2" t="s">
        <v>1192</v>
      </c>
      <c r="B1254" s="1" t="s">
        <v>2152</v>
      </c>
      <c r="C1254" s="6" t="s">
        <v>3339</v>
      </c>
      <c r="D1254" s="6" t="s">
        <v>5499</v>
      </c>
      <c r="E1254" s="20">
        <f t="shared" si="100"/>
        <v>0</v>
      </c>
      <c r="F1254" s="20"/>
      <c r="G1254" s="24" t="s">
        <v>7709</v>
      </c>
      <c r="H1254" s="20">
        <f t="shared" si="101"/>
        <v>0</v>
      </c>
      <c r="I1254" s="21">
        <v>66</v>
      </c>
      <c r="J1254" s="21">
        <f t="shared" si="103"/>
        <v>0</v>
      </c>
    </row>
    <row r="1255" spans="1:10" x14ac:dyDescent="0.3">
      <c r="A1255" s="2" t="s">
        <v>1193</v>
      </c>
      <c r="B1255" s="1" t="s">
        <v>2152</v>
      </c>
      <c r="C1255" s="6" t="s">
        <v>3341</v>
      </c>
      <c r="D1255" s="6" t="s">
        <v>5501</v>
      </c>
      <c r="E1255" s="20">
        <f t="shared" si="100"/>
        <v>0</v>
      </c>
      <c r="F1255" s="20">
        <v>750</v>
      </c>
      <c r="G1255" s="24" t="s">
        <v>7710</v>
      </c>
      <c r="H1255" s="20">
        <f t="shared" si="101"/>
        <v>0</v>
      </c>
      <c r="I1255" s="21">
        <v>600</v>
      </c>
      <c r="J1255" s="21">
        <f t="shared" si="103"/>
        <v>0</v>
      </c>
    </row>
    <row r="1256" spans="1:10" x14ac:dyDescent="0.3">
      <c r="A1256" s="2" t="s">
        <v>1194</v>
      </c>
      <c r="B1256" s="1" t="s">
        <v>2152</v>
      </c>
      <c r="C1256" s="6" t="s">
        <v>3342</v>
      </c>
      <c r="D1256" s="6" t="s">
        <v>5502</v>
      </c>
      <c r="E1256" s="20">
        <f t="shared" si="100"/>
        <v>0</v>
      </c>
      <c r="F1256" s="20"/>
      <c r="G1256" s="24" t="s">
        <v>7711</v>
      </c>
      <c r="H1256" s="20">
        <f t="shared" si="101"/>
        <v>0</v>
      </c>
      <c r="I1256" s="21">
        <v>10.8</v>
      </c>
      <c r="J1256" s="21">
        <f t="shared" si="103"/>
        <v>0</v>
      </c>
    </row>
    <row r="1257" spans="1:10" x14ac:dyDescent="0.3">
      <c r="A1257" s="2" t="s">
        <v>1195</v>
      </c>
      <c r="B1257" s="1" t="s">
        <v>2152</v>
      </c>
      <c r="C1257" s="6" t="s">
        <v>3343</v>
      </c>
      <c r="D1257" s="6" t="s">
        <v>5503</v>
      </c>
      <c r="E1257" s="20">
        <f t="shared" si="100"/>
        <v>0</v>
      </c>
      <c r="F1257" s="20"/>
      <c r="G1257" s="24" t="s">
        <v>7712</v>
      </c>
      <c r="H1257" s="20">
        <f t="shared" si="101"/>
        <v>0</v>
      </c>
      <c r="I1257" s="21">
        <v>2.4</v>
      </c>
      <c r="J1257" s="21">
        <f t="shared" si="103"/>
        <v>0</v>
      </c>
    </row>
    <row r="1258" spans="1:10" x14ac:dyDescent="0.3">
      <c r="A1258" s="2" t="s">
        <v>1196</v>
      </c>
      <c r="B1258" s="1" t="s">
        <v>2152</v>
      </c>
      <c r="C1258" s="6" t="s">
        <v>3344</v>
      </c>
      <c r="D1258" s="6" t="s">
        <v>5504</v>
      </c>
      <c r="E1258" s="20">
        <f t="shared" si="100"/>
        <v>0</v>
      </c>
      <c r="F1258" s="20"/>
      <c r="G1258" s="24" t="s">
        <v>7713</v>
      </c>
      <c r="H1258" s="20">
        <f t="shared" si="101"/>
        <v>0</v>
      </c>
      <c r="I1258" s="21">
        <v>18</v>
      </c>
      <c r="J1258" s="21">
        <f t="shared" si="103"/>
        <v>0</v>
      </c>
    </row>
    <row r="1259" spans="1:10" ht="41.4" x14ac:dyDescent="0.3">
      <c r="A1259" s="2" t="s">
        <v>1197</v>
      </c>
      <c r="B1259" s="1" t="s">
        <v>2152</v>
      </c>
      <c r="C1259" s="6" t="s">
        <v>3345</v>
      </c>
      <c r="D1259" s="6" t="s">
        <v>5505</v>
      </c>
      <c r="E1259" s="20">
        <f t="shared" si="100"/>
        <v>0</v>
      </c>
      <c r="F1259" s="20">
        <v>3150</v>
      </c>
      <c r="G1259" s="24" t="s">
        <v>7714</v>
      </c>
      <c r="H1259" s="20">
        <f t="shared" si="101"/>
        <v>0</v>
      </c>
      <c r="I1259" s="21">
        <v>609</v>
      </c>
      <c r="J1259" s="21">
        <f t="shared" si="103"/>
        <v>0</v>
      </c>
    </row>
    <row r="1260" spans="1:10" ht="41.4" x14ac:dyDescent="0.3">
      <c r="A1260" s="2" t="s">
        <v>1198</v>
      </c>
      <c r="B1260" s="1" t="s">
        <v>2152</v>
      </c>
      <c r="C1260" s="6" t="s">
        <v>3346</v>
      </c>
      <c r="D1260" s="6" t="s">
        <v>5506</v>
      </c>
      <c r="E1260" s="20">
        <f t="shared" si="100"/>
        <v>0</v>
      </c>
      <c r="F1260" s="20">
        <v>1750</v>
      </c>
      <c r="G1260" s="24" t="s">
        <v>7715</v>
      </c>
      <c r="H1260" s="20">
        <f t="shared" si="101"/>
        <v>0</v>
      </c>
      <c r="I1260" s="21">
        <v>450</v>
      </c>
      <c r="J1260" s="21">
        <f t="shared" si="103"/>
        <v>0</v>
      </c>
    </row>
    <row r="1261" spans="1:10" x14ac:dyDescent="0.3">
      <c r="A1261" s="2" t="s">
        <v>1199</v>
      </c>
      <c r="B1261" s="1" t="s">
        <v>2152</v>
      </c>
      <c r="C1261" s="6" t="s">
        <v>3347</v>
      </c>
      <c r="D1261" s="6" t="s">
        <v>5507</v>
      </c>
      <c r="E1261" s="20">
        <f t="shared" si="100"/>
        <v>0</v>
      </c>
      <c r="F1261" s="20">
        <v>1500</v>
      </c>
      <c r="G1261" s="24" t="s">
        <v>7716</v>
      </c>
      <c r="H1261" s="20">
        <f t="shared" si="101"/>
        <v>0</v>
      </c>
      <c r="I1261" s="21">
        <v>90</v>
      </c>
      <c r="J1261" s="21">
        <f t="shared" si="103"/>
        <v>0</v>
      </c>
    </row>
    <row r="1262" spans="1:10" x14ac:dyDescent="0.3">
      <c r="A1262" s="2" t="s">
        <v>1200</v>
      </c>
      <c r="B1262" s="1" t="s">
        <v>2152</v>
      </c>
      <c r="C1262" s="6" t="s">
        <v>3348</v>
      </c>
      <c r="D1262" s="6" t="s">
        <v>5508</v>
      </c>
      <c r="E1262" s="20">
        <f t="shared" si="100"/>
        <v>0</v>
      </c>
      <c r="F1262" s="20">
        <v>1300</v>
      </c>
      <c r="G1262" s="24" t="s">
        <v>7717</v>
      </c>
      <c r="H1262" s="20">
        <f t="shared" si="101"/>
        <v>0</v>
      </c>
      <c r="I1262" s="21">
        <v>48</v>
      </c>
      <c r="J1262" s="21">
        <f t="shared" si="103"/>
        <v>0</v>
      </c>
    </row>
    <row r="1263" spans="1:10" x14ac:dyDescent="0.3">
      <c r="A1263" s="2" t="s">
        <v>1201</v>
      </c>
      <c r="B1263" s="1" t="s">
        <v>2152</v>
      </c>
      <c r="C1263" s="15" t="s">
        <v>3349</v>
      </c>
      <c r="D1263" s="6" t="s">
        <v>5509</v>
      </c>
      <c r="E1263" s="20">
        <f t="shared" si="100"/>
        <v>0</v>
      </c>
      <c r="F1263" s="20">
        <v>50</v>
      </c>
      <c r="G1263" s="24" t="s">
        <v>7718</v>
      </c>
      <c r="H1263" s="20">
        <f t="shared" si="101"/>
        <v>0</v>
      </c>
      <c r="I1263" s="21">
        <v>21</v>
      </c>
      <c r="J1263" s="21">
        <f t="shared" si="103"/>
        <v>0</v>
      </c>
    </row>
    <row r="1264" spans="1:10" ht="69" x14ac:dyDescent="0.3">
      <c r="A1264" s="2" t="s">
        <v>1202</v>
      </c>
      <c r="B1264" s="1" t="s">
        <v>2152</v>
      </c>
      <c r="C1264" s="6" t="s">
        <v>3350</v>
      </c>
      <c r="D1264" s="6" t="s">
        <v>5510</v>
      </c>
      <c r="E1264" s="20">
        <f t="shared" si="100"/>
        <v>0</v>
      </c>
      <c r="F1264" s="20">
        <v>7500</v>
      </c>
      <c r="G1264" s="24" t="s">
        <v>7719</v>
      </c>
      <c r="H1264" s="20">
        <f t="shared" si="101"/>
        <v>0</v>
      </c>
      <c r="I1264" s="21">
        <v>990</v>
      </c>
      <c r="J1264" s="21">
        <f t="shared" si="103"/>
        <v>0</v>
      </c>
    </row>
    <row r="1265" spans="1:10" ht="69" x14ac:dyDescent="0.3">
      <c r="A1265" s="2" t="s">
        <v>1203</v>
      </c>
      <c r="B1265" s="1" t="s">
        <v>2152</v>
      </c>
      <c r="C1265" s="6" t="s">
        <v>3351</v>
      </c>
      <c r="D1265" s="6" t="s">
        <v>5511</v>
      </c>
      <c r="E1265" s="20">
        <f t="shared" si="100"/>
        <v>0</v>
      </c>
      <c r="F1265" s="20"/>
      <c r="G1265" s="24" t="s">
        <v>7720</v>
      </c>
      <c r="H1265" s="20">
        <f t="shared" si="101"/>
        <v>0</v>
      </c>
      <c r="I1265" s="21">
        <v>1260</v>
      </c>
      <c r="J1265" s="21">
        <f>X1265</f>
        <v>0</v>
      </c>
    </row>
    <row r="1266" spans="1:10" ht="69" x14ac:dyDescent="0.3">
      <c r="A1266" s="2" t="s">
        <v>1204</v>
      </c>
      <c r="B1266" s="1" t="s">
        <v>2152</v>
      </c>
      <c r="C1266" s="6" t="s">
        <v>3352</v>
      </c>
      <c r="D1266" s="6" t="s">
        <v>5512</v>
      </c>
      <c r="E1266" s="20">
        <f t="shared" si="100"/>
        <v>0</v>
      </c>
      <c r="F1266" s="20">
        <v>550</v>
      </c>
      <c r="G1266" s="24" t="s">
        <v>7721</v>
      </c>
      <c r="H1266" s="20">
        <f t="shared" si="101"/>
        <v>0</v>
      </c>
      <c r="I1266" s="21">
        <v>158</v>
      </c>
      <c r="J1266" s="21">
        <f t="shared" ref="J1266:J1273" si="104">X1266</f>
        <v>0</v>
      </c>
    </row>
    <row r="1267" spans="1:10" ht="69" x14ac:dyDescent="0.3">
      <c r="A1267" s="2" t="s">
        <v>1205</v>
      </c>
      <c r="B1267" s="1" t="s">
        <v>2152</v>
      </c>
      <c r="C1267" s="6" t="s">
        <v>3353</v>
      </c>
      <c r="D1267" s="6" t="s">
        <v>5513</v>
      </c>
      <c r="E1267" s="20">
        <f t="shared" si="100"/>
        <v>0</v>
      </c>
      <c r="F1267" s="20"/>
      <c r="G1267" s="24" t="s">
        <v>7722</v>
      </c>
      <c r="H1267" s="20">
        <f t="shared" si="101"/>
        <v>0</v>
      </c>
      <c r="I1267" s="21">
        <v>420</v>
      </c>
      <c r="J1267" s="21">
        <f t="shared" si="104"/>
        <v>0</v>
      </c>
    </row>
    <row r="1268" spans="1:10" x14ac:dyDescent="0.3">
      <c r="A1268" s="2" t="s">
        <v>1206</v>
      </c>
      <c r="B1268" s="1" t="s">
        <v>2152</v>
      </c>
      <c r="C1268" s="6" t="s">
        <v>3067</v>
      </c>
      <c r="D1268" s="6" t="s">
        <v>5514</v>
      </c>
      <c r="E1268" s="20">
        <f t="shared" si="100"/>
        <v>0</v>
      </c>
      <c r="F1268" s="20">
        <v>400</v>
      </c>
      <c r="G1268" s="24" t="s">
        <v>7723</v>
      </c>
      <c r="H1268" s="20">
        <f t="shared" si="101"/>
        <v>0</v>
      </c>
      <c r="I1268" s="21">
        <v>12</v>
      </c>
      <c r="J1268" s="21">
        <f t="shared" si="104"/>
        <v>0</v>
      </c>
    </row>
    <row r="1269" spans="1:10" x14ac:dyDescent="0.3">
      <c r="A1269" s="2" t="s">
        <v>1207</v>
      </c>
      <c r="B1269" s="1" t="s">
        <v>2152</v>
      </c>
      <c r="C1269" s="6" t="s">
        <v>3354</v>
      </c>
      <c r="D1269" s="6" t="s">
        <v>5515</v>
      </c>
      <c r="E1269" s="20">
        <f t="shared" si="100"/>
        <v>0</v>
      </c>
      <c r="F1269" s="20">
        <v>600</v>
      </c>
      <c r="G1269" s="24" t="s">
        <v>7724</v>
      </c>
      <c r="H1269" s="20">
        <f t="shared" si="101"/>
        <v>0</v>
      </c>
      <c r="I1269" s="21">
        <v>18</v>
      </c>
      <c r="J1269" s="21">
        <f t="shared" si="104"/>
        <v>0</v>
      </c>
    </row>
    <row r="1270" spans="1:10" ht="27.6" x14ac:dyDescent="0.3">
      <c r="A1270" s="2" t="s">
        <v>1208</v>
      </c>
      <c r="B1270" s="1" t="s">
        <v>2152</v>
      </c>
      <c r="C1270" s="6" t="s">
        <v>3355</v>
      </c>
      <c r="D1270" s="6" t="s">
        <v>5516</v>
      </c>
      <c r="E1270" s="20">
        <f t="shared" si="100"/>
        <v>0</v>
      </c>
      <c r="F1270" s="23">
        <v>1500</v>
      </c>
      <c r="G1270" s="24" t="s">
        <v>7725</v>
      </c>
      <c r="H1270" s="20">
        <f t="shared" si="101"/>
        <v>0</v>
      </c>
      <c r="I1270" s="21">
        <v>105</v>
      </c>
      <c r="J1270" s="21">
        <f t="shared" si="104"/>
        <v>0</v>
      </c>
    </row>
    <row r="1271" spans="1:10" ht="27.6" x14ac:dyDescent="0.3">
      <c r="A1271" s="2" t="s">
        <v>1209</v>
      </c>
      <c r="B1271" s="1" t="s">
        <v>2152</v>
      </c>
      <c r="C1271" s="6" t="s">
        <v>3356</v>
      </c>
      <c r="D1271" s="6" t="s">
        <v>5517</v>
      </c>
      <c r="E1271" s="20">
        <f t="shared" si="100"/>
        <v>0</v>
      </c>
      <c r="F1271" s="23">
        <v>1055</v>
      </c>
      <c r="G1271" s="24" t="s">
        <v>7726</v>
      </c>
      <c r="H1271" s="20">
        <f t="shared" si="101"/>
        <v>0</v>
      </c>
      <c r="I1271" s="21">
        <v>42.6</v>
      </c>
      <c r="J1271" s="21">
        <f t="shared" si="104"/>
        <v>0</v>
      </c>
    </row>
    <row r="1272" spans="1:10" x14ac:dyDescent="0.3">
      <c r="A1272" s="2" t="s">
        <v>1210</v>
      </c>
      <c r="B1272" s="1" t="s">
        <v>2152</v>
      </c>
      <c r="C1272" s="6" t="s">
        <v>3357</v>
      </c>
      <c r="D1272" s="6" t="s">
        <v>5518</v>
      </c>
      <c r="E1272" s="20">
        <f t="shared" si="100"/>
        <v>0</v>
      </c>
      <c r="F1272" s="23">
        <v>180</v>
      </c>
      <c r="G1272" s="24" t="s">
        <v>7727</v>
      </c>
      <c r="H1272" s="20">
        <f t="shared" si="101"/>
        <v>0</v>
      </c>
      <c r="I1272" s="21">
        <v>12.6</v>
      </c>
      <c r="J1272" s="21">
        <f t="shared" si="104"/>
        <v>0</v>
      </c>
    </row>
    <row r="1273" spans="1:10" x14ac:dyDescent="0.3">
      <c r="A1273" s="2" t="s">
        <v>708</v>
      </c>
      <c r="B1273" s="1" t="s">
        <v>2152</v>
      </c>
      <c r="C1273" s="6" t="s">
        <v>2855</v>
      </c>
      <c r="D1273" s="6" t="s">
        <v>5023</v>
      </c>
      <c r="E1273" s="20">
        <f t="shared" si="100"/>
        <v>0</v>
      </c>
      <c r="F1273" s="23">
        <v>124</v>
      </c>
      <c r="G1273" s="24" t="s">
        <v>7728</v>
      </c>
      <c r="H1273" s="20">
        <f t="shared" si="101"/>
        <v>0</v>
      </c>
      <c r="I1273" s="21">
        <v>8.4</v>
      </c>
      <c r="J1273" s="21">
        <f t="shared" si="104"/>
        <v>0</v>
      </c>
    </row>
    <row r="1274" spans="1:10" x14ac:dyDescent="0.3">
      <c r="A1274" s="2" t="s">
        <v>1211</v>
      </c>
      <c r="B1274" s="1" t="s">
        <v>2152</v>
      </c>
      <c r="C1274" s="6" t="s">
        <v>3358</v>
      </c>
      <c r="D1274" s="6" t="s">
        <v>5519</v>
      </c>
      <c r="E1274" s="20"/>
      <c r="F1274" s="20"/>
      <c r="G1274" s="24" t="s">
        <v>7729</v>
      </c>
      <c r="H1274" s="20"/>
    </row>
    <row r="1275" spans="1:10" ht="55.2" x14ac:dyDescent="0.3">
      <c r="A1275" s="2" t="s">
        <v>1212</v>
      </c>
      <c r="B1275" s="1" t="s">
        <v>2152</v>
      </c>
      <c r="C1275" s="6" t="s">
        <v>3359</v>
      </c>
      <c r="D1275" s="6" t="s">
        <v>5520</v>
      </c>
      <c r="E1275" s="20">
        <f t="shared" si="100"/>
        <v>0</v>
      </c>
      <c r="F1275" s="20">
        <f>'[80]KONİK PENETROMETRESİ'!$H$30</f>
        <v>14892.97</v>
      </c>
      <c r="G1275" s="24" t="s">
        <v>7730</v>
      </c>
      <c r="H1275" s="20">
        <f t="shared" si="101"/>
        <v>0</v>
      </c>
      <c r="I1275" s="21">
        <v>810</v>
      </c>
      <c r="J1275" s="21">
        <f t="shared" ref="J1275:J1301" si="105">X1275</f>
        <v>0</v>
      </c>
    </row>
    <row r="1276" spans="1:10" x14ac:dyDescent="0.3">
      <c r="A1276" s="2" t="s">
        <v>1213</v>
      </c>
      <c r="B1276" s="1" t="s">
        <v>2152</v>
      </c>
      <c r="C1276" s="6" t="s">
        <v>3360</v>
      </c>
      <c r="D1276" s="6" t="s">
        <v>5521</v>
      </c>
      <c r="E1276" s="20">
        <f t="shared" si="100"/>
        <v>0</v>
      </c>
      <c r="F1276" s="20"/>
      <c r="G1276" s="24" t="s">
        <v>7731</v>
      </c>
      <c r="H1276" s="20">
        <f t="shared" si="101"/>
        <v>0</v>
      </c>
      <c r="I1276" s="21">
        <v>45</v>
      </c>
      <c r="J1276" s="21">
        <f t="shared" si="105"/>
        <v>0</v>
      </c>
    </row>
    <row r="1277" spans="1:10" x14ac:dyDescent="0.3">
      <c r="A1277" s="2" t="s">
        <v>1214</v>
      </c>
      <c r="B1277" s="1" t="s">
        <v>2152</v>
      </c>
      <c r="C1277" s="6" t="s">
        <v>3361</v>
      </c>
      <c r="D1277" s="6" t="s">
        <v>5522</v>
      </c>
      <c r="E1277" s="20">
        <f t="shared" si="100"/>
        <v>0</v>
      </c>
      <c r="F1277" s="20"/>
      <c r="G1277" s="24" t="s">
        <v>7732</v>
      </c>
      <c r="H1277" s="20">
        <f t="shared" si="101"/>
        <v>0</v>
      </c>
      <c r="I1277" s="21">
        <v>224</v>
      </c>
      <c r="J1277" s="21">
        <f t="shared" si="105"/>
        <v>0</v>
      </c>
    </row>
    <row r="1278" spans="1:10" x14ac:dyDescent="0.3">
      <c r="A1278" s="2" t="s">
        <v>1215</v>
      </c>
      <c r="B1278" s="1" t="s">
        <v>2152</v>
      </c>
      <c r="C1278" s="6" t="s">
        <v>3362</v>
      </c>
      <c r="D1278" s="6" t="s">
        <v>5523</v>
      </c>
      <c r="E1278" s="20">
        <f t="shared" si="100"/>
        <v>0</v>
      </c>
      <c r="F1278" s="20"/>
      <c r="G1278" s="24" t="s">
        <v>7733</v>
      </c>
      <c r="H1278" s="20">
        <f t="shared" si="101"/>
        <v>0</v>
      </c>
      <c r="I1278" s="21">
        <v>90</v>
      </c>
      <c r="J1278" s="21">
        <f t="shared" si="105"/>
        <v>0</v>
      </c>
    </row>
    <row r="1279" spans="1:10" x14ac:dyDescent="0.3">
      <c r="A1279" s="2" t="s">
        <v>1216</v>
      </c>
      <c r="B1279" s="1" t="s">
        <v>2152</v>
      </c>
      <c r="C1279" s="6" t="s">
        <v>3363</v>
      </c>
      <c r="D1279" s="6" t="s">
        <v>5524</v>
      </c>
      <c r="E1279" s="20">
        <f t="shared" si="100"/>
        <v>0</v>
      </c>
      <c r="F1279" s="20"/>
      <c r="G1279" s="24" t="s">
        <v>7734</v>
      </c>
      <c r="H1279" s="20">
        <f t="shared" si="101"/>
        <v>0</v>
      </c>
      <c r="I1279" s="21">
        <v>24</v>
      </c>
      <c r="J1279" s="21">
        <f t="shared" si="105"/>
        <v>0</v>
      </c>
    </row>
    <row r="1280" spans="1:10" x14ac:dyDescent="0.3">
      <c r="A1280" s="2" t="s">
        <v>491</v>
      </c>
      <c r="B1280" s="1" t="s">
        <v>2152</v>
      </c>
      <c r="C1280" s="6" t="s">
        <v>2637</v>
      </c>
      <c r="D1280" s="6" t="s">
        <v>4996</v>
      </c>
      <c r="E1280" s="20">
        <f t="shared" si="100"/>
        <v>0</v>
      </c>
      <c r="F1280" s="20">
        <v>40</v>
      </c>
      <c r="G1280" s="24" t="s">
        <v>7735</v>
      </c>
      <c r="H1280" s="20">
        <f t="shared" si="101"/>
        <v>0</v>
      </c>
      <c r="I1280" s="21">
        <v>3.13</v>
      </c>
      <c r="J1280" s="21">
        <f t="shared" si="105"/>
        <v>0</v>
      </c>
    </row>
    <row r="1281" spans="1:10" x14ac:dyDescent="0.3">
      <c r="A1281" s="2" t="s">
        <v>683</v>
      </c>
      <c r="B1281" s="1" t="s">
        <v>2152</v>
      </c>
      <c r="C1281" s="6" t="s">
        <v>2828</v>
      </c>
      <c r="D1281" s="6" t="s">
        <v>4997</v>
      </c>
      <c r="E1281" s="20">
        <f t="shared" si="100"/>
        <v>0</v>
      </c>
      <c r="F1281" s="20">
        <v>50</v>
      </c>
      <c r="G1281" s="24" t="s">
        <v>7736</v>
      </c>
      <c r="H1281" s="20">
        <f t="shared" si="101"/>
        <v>0</v>
      </c>
      <c r="I1281" s="21">
        <v>4.5</v>
      </c>
      <c r="J1281" s="21">
        <f t="shared" si="105"/>
        <v>0</v>
      </c>
    </row>
    <row r="1282" spans="1:10" ht="69" x14ac:dyDescent="0.3">
      <c r="A1282" s="2" t="s">
        <v>1217</v>
      </c>
      <c r="B1282" s="1" t="s">
        <v>2152</v>
      </c>
      <c r="C1282" s="6" t="s">
        <v>3364</v>
      </c>
      <c r="D1282" s="6" t="s">
        <v>5525</v>
      </c>
      <c r="E1282" s="20">
        <f t="shared" si="100"/>
        <v>0</v>
      </c>
      <c r="F1282" s="20">
        <v>1500</v>
      </c>
      <c r="G1282" s="24" t="s">
        <v>7737</v>
      </c>
      <c r="H1282" s="20">
        <f t="shared" si="101"/>
        <v>0</v>
      </c>
      <c r="I1282" s="21">
        <v>90</v>
      </c>
      <c r="J1282" s="21">
        <f t="shared" si="105"/>
        <v>0</v>
      </c>
    </row>
    <row r="1283" spans="1:10" x14ac:dyDescent="0.3">
      <c r="A1283" s="2" t="s">
        <v>1218</v>
      </c>
      <c r="B1283" s="1" t="s">
        <v>2152</v>
      </c>
      <c r="C1283" s="6" t="s">
        <v>3365</v>
      </c>
      <c r="D1283" s="6" t="s">
        <v>5526</v>
      </c>
      <c r="E1283" s="20">
        <f t="shared" si="100"/>
        <v>0</v>
      </c>
      <c r="F1283" s="20"/>
      <c r="G1283" s="24" t="s">
        <v>7738</v>
      </c>
      <c r="H1283" s="20">
        <f t="shared" si="101"/>
        <v>0</v>
      </c>
      <c r="I1283" s="21">
        <v>9</v>
      </c>
      <c r="J1283" s="21">
        <f t="shared" si="105"/>
        <v>0</v>
      </c>
    </row>
    <row r="1284" spans="1:10" x14ac:dyDescent="0.3">
      <c r="A1284" s="2" t="s">
        <v>1219</v>
      </c>
      <c r="B1284" s="1" t="s">
        <v>2152</v>
      </c>
      <c r="C1284" s="6" t="s">
        <v>3366</v>
      </c>
      <c r="D1284" s="6" t="s">
        <v>5527</v>
      </c>
      <c r="E1284" s="20">
        <f t="shared" si="100"/>
        <v>0</v>
      </c>
      <c r="F1284" s="20">
        <v>35</v>
      </c>
      <c r="G1284" s="24" t="s">
        <v>7739</v>
      </c>
      <c r="H1284" s="20">
        <f t="shared" si="101"/>
        <v>0</v>
      </c>
      <c r="I1284" s="21">
        <v>1.8</v>
      </c>
      <c r="J1284" s="21">
        <f t="shared" si="105"/>
        <v>0</v>
      </c>
    </row>
    <row r="1285" spans="1:10" x14ac:dyDescent="0.3">
      <c r="A1285" s="2" t="s">
        <v>491</v>
      </c>
      <c r="B1285" s="1" t="s">
        <v>2152</v>
      </c>
      <c r="C1285" s="6" t="s">
        <v>3367</v>
      </c>
      <c r="D1285" s="6" t="s">
        <v>5528</v>
      </c>
      <c r="E1285" s="20">
        <f t="shared" si="100"/>
        <v>0</v>
      </c>
      <c r="F1285" s="20">
        <v>40</v>
      </c>
      <c r="G1285" s="24" t="s">
        <v>7740</v>
      </c>
      <c r="H1285" s="20">
        <f t="shared" si="101"/>
        <v>0</v>
      </c>
      <c r="I1285" s="21">
        <v>3.13</v>
      </c>
      <c r="J1285" s="21">
        <f t="shared" si="105"/>
        <v>0</v>
      </c>
    </row>
    <row r="1286" spans="1:10" x14ac:dyDescent="0.3">
      <c r="A1286" s="2" t="s">
        <v>1220</v>
      </c>
      <c r="B1286" s="1" t="s">
        <v>2152</v>
      </c>
      <c r="C1286" s="6" t="s">
        <v>3368</v>
      </c>
      <c r="D1286" s="6" t="s">
        <v>5529</v>
      </c>
      <c r="E1286" s="20">
        <f t="shared" si="100"/>
        <v>0</v>
      </c>
      <c r="F1286" s="20">
        <v>213</v>
      </c>
      <c r="G1286" s="24" t="s">
        <v>7741</v>
      </c>
      <c r="H1286" s="20">
        <f t="shared" si="101"/>
        <v>0</v>
      </c>
      <c r="I1286" s="21">
        <v>21.6</v>
      </c>
      <c r="J1286" s="21">
        <f t="shared" si="105"/>
        <v>0</v>
      </c>
    </row>
    <row r="1287" spans="1:10" x14ac:dyDescent="0.3">
      <c r="A1287" s="2" t="s">
        <v>1221</v>
      </c>
      <c r="B1287" s="1" t="s">
        <v>2152</v>
      </c>
      <c r="C1287" s="6" t="s">
        <v>3369</v>
      </c>
      <c r="D1287" s="6" t="s">
        <v>5530</v>
      </c>
      <c r="E1287" s="20">
        <f t="shared" si="100"/>
        <v>0</v>
      </c>
      <c r="F1287" s="20"/>
      <c r="G1287" s="24" t="s">
        <v>7742</v>
      </c>
      <c r="H1287" s="20">
        <f t="shared" si="101"/>
        <v>0</v>
      </c>
      <c r="I1287" s="21">
        <v>15</v>
      </c>
      <c r="J1287" s="21">
        <f t="shared" si="105"/>
        <v>0</v>
      </c>
    </row>
    <row r="1288" spans="1:10" x14ac:dyDescent="0.3">
      <c r="A1288" s="2" t="s">
        <v>1222</v>
      </c>
      <c r="B1288" s="1" t="s">
        <v>2152</v>
      </c>
      <c r="C1288" s="6" t="s">
        <v>3370</v>
      </c>
      <c r="D1288" s="6" t="s">
        <v>5531</v>
      </c>
      <c r="E1288" s="20">
        <f t="shared" si="100"/>
        <v>0</v>
      </c>
      <c r="F1288" s="20">
        <v>102</v>
      </c>
      <c r="G1288" s="24" t="s">
        <v>7743</v>
      </c>
      <c r="H1288" s="20">
        <f t="shared" si="101"/>
        <v>0</v>
      </c>
      <c r="I1288" s="21">
        <v>7.2</v>
      </c>
      <c r="J1288" s="21">
        <f t="shared" si="105"/>
        <v>0</v>
      </c>
    </row>
    <row r="1289" spans="1:10" x14ac:dyDescent="0.3">
      <c r="A1289" s="2" t="s">
        <v>1223</v>
      </c>
      <c r="B1289" s="1" t="s">
        <v>2152</v>
      </c>
      <c r="C1289" s="6" t="s">
        <v>3371</v>
      </c>
      <c r="D1289" s="6" t="s">
        <v>5532</v>
      </c>
      <c r="E1289" s="20">
        <f t="shared" ref="E1289:E1352" si="106">H1289*1.8*1.4</f>
        <v>0</v>
      </c>
      <c r="F1289" s="20">
        <f>'[81]BÜZÜLME LİMİT KALIBI'!$L$2</f>
        <v>1003.93</v>
      </c>
      <c r="G1289" s="24" t="s">
        <v>7744</v>
      </c>
      <c r="H1289" s="20">
        <f t="shared" ref="H1289:H1352" si="107">K1289*1.8*1.4</f>
        <v>0</v>
      </c>
      <c r="I1289" s="21">
        <v>45</v>
      </c>
      <c r="J1289" s="21">
        <f t="shared" si="105"/>
        <v>0</v>
      </c>
    </row>
    <row r="1290" spans="1:10" ht="41.4" x14ac:dyDescent="0.3">
      <c r="A1290" s="2" t="s">
        <v>1224</v>
      </c>
      <c r="B1290" s="1" t="s">
        <v>2152</v>
      </c>
      <c r="C1290" s="6" t="s">
        <v>3372</v>
      </c>
      <c r="D1290" s="6" t="s">
        <v>5533</v>
      </c>
      <c r="E1290" s="20">
        <f t="shared" si="106"/>
        <v>0</v>
      </c>
      <c r="F1290" s="20">
        <v>700</v>
      </c>
      <c r="G1290" s="24" t="s">
        <v>7745</v>
      </c>
      <c r="H1290" s="20">
        <f t="shared" si="107"/>
        <v>0</v>
      </c>
      <c r="I1290" s="21">
        <v>390</v>
      </c>
      <c r="J1290" s="21">
        <f t="shared" si="105"/>
        <v>0</v>
      </c>
    </row>
    <row r="1291" spans="1:10" ht="41.4" x14ac:dyDescent="0.3">
      <c r="A1291" s="3" t="s">
        <v>1225</v>
      </c>
      <c r="B1291" s="1" t="s">
        <v>2152</v>
      </c>
      <c r="C1291" s="6" t="s">
        <v>3373</v>
      </c>
      <c r="D1291" s="6" t="s">
        <v>5534</v>
      </c>
      <c r="E1291" s="20">
        <f t="shared" si="106"/>
        <v>0</v>
      </c>
      <c r="F1291" s="20">
        <v>7700</v>
      </c>
      <c r="G1291" s="24" t="s">
        <v>7746</v>
      </c>
      <c r="H1291" s="20">
        <f t="shared" si="107"/>
        <v>0</v>
      </c>
      <c r="I1291" s="21">
        <v>390</v>
      </c>
      <c r="J1291" s="21">
        <f t="shared" si="105"/>
        <v>0</v>
      </c>
    </row>
    <row r="1292" spans="1:10" ht="41.4" x14ac:dyDescent="0.3">
      <c r="A1292" s="2" t="s">
        <v>1226</v>
      </c>
      <c r="B1292" s="1" t="s">
        <v>2152</v>
      </c>
      <c r="C1292" s="6" t="s">
        <v>3374</v>
      </c>
      <c r="D1292" s="6" t="s">
        <v>5535</v>
      </c>
      <c r="E1292" s="20">
        <f t="shared" si="106"/>
        <v>0</v>
      </c>
      <c r="F1292" s="20"/>
      <c r="G1292" s="24" t="s">
        <v>7747</v>
      </c>
      <c r="H1292" s="20">
        <f t="shared" si="107"/>
        <v>0</v>
      </c>
      <c r="I1292" s="21">
        <v>630</v>
      </c>
      <c r="J1292" s="21">
        <f t="shared" si="105"/>
        <v>0</v>
      </c>
    </row>
    <row r="1293" spans="1:10" ht="41.4" x14ac:dyDescent="0.3">
      <c r="A1293" s="2" t="s">
        <v>1227</v>
      </c>
      <c r="B1293" s="1" t="s">
        <v>2152</v>
      </c>
      <c r="C1293" s="6" t="s">
        <v>3375</v>
      </c>
      <c r="D1293" s="6" t="s">
        <v>5536</v>
      </c>
      <c r="E1293" s="20">
        <f t="shared" si="106"/>
        <v>0</v>
      </c>
      <c r="F1293" s="20">
        <v>1100</v>
      </c>
      <c r="G1293" s="24" t="s">
        <v>7748</v>
      </c>
      <c r="H1293" s="20">
        <f t="shared" si="107"/>
        <v>0</v>
      </c>
      <c r="I1293" s="21">
        <v>630</v>
      </c>
      <c r="J1293" s="21">
        <f t="shared" si="105"/>
        <v>0</v>
      </c>
    </row>
    <row r="1294" spans="1:10" x14ac:dyDescent="0.3">
      <c r="A1294" s="2" t="s">
        <v>1228</v>
      </c>
      <c r="B1294" s="1" t="s">
        <v>2152</v>
      </c>
      <c r="C1294" s="6" t="s">
        <v>3376</v>
      </c>
      <c r="D1294" s="6" t="s">
        <v>5537</v>
      </c>
      <c r="E1294" s="20">
        <f t="shared" si="106"/>
        <v>0</v>
      </c>
      <c r="F1294" s="20">
        <v>125</v>
      </c>
      <c r="G1294" s="24" t="s">
        <v>7749</v>
      </c>
      <c r="H1294" s="20">
        <f t="shared" si="107"/>
        <v>0</v>
      </c>
      <c r="I1294" s="21">
        <v>66</v>
      </c>
      <c r="J1294" s="21">
        <f t="shared" si="105"/>
        <v>0</v>
      </c>
    </row>
    <row r="1295" spans="1:10" x14ac:dyDescent="0.3">
      <c r="A1295" s="2" t="s">
        <v>1229</v>
      </c>
      <c r="B1295" s="1" t="s">
        <v>2152</v>
      </c>
      <c r="C1295" s="6" t="s">
        <v>3377</v>
      </c>
      <c r="D1295" s="6" t="s">
        <v>5538</v>
      </c>
      <c r="E1295" s="20">
        <f t="shared" si="106"/>
        <v>0</v>
      </c>
      <c r="F1295" s="20"/>
      <c r="G1295" s="24" t="s">
        <v>7750</v>
      </c>
      <c r="H1295" s="20">
        <f t="shared" si="107"/>
        <v>0</v>
      </c>
      <c r="I1295" s="21">
        <f>W1295</f>
        <v>0</v>
      </c>
      <c r="J1295" s="21">
        <f t="shared" si="105"/>
        <v>0</v>
      </c>
    </row>
    <row r="1296" spans="1:10" x14ac:dyDescent="0.3">
      <c r="A1296" s="2" t="s">
        <v>1230</v>
      </c>
      <c r="B1296" s="1" t="s">
        <v>2152</v>
      </c>
      <c r="C1296" s="6" t="s">
        <v>3378</v>
      </c>
      <c r="D1296" s="6" t="s">
        <v>5539</v>
      </c>
      <c r="E1296" s="20">
        <f t="shared" si="106"/>
        <v>0</v>
      </c>
      <c r="F1296" s="20">
        <v>40</v>
      </c>
      <c r="G1296" s="24" t="s">
        <v>7751</v>
      </c>
      <c r="H1296" s="20">
        <f t="shared" si="107"/>
        <v>0</v>
      </c>
      <c r="I1296" s="21">
        <f>W1296</f>
        <v>0</v>
      </c>
      <c r="J1296" s="21">
        <f t="shared" si="105"/>
        <v>0</v>
      </c>
    </row>
    <row r="1297" spans="1:10" x14ac:dyDescent="0.3">
      <c r="A1297" s="2" t="s">
        <v>1231</v>
      </c>
      <c r="B1297" s="1" t="s">
        <v>2152</v>
      </c>
      <c r="C1297" s="6" t="s">
        <v>3379</v>
      </c>
      <c r="D1297" s="6" t="s">
        <v>5540</v>
      </c>
      <c r="E1297" s="20">
        <f t="shared" si="106"/>
        <v>0</v>
      </c>
      <c r="F1297" s="20">
        <v>125</v>
      </c>
      <c r="G1297" s="24" t="s">
        <v>7752</v>
      </c>
      <c r="H1297" s="20">
        <f t="shared" si="107"/>
        <v>0</v>
      </c>
      <c r="I1297" s="21">
        <f>W1297</f>
        <v>0</v>
      </c>
      <c r="J1297" s="21">
        <f t="shared" si="105"/>
        <v>0</v>
      </c>
    </row>
    <row r="1298" spans="1:10" ht="55.2" x14ac:dyDescent="0.3">
      <c r="A1298" s="2" t="s">
        <v>1232</v>
      </c>
      <c r="B1298" s="1" t="s">
        <v>2152</v>
      </c>
      <c r="C1298" s="14" t="s">
        <v>3380</v>
      </c>
      <c r="D1298" s="6" t="s">
        <v>5541</v>
      </c>
      <c r="E1298" s="20">
        <f t="shared" si="106"/>
        <v>0</v>
      </c>
      <c r="F1298" s="20">
        <v>1500</v>
      </c>
      <c r="G1298" s="24" t="s">
        <v>7753</v>
      </c>
      <c r="H1298" s="20">
        <f t="shared" si="107"/>
        <v>0</v>
      </c>
      <c r="I1298" s="21">
        <v>105</v>
      </c>
      <c r="J1298" s="21">
        <f t="shared" si="105"/>
        <v>0</v>
      </c>
    </row>
    <row r="1299" spans="1:10" x14ac:dyDescent="0.3">
      <c r="A1299" s="2" t="s">
        <v>1233</v>
      </c>
      <c r="B1299" s="1" t="s">
        <v>2152</v>
      </c>
      <c r="C1299" s="14" t="s">
        <v>3381</v>
      </c>
      <c r="D1299" s="6" t="s">
        <v>5542</v>
      </c>
      <c r="E1299" s="20">
        <f t="shared" si="106"/>
        <v>0</v>
      </c>
      <c r="F1299" s="20"/>
      <c r="G1299" s="24" t="s">
        <v>7754</v>
      </c>
      <c r="H1299" s="20">
        <f t="shared" si="107"/>
        <v>0</v>
      </c>
      <c r="I1299" s="21">
        <v>9</v>
      </c>
      <c r="J1299" s="21">
        <f t="shared" si="105"/>
        <v>0</v>
      </c>
    </row>
    <row r="1300" spans="1:10" x14ac:dyDescent="0.3">
      <c r="A1300" s="2" t="s">
        <v>1234</v>
      </c>
      <c r="B1300" s="1" t="s">
        <v>2152</v>
      </c>
      <c r="C1300" s="14" t="s">
        <v>3382</v>
      </c>
      <c r="D1300" s="6" t="s">
        <v>5543</v>
      </c>
      <c r="E1300" s="20">
        <f t="shared" si="106"/>
        <v>0</v>
      </c>
      <c r="F1300" s="20"/>
      <c r="G1300" s="24" t="s">
        <v>7755</v>
      </c>
      <c r="H1300" s="20">
        <f t="shared" si="107"/>
        <v>0</v>
      </c>
      <c r="I1300" s="21">
        <v>6</v>
      </c>
      <c r="J1300" s="21">
        <f t="shared" si="105"/>
        <v>0</v>
      </c>
    </row>
    <row r="1301" spans="1:10" x14ac:dyDescent="0.3">
      <c r="A1301" s="2" t="s">
        <v>491</v>
      </c>
      <c r="B1301" s="1" t="s">
        <v>2152</v>
      </c>
      <c r="C1301" s="14" t="s">
        <v>2637</v>
      </c>
      <c r="D1301" s="6" t="s">
        <v>4996</v>
      </c>
      <c r="E1301" s="20">
        <f t="shared" si="106"/>
        <v>0</v>
      </c>
      <c r="F1301" s="20">
        <v>40</v>
      </c>
      <c r="G1301" s="24" t="s">
        <v>7756</v>
      </c>
      <c r="H1301" s="20">
        <f t="shared" si="107"/>
        <v>0</v>
      </c>
      <c r="I1301" s="21">
        <v>3.13</v>
      </c>
      <c r="J1301" s="21">
        <f t="shared" si="105"/>
        <v>0</v>
      </c>
    </row>
    <row r="1302" spans="1:10" x14ac:dyDescent="0.3">
      <c r="A1302" s="2" t="s">
        <v>1220</v>
      </c>
      <c r="B1302" s="1" t="s">
        <v>2152</v>
      </c>
      <c r="C1302" s="14" t="s">
        <v>3368</v>
      </c>
      <c r="D1302" s="6" t="s">
        <v>5529</v>
      </c>
      <c r="E1302" s="20">
        <f t="shared" si="106"/>
        <v>0</v>
      </c>
      <c r="F1302" s="20">
        <v>213</v>
      </c>
      <c r="G1302" s="24" t="s">
        <v>7757</v>
      </c>
      <c r="H1302" s="20">
        <f t="shared" si="107"/>
        <v>0</v>
      </c>
      <c r="I1302" s="21">
        <v>21.6</v>
      </c>
      <c r="J1302" s="21">
        <f>X1302</f>
        <v>0</v>
      </c>
    </row>
    <row r="1303" spans="1:10" x14ac:dyDescent="0.3">
      <c r="A1303" s="2" t="s">
        <v>1235</v>
      </c>
      <c r="B1303" s="1" t="s">
        <v>2152</v>
      </c>
      <c r="C1303" s="6" t="s">
        <v>3383</v>
      </c>
      <c r="D1303" s="6" t="s">
        <v>5544</v>
      </c>
      <c r="E1303" s="20">
        <f t="shared" si="106"/>
        <v>0</v>
      </c>
      <c r="F1303" s="20"/>
      <c r="G1303" s="24" t="s">
        <v>7758</v>
      </c>
      <c r="H1303" s="20">
        <f t="shared" si="107"/>
        <v>0</v>
      </c>
      <c r="I1303" s="21">
        <v>13.8</v>
      </c>
      <c r="J1303" s="21">
        <f>X1303</f>
        <v>0</v>
      </c>
    </row>
    <row r="1304" spans="1:10" ht="27.6" x14ac:dyDescent="0.3">
      <c r="A1304" s="2" t="s">
        <v>1236</v>
      </c>
      <c r="B1304" s="1" t="s">
        <v>2152</v>
      </c>
      <c r="C1304" s="6" t="s">
        <v>3384</v>
      </c>
      <c r="D1304" s="6" t="s">
        <v>5545</v>
      </c>
      <c r="E1304" s="20">
        <f t="shared" si="106"/>
        <v>0</v>
      </c>
      <c r="F1304" s="20">
        <v>450</v>
      </c>
      <c r="G1304" s="24" t="s">
        <v>7759</v>
      </c>
      <c r="H1304" s="20">
        <f t="shared" si="107"/>
        <v>0</v>
      </c>
      <c r="I1304" s="21">
        <v>75</v>
      </c>
      <c r="J1304" s="21">
        <f t="shared" ref="J1304:J1320" si="108">X1304</f>
        <v>0</v>
      </c>
    </row>
    <row r="1305" spans="1:10" ht="27.6" x14ac:dyDescent="0.3">
      <c r="A1305" s="2" t="s">
        <v>1237</v>
      </c>
      <c r="B1305" s="1" t="s">
        <v>2152</v>
      </c>
      <c r="C1305" s="6" t="s">
        <v>3385</v>
      </c>
      <c r="D1305" s="6" t="s">
        <v>5546</v>
      </c>
      <c r="E1305" s="20">
        <f t="shared" si="106"/>
        <v>0</v>
      </c>
      <c r="F1305" s="20">
        <v>180</v>
      </c>
      <c r="G1305" s="24" t="s">
        <v>7760</v>
      </c>
      <c r="H1305" s="20">
        <f t="shared" si="107"/>
        <v>0</v>
      </c>
      <c r="I1305" s="21">
        <v>85</v>
      </c>
      <c r="J1305" s="21">
        <f t="shared" si="108"/>
        <v>0</v>
      </c>
    </row>
    <row r="1306" spans="1:10" ht="27.6" x14ac:dyDescent="0.3">
      <c r="A1306" s="2" t="s">
        <v>1238</v>
      </c>
      <c r="B1306" s="1" t="s">
        <v>2152</v>
      </c>
      <c r="C1306" s="6" t="s">
        <v>3386</v>
      </c>
      <c r="D1306" s="6" t="s">
        <v>5547</v>
      </c>
      <c r="E1306" s="20">
        <f t="shared" si="106"/>
        <v>0</v>
      </c>
      <c r="F1306" s="20"/>
      <c r="G1306" s="24" t="s">
        <v>7761</v>
      </c>
      <c r="H1306" s="20">
        <f t="shared" si="107"/>
        <v>0</v>
      </c>
      <c r="I1306" s="21">
        <v>65</v>
      </c>
      <c r="J1306" s="21">
        <f t="shared" si="108"/>
        <v>0</v>
      </c>
    </row>
    <row r="1307" spans="1:10" x14ac:dyDescent="0.3">
      <c r="A1307" s="2" t="s">
        <v>1239</v>
      </c>
      <c r="B1307" s="1" t="s">
        <v>2152</v>
      </c>
      <c r="C1307" s="6" t="s">
        <v>3387</v>
      </c>
      <c r="D1307" s="6" t="s">
        <v>5548</v>
      </c>
      <c r="E1307" s="20">
        <f t="shared" si="106"/>
        <v>0</v>
      </c>
      <c r="F1307" s="20"/>
      <c r="G1307" s="24" t="s">
        <v>7762</v>
      </c>
      <c r="H1307" s="20">
        <f t="shared" si="107"/>
        <v>0</v>
      </c>
      <c r="I1307" s="21">
        <f>W1307</f>
        <v>0</v>
      </c>
      <c r="J1307" s="21">
        <f t="shared" si="108"/>
        <v>0</v>
      </c>
    </row>
    <row r="1308" spans="1:10" ht="27.6" x14ac:dyDescent="0.3">
      <c r="A1308" s="2" t="s">
        <v>1240</v>
      </c>
      <c r="B1308" s="1" t="s">
        <v>2152</v>
      </c>
      <c r="C1308" s="6" t="s">
        <v>3388</v>
      </c>
      <c r="D1308" s="6" t="s">
        <v>5549</v>
      </c>
      <c r="E1308" s="20">
        <f t="shared" si="106"/>
        <v>0</v>
      </c>
      <c r="F1308" s="20"/>
      <c r="G1308" s="24" t="s">
        <v>7763</v>
      </c>
      <c r="H1308" s="20">
        <f t="shared" si="107"/>
        <v>0</v>
      </c>
      <c r="I1308" s="21">
        <v>63</v>
      </c>
      <c r="J1308" s="21">
        <f t="shared" si="108"/>
        <v>0</v>
      </c>
    </row>
    <row r="1309" spans="1:10" x14ac:dyDescent="0.3">
      <c r="A1309" s="2" t="s">
        <v>1241</v>
      </c>
      <c r="B1309" s="1" t="s">
        <v>2152</v>
      </c>
      <c r="C1309" s="6" t="s">
        <v>3389</v>
      </c>
      <c r="D1309" s="6" t="s">
        <v>5550</v>
      </c>
      <c r="E1309" s="20">
        <f t="shared" si="106"/>
        <v>0</v>
      </c>
      <c r="F1309" s="20"/>
      <c r="G1309" s="24" t="s">
        <v>7764</v>
      </c>
      <c r="H1309" s="20">
        <f t="shared" si="107"/>
        <v>0</v>
      </c>
      <c r="I1309" s="21">
        <f>W1309</f>
        <v>0</v>
      </c>
      <c r="J1309" s="21">
        <f t="shared" si="108"/>
        <v>0</v>
      </c>
    </row>
    <row r="1310" spans="1:10" ht="27.6" x14ac:dyDescent="0.3">
      <c r="A1310" s="2" t="s">
        <v>1242</v>
      </c>
      <c r="B1310" s="1" t="s">
        <v>2152</v>
      </c>
      <c r="C1310" s="6" t="s">
        <v>3390</v>
      </c>
      <c r="D1310" s="6" t="s">
        <v>5551</v>
      </c>
      <c r="E1310" s="20">
        <f t="shared" si="106"/>
        <v>0</v>
      </c>
      <c r="F1310" s="20">
        <v>90</v>
      </c>
      <c r="G1310" s="24" t="s">
        <v>7765</v>
      </c>
      <c r="H1310" s="20">
        <f t="shared" si="107"/>
        <v>0</v>
      </c>
      <c r="I1310" s="21">
        <v>63</v>
      </c>
      <c r="J1310" s="21">
        <f t="shared" si="108"/>
        <v>0</v>
      </c>
    </row>
    <row r="1311" spans="1:10" x14ac:dyDescent="0.3">
      <c r="A1311" s="2" t="s">
        <v>1243</v>
      </c>
      <c r="B1311" s="1" t="s">
        <v>2152</v>
      </c>
      <c r="C1311" s="6" t="s">
        <v>3391</v>
      </c>
      <c r="D1311" s="6" t="s">
        <v>5552</v>
      </c>
      <c r="E1311" s="20">
        <f t="shared" si="106"/>
        <v>0</v>
      </c>
      <c r="F1311" s="20"/>
      <c r="G1311" s="24" t="s">
        <v>7766</v>
      </c>
      <c r="H1311" s="20">
        <f t="shared" si="107"/>
        <v>0</v>
      </c>
      <c r="I1311" s="21">
        <v>18</v>
      </c>
      <c r="J1311" s="21">
        <f t="shared" si="108"/>
        <v>0</v>
      </c>
    </row>
    <row r="1312" spans="1:10" ht="41.4" x14ac:dyDescent="0.3">
      <c r="A1312" s="2" t="s">
        <v>1244</v>
      </c>
      <c r="B1312" s="1" t="s">
        <v>2152</v>
      </c>
      <c r="C1312" s="6" t="s">
        <v>3392</v>
      </c>
      <c r="D1312" s="6" t="s">
        <v>5553</v>
      </c>
      <c r="E1312" s="20">
        <f t="shared" si="106"/>
        <v>0</v>
      </c>
      <c r="F1312" s="20">
        <f>'[82]2,5 kg'!$L$2</f>
        <v>1905.54</v>
      </c>
      <c r="G1312" s="24" t="s">
        <v>7767</v>
      </c>
      <c r="H1312" s="20">
        <f t="shared" si="107"/>
        <v>0</v>
      </c>
      <c r="I1312" s="21">
        <v>75</v>
      </c>
      <c r="J1312" s="21">
        <f t="shared" si="108"/>
        <v>0</v>
      </c>
    </row>
    <row r="1313" spans="1:10" ht="41.4" x14ac:dyDescent="0.3">
      <c r="A1313" s="2" t="s">
        <v>1245</v>
      </c>
      <c r="B1313" s="1" t="s">
        <v>2152</v>
      </c>
      <c r="C1313" s="6" t="s">
        <v>3393</v>
      </c>
      <c r="D1313" s="6" t="s">
        <v>5554</v>
      </c>
      <c r="E1313" s="20">
        <f t="shared" si="106"/>
        <v>0</v>
      </c>
      <c r="F1313" s="20">
        <f>'[82]4,5 kg'!$L$2</f>
        <v>2258.3399999999997</v>
      </c>
      <c r="G1313" s="24" t="s">
        <v>7768</v>
      </c>
      <c r="H1313" s="20">
        <f t="shared" si="107"/>
        <v>0</v>
      </c>
      <c r="I1313" s="21">
        <v>85</v>
      </c>
      <c r="J1313" s="21">
        <f t="shared" si="108"/>
        <v>0</v>
      </c>
    </row>
    <row r="1314" spans="1:10" ht="41.4" x14ac:dyDescent="0.3">
      <c r="A1314" s="2" t="s">
        <v>1246</v>
      </c>
      <c r="B1314" s="1" t="s">
        <v>2152</v>
      </c>
      <c r="C1314" s="6" t="s">
        <v>3394</v>
      </c>
      <c r="D1314" s="6" t="s">
        <v>5555</v>
      </c>
      <c r="E1314" s="20">
        <f t="shared" si="106"/>
        <v>0</v>
      </c>
      <c r="F1314" s="20"/>
      <c r="G1314" s="24" t="s">
        <v>7769</v>
      </c>
      <c r="H1314" s="20">
        <f t="shared" si="107"/>
        <v>0</v>
      </c>
      <c r="I1314" s="21">
        <v>75</v>
      </c>
      <c r="J1314" s="21">
        <f t="shared" si="108"/>
        <v>0</v>
      </c>
    </row>
    <row r="1315" spans="1:10" ht="41.4" x14ac:dyDescent="0.3">
      <c r="A1315" s="2" t="s">
        <v>1247</v>
      </c>
      <c r="B1315" s="1" t="s">
        <v>2152</v>
      </c>
      <c r="C1315" s="6" t="s">
        <v>3395</v>
      </c>
      <c r="D1315" s="6" t="s">
        <v>5556</v>
      </c>
      <c r="E1315" s="20">
        <f t="shared" si="106"/>
        <v>0</v>
      </c>
      <c r="F1315" s="20"/>
      <c r="G1315" s="24" t="s">
        <v>7770</v>
      </c>
      <c r="H1315" s="20">
        <f t="shared" si="107"/>
        <v>0</v>
      </c>
      <c r="I1315" s="21">
        <v>85</v>
      </c>
      <c r="J1315" s="21">
        <f t="shared" si="108"/>
        <v>0</v>
      </c>
    </row>
    <row r="1316" spans="1:10" ht="41.4" x14ac:dyDescent="0.3">
      <c r="A1316" s="2" t="s">
        <v>1248</v>
      </c>
      <c r="B1316" s="1" t="s">
        <v>2152</v>
      </c>
      <c r="C1316" s="6" t="s">
        <v>3396</v>
      </c>
      <c r="D1316" s="6" t="s">
        <v>5557</v>
      </c>
      <c r="E1316" s="20">
        <f t="shared" si="106"/>
        <v>0</v>
      </c>
      <c r="F1316" s="20">
        <v>110</v>
      </c>
      <c r="G1316" s="24" t="s">
        <v>7771</v>
      </c>
      <c r="H1316" s="20">
        <f t="shared" si="107"/>
        <v>0</v>
      </c>
      <c r="I1316" s="21">
        <v>75</v>
      </c>
      <c r="J1316" s="21">
        <f t="shared" si="108"/>
        <v>0</v>
      </c>
    </row>
    <row r="1317" spans="1:10" ht="41.4" x14ac:dyDescent="0.3">
      <c r="A1317" s="2" t="s">
        <v>1249</v>
      </c>
      <c r="B1317" s="1" t="s">
        <v>2152</v>
      </c>
      <c r="C1317" s="6" t="s">
        <v>3397</v>
      </c>
      <c r="D1317" s="6" t="s">
        <v>5558</v>
      </c>
      <c r="E1317" s="20">
        <f>H1317*1.8*1.4</f>
        <v>0</v>
      </c>
      <c r="F1317" s="20">
        <v>130</v>
      </c>
      <c r="G1317" s="24" t="s">
        <v>7772</v>
      </c>
      <c r="H1317" s="20">
        <f>K1317*1.8*1.4</f>
        <v>0</v>
      </c>
      <c r="I1317" s="21">
        <v>85</v>
      </c>
      <c r="J1317" s="21">
        <f t="shared" si="108"/>
        <v>0</v>
      </c>
    </row>
    <row r="1318" spans="1:10" ht="55.2" x14ac:dyDescent="0.3">
      <c r="A1318" s="2" t="s">
        <v>1250</v>
      </c>
      <c r="B1318" s="1" t="s">
        <v>2152</v>
      </c>
      <c r="C1318" s="6" t="s">
        <v>3398</v>
      </c>
      <c r="D1318" s="6" t="s">
        <v>5559</v>
      </c>
      <c r="E1318" s="20">
        <f t="shared" si="106"/>
        <v>0</v>
      </c>
      <c r="F1318" s="20">
        <f>'[83]TOPRAK KOMPAKTÖR'!$L$17</f>
        <v>30341.8</v>
      </c>
      <c r="G1318" s="24" t="s">
        <v>7773</v>
      </c>
      <c r="H1318" s="20">
        <f t="shared" si="107"/>
        <v>0</v>
      </c>
      <c r="I1318" s="21">
        <v>3037</v>
      </c>
      <c r="J1318" s="21">
        <f t="shared" si="108"/>
        <v>0</v>
      </c>
    </row>
    <row r="1319" spans="1:10" x14ac:dyDescent="0.3">
      <c r="A1319" s="2" t="s">
        <v>1251</v>
      </c>
      <c r="B1319" s="1" t="s">
        <v>2152</v>
      </c>
      <c r="C1319" s="6" t="s">
        <v>3399</v>
      </c>
      <c r="D1319" s="6" t="s">
        <v>5560</v>
      </c>
      <c r="E1319" s="20">
        <f t="shared" si="106"/>
        <v>0</v>
      </c>
      <c r="F1319" s="20">
        <v>300</v>
      </c>
      <c r="G1319" s="24" t="s">
        <v>7774</v>
      </c>
      <c r="H1319" s="20">
        <f t="shared" si="107"/>
        <v>0</v>
      </c>
      <c r="I1319" s="21">
        <v>240</v>
      </c>
      <c r="J1319" s="21">
        <f t="shared" si="108"/>
        <v>0</v>
      </c>
    </row>
    <row r="1320" spans="1:10" x14ac:dyDescent="0.3">
      <c r="A1320" s="2" t="s">
        <v>1252</v>
      </c>
      <c r="B1320" s="1" t="s">
        <v>2152</v>
      </c>
      <c r="C1320" s="6" t="s">
        <v>3400</v>
      </c>
      <c r="D1320" s="6" t="s">
        <v>5561</v>
      </c>
      <c r="E1320" s="20">
        <f t="shared" si="106"/>
        <v>0</v>
      </c>
      <c r="F1320" s="20">
        <v>300</v>
      </c>
      <c r="G1320" s="24" t="s">
        <v>7775</v>
      </c>
      <c r="H1320" s="20">
        <f t="shared" si="107"/>
        <v>0</v>
      </c>
      <c r="I1320" s="21">
        <v>240</v>
      </c>
      <c r="J1320" s="21">
        <f t="shared" si="108"/>
        <v>0</v>
      </c>
    </row>
    <row r="1321" spans="1:10" x14ac:dyDescent="0.3">
      <c r="A1321" s="2" t="s">
        <v>1253</v>
      </c>
      <c r="B1321" s="1" t="s">
        <v>2152</v>
      </c>
      <c r="C1321" s="6" t="s">
        <v>3401</v>
      </c>
      <c r="D1321" s="6" t="s">
        <v>5562</v>
      </c>
      <c r="E1321" s="20">
        <f t="shared" si="106"/>
        <v>0</v>
      </c>
      <c r="F1321" s="20">
        <v>300</v>
      </c>
      <c r="G1321" s="24" t="s">
        <v>7776</v>
      </c>
      <c r="H1321" s="20">
        <f t="shared" si="107"/>
        <v>0</v>
      </c>
      <c r="I1321" s="21">
        <f>W1321</f>
        <v>0</v>
      </c>
      <c r="J1321" s="21">
        <f>X1321</f>
        <v>0</v>
      </c>
    </row>
    <row r="1322" spans="1:10" ht="96.6" x14ac:dyDescent="0.3">
      <c r="A1322" s="2" t="s">
        <v>1254</v>
      </c>
      <c r="B1322" s="1" t="s">
        <v>2152</v>
      </c>
      <c r="C1322" s="6" t="s">
        <v>3402</v>
      </c>
      <c r="D1322" s="6" t="s">
        <v>5563</v>
      </c>
      <c r="E1322" s="20">
        <v>135000</v>
      </c>
      <c r="F1322" s="20"/>
      <c r="G1322" s="24" t="s">
        <v>7777</v>
      </c>
      <c r="H1322" s="20">
        <v>135000</v>
      </c>
    </row>
    <row r="1323" spans="1:10" ht="69" x14ac:dyDescent="0.3">
      <c r="A1323" s="2" t="s">
        <v>1255</v>
      </c>
      <c r="B1323" s="1" t="s">
        <v>2152</v>
      </c>
      <c r="C1323" s="6" t="s">
        <v>3403</v>
      </c>
      <c r="D1323" s="6" t="s">
        <v>5564</v>
      </c>
      <c r="E1323" s="20">
        <f t="shared" si="106"/>
        <v>0</v>
      </c>
      <c r="F1323" s="20">
        <f>'[84]CBR TEST CİHAZI'!$H$46</f>
        <v>65236.78</v>
      </c>
      <c r="G1323" s="24" t="s">
        <v>7778</v>
      </c>
      <c r="H1323" s="20">
        <f t="shared" si="107"/>
        <v>0</v>
      </c>
      <c r="I1323" s="21">
        <v>3610</v>
      </c>
      <c r="J1323" s="21">
        <v>3200</v>
      </c>
    </row>
    <row r="1324" spans="1:10" x14ac:dyDescent="0.3">
      <c r="A1324" s="2" t="s">
        <v>1256</v>
      </c>
      <c r="B1324" s="1" t="s">
        <v>2152</v>
      </c>
      <c r="C1324" s="6" t="s">
        <v>3404</v>
      </c>
      <c r="D1324" s="6" t="s">
        <v>5565</v>
      </c>
      <c r="E1324" s="20">
        <f t="shared" si="106"/>
        <v>0</v>
      </c>
      <c r="F1324" s="20"/>
      <c r="G1324" s="24" t="s">
        <v>7779</v>
      </c>
      <c r="H1324" s="20">
        <f t="shared" si="107"/>
        <v>0</v>
      </c>
      <c r="I1324" s="21">
        <v>72</v>
      </c>
      <c r="J1324" s="21">
        <f>X1324</f>
        <v>0</v>
      </c>
    </row>
    <row r="1325" spans="1:10" x14ac:dyDescent="0.3">
      <c r="A1325" s="2" t="s">
        <v>665</v>
      </c>
      <c r="B1325" s="1" t="s">
        <v>2152</v>
      </c>
      <c r="C1325" s="6" t="s">
        <v>2810</v>
      </c>
      <c r="D1325" s="6" t="s">
        <v>4978</v>
      </c>
      <c r="E1325" s="20">
        <f t="shared" si="106"/>
        <v>0</v>
      </c>
      <c r="F1325" s="20"/>
      <c r="G1325" s="24" t="s">
        <v>7780</v>
      </c>
      <c r="H1325" s="20">
        <f t="shared" si="107"/>
        <v>0</v>
      </c>
      <c r="I1325" s="21">
        <v>330</v>
      </c>
      <c r="J1325" s="21">
        <f>X1325</f>
        <v>0</v>
      </c>
    </row>
    <row r="1326" spans="1:10" x14ac:dyDescent="0.3">
      <c r="A1326" s="2" t="s">
        <v>666</v>
      </c>
      <c r="B1326" s="1" t="s">
        <v>2152</v>
      </c>
      <c r="C1326" s="6" t="s">
        <v>2811</v>
      </c>
      <c r="D1326" s="6" t="s">
        <v>4979</v>
      </c>
      <c r="E1326" s="20">
        <f t="shared" si="106"/>
        <v>0</v>
      </c>
      <c r="F1326" s="20">
        <v>392</v>
      </c>
      <c r="G1326" s="24" t="s">
        <v>7781</v>
      </c>
      <c r="H1326" s="20">
        <f t="shared" si="107"/>
        <v>0</v>
      </c>
      <c r="I1326" s="21">
        <v>405</v>
      </c>
      <c r="J1326" s="21">
        <f>X1326</f>
        <v>0</v>
      </c>
    </row>
    <row r="1327" spans="1:10" ht="82.8" x14ac:dyDescent="0.3">
      <c r="A1327" s="2" t="s">
        <v>1257</v>
      </c>
      <c r="B1327" s="1" t="s">
        <v>2152</v>
      </c>
      <c r="C1327" s="6" t="s">
        <v>3405</v>
      </c>
      <c r="D1327" s="6" t="s">
        <v>5566</v>
      </c>
      <c r="E1327" s="20">
        <f t="shared" si="106"/>
        <v>0</v>
      </c>
      <c r="F1327" s="20">
        <v>9000</v>
      </c>
      <c r="G1327" s="24" t="s">
        <v>7782</v>
      </c>
      <c r="H1327" s="20">
        <f t="shared" si="107"/>
        <v>0</v>
      </c>
      <c r="I1327" s="21">
        <v>6300</v>
      </c>
      <c r="J1327" s="21">
        <f>X1327</f>
        <v>0</v>
      </c>
    </row>
    <row r="1328" spans="1:10" ht="69" x14ac:dyDescent="0.3">
      <c r="A1328" s="2" t="s">
        <v>1258</v>
      </c>
      <c r="B1328" s="1" t="s">
        <v>2152</v>
      </c>
      <c r="C1328" s="6" t="s">
        <v>3406</v>
      </c>
      <c r="D1328" s="6" t="s">
        <v>5567</v>
      </c>
      <c r="E1328" s="21">
        <v>2850</v>
      </c>
      <c r="F1328" s="20"/>
      <c r="G1328" s="24" t="s">
        <v>7783</v>
      </c>
      <c r="H1328" s="21">
        <v>2850</v>
      </c>
      <c r="I1328" s="21">
        <v>2850</v>
      </c>
      <c r="J1328" s="21">
        <v>2750</v>
      </c>
    </row>
    <row r="1329" spans="1:10" x14ac:dyDescent="0.3">
      <c r="A1329" s="2" t="s">
        <v>1259</v>
      </c>
      <c r="B1329" s="1" t="s">
        <v>2152</v>
      </c>
      <c r="C1329" s="6" t="s">
        <v>3407</v>
      </c>
      <c r="D1329" s="6" t="s">
        <v>3407</v>
      </c>
      <c r="E1329" s="21">
        <v>200</v>
      </c>
      <c r="F1329" s="20"/>
      <c r="G1329" s="24" t="s">
        <v>7784</v>
      </c>
      <c r="H1329" s="21">
        <v>200</v>
      </c>
      <c r="I1329" s="21">
        <v>200</v>
      </c>
      <c r="J1329" s="21">
        <v>200</v>
      </c>
    </row>
    <row r="1330" spans="1:10" x14ac:dyDescent="0.3">
      <c r="A1330" s="2" t="s">
        <v>1260</v>
      </c>
      <c r="B1330" s="1" t="s">
        <v>2152</v>
      </c>
      <c r="C1330" s="6" t="s">
        <v>3408</v>
      </c>
      <c r="D1330" s="6" t="s">
        <v>3408</v>
      </c>
      <c r="E1330" s="21">
        <v>225</v>
      </c>
      <c r="F1330" s="20"/>
      <c r="G1330" s="24" t="s">
        <v>7785</v>
      </c>
      <c r="H1330" s="21">
        <v>225</v>
      </c>
      <c r="I1330" s="21">
        <v>225</v>
      </c>
      <c r="J1330" s="21">
        <v>225</v>
      </c>
    </row>
    <row r="1331" spans="1:10" x14ac:dyDescent="0.3">
      <c r="A1331" s="2" t="s">
        <v>1261</v>
      </c>
      <c r="B1331" s="1" t="s">
        <v>2152</v>
      </c>
      <c r="C1331" s="6" t="s">
        <v>3409</v>
      </c>
      <c r="D1331" s="6" t="s">
        <v>3409</v>
      </c>
      <c r="E1331" s="21">
        <v>250</v>
      </c>
      <c r="F1331" s="20"/>
      <c r="G1331" s="24" t="s">
        <v>7786</v>
      </c>
      <c r="H1331" s="21">
        <v>250</v>
      </c>
      <c r="I1331" s="21">
        <v>250</v>
      </c>
      <c r="J1331" s="21">
        <v>250</v>
      </c>
    </row>
    <row r="1332" spans="1:10" x14ac:dyDescent="0.3">
      <c r="A1332" s="2" t="s">
        <v>1262</v>
      </c>
      <c r="B1332" s="1" t="s">
        <v>2152</v>
      </c>
      <c r="C1332" s="6" t="s">
        <v>3410</v>
      </c>
      <c r="D1332" s="6" t="s">
        <v>3410</v>
      </c>
      <c r="E1332" s="21">
        <v>275</v>
      </c>
      <c r="F1332" s="20"/>
      <c r="G1332" s="24" t="s">
        <v>7787</v>
      </c>
      <c r="H1332" s="21">
        <v>275</v>
      </c>
      <c r="I1332" s="21">
        <v>275</v>
      </c>
      <c r="J1332" s="21">
        <v>275</v>
      </c>
    </row>
    <row r="1333" spans="1:10" ht="41.4" x14ac:dyDescent="0.3">
      <c r="A1333" s="2" t="s">
        <v>1263</v>
      </c>
      <c r="B1333" s="1" t="s">
        <v>2152</v>
      </c>
      <c r="C1333" s="6" t="s">
        <v>3411</v>
      </c>
      <c r="D1333" s="6" t="s">
        <v>5568</v>
      </c>
      <c r="E1333" s="20">
        <f t="shared" si="106"/>
        <v>0</v>
      </c>
      <c r="F1333" s="20"/>
      <c r="G1333" s="24" t="s">
        <v>7788</v>
      </c>
      <c r="H1333" s="20">
        <f t="shared" si="107"/>
        <v>0</v>
      </c>
      <c r="I1333" s="21">
        <v>101</v>
      </c>
      <c r="J1333" s="21">
        <f t="shared" ref="J1333:J1396" si="109">X1333</f>
        <v>0</v>
      </c>
    </row>
    <row r="1334" spans="1:10" x14ac:dyDescent="0.3">
      <c r="A1334" s="2" t="s">
        <v>1264</v>
      </c>
      <c r="B1334" s="1" t="s">
        <v>2152</v>
      </c>
      <c r="C1334" s="6" t="s">
        <v>3412</v>
      </c>
      <c r="D1334" s="6" t="s">
        <v>5569</v>
      </c>
      <c r="E1334" s="20">
        <f t="shared" si="106"/>
        <v>0</v>
      </c>
      <c r="F1334" s="20">
        <v>90</v>
      </c>
      <c r="G1334" s="24" t="s">
        <v>7789</v>
      </c>
      <c r="H1334" s="20">
        <f t="shared" si="107"/>
        <v>0</v>
      </c>
      <c r="I1334" s="21">
        <f t="shared" ref="I1334:I1384" si="110">W1334</f>
        <v>0</v>
      </c>
      <c r="J1334" s="21">
        <f t="shared" si="109"/>
        <v>0</v>
      </c>
    </row>
    <row r="1335" spans="1:10" x14ac:dyDescent="0.3">
      <c r="A1335" s="2" t="s">
        <v>1265</v>
      </c>
      <c r="B1335" s="1" t="s">
        <v>2152</v>
      </c>
      <c r="C1335" s="6" t="s">
        <v>3413</v>
      </c>
      <c r="D1335" s="6" t="s">
        <v>5570</v>
      </c>
      <c r="E1335" s="20">
        <f t="shared" si="106"/>
        <v>0</v>
      </c>
      <c r="F1335" s="20">
        <v>45</v>
      </c>
      <c r="G1335" s="24" t="s">
        <v>7790</v>
      </c>
      <c r="H1335" s="20">
        <f t="shared" si="107"/>
        <v>0</v>
      </c>
      <c r="I1335" s="21">
        <f t="shared" si="110"/>
        <v>0</v>
      </c>
      <c r="J1335" s="21">
        <f t="shared" si="109"/>
        <v>0</v>
      </c>
    </row>
    <row r="1336" spans="1:10" x14ac:dyDescent="0.3">
      <c r="A1336" s="2" t="s">
        <v>1266</v>
      </c>
      <c r="B1336" s="1" t="s">
        <v>2152</v>
      </c>
      <c r="C1336" s="6" t="s">
        <v>3414</v>
      </c>
      <c r="D1336" s="6" t="s">
        <v>5571</v>
      </c>
      <c r="E1336" s="20">
        <f t="shared" si="106"/>
        <v>0</v>
      </c>
      <c r="F1336" s="20">
        <v>75</v>
      </c>
      <c r="G1336" s="24" t="s">
        <v>7791</v>
      </c>
      <c r="H1336" s="20">
        <f t="shared" si="107"/>
        <v>0</v>
      </c>
      <c r="I1336" s="21">
        <f t="shared" si="110"/>
        <v>0</v>
      </c>
      <c r="J1336" s="21">
        <f t="shared" si="109"/>
        <v>0</v>
      </c>
    </row>
    <row r="1337" spans="1:10" x14ac:dyDescent="0.3">
      <c r="A1337" s="2" t="s">
        <v>1267</v>
      </c>
      <c r="B1337" s="1" t="s">
        <v>2152</v>
      </c>
      <c r="C1337" s="6" t="s">
        <v>3415</v>
      </c>
      <c r="D1337" s="6" t="s">
        <v>5572</v>
      </c>
      <c r="E1337" s="20">
        <f t="shared" si="106"/>
        <v>0</v>
      </c>
      <c r="F1337" s="20">
        <v>65</v>
      </c>
      <c r="G1337" s="24" t="s">
        <v>7792</v>
      </c>
      <c r="H1337" s="20">
        <f t="shared" si="107"/>
        <v>0</v>
      </c>
      <c r="I1337" s="21">
        <f t="shared" si="110"/>
        <v>0</v>
      </c>
      <c r="J1337" s="21">
        <f t="shared" si="109"/>
        <v>0</v>
      </c>
    </row>
    <row r="1338" spans="1:10" x14ac:dyDescent="0.3">
      <c r="A1338" s="2" t="s">
        <v>1268</v>
      </c>
      <c r="B1338" s="1" t="s">
        <v>2152</v>
      </c>
      <c r="C1338" s="6" t="s">
        <v>3416</v>
      </c>
      <c r="D1338" s="6" t="s">
        <v>5573</v>
      </c>
      <c r="E1338" s="20">
        <f t="shared" si="106"/>
        <v>0</v>
      </c>
      <c r="F1338" s="20">
        <v>100</v>
      </c>
      <c r="G1338" s="24" t="s">
        <v>7793</v>
      </c>
      <c r="H1338" s="20">
        <f t="shared" si="107"/>
        <v>0</v>
      </c>
      <c r="I1338" s="21">
        <f t="shared" si="110"/>
        <v>0</v>
      </c>
      <c r="J1338" s="21">
        <f t="shared" si="109"/>
        <v>0</v>
      </c>
    </row>
    <row r="1339" spans="1:10" x14ac:dyDescent="0.3">
      <c r="A1339" s="2" t="s">
        <v>1269</v>
      </c>
      <c r="B1339" s="1" t="s">
        <v>2152</v>
      </c>
      <c r="C1339" s="6" t="s">
        <v>3417</v>
      </c>
      <c r="D1339" s="6" t="s">
        <v>5574</v>
      </c>
      <c r="E1339" s="20">
        <f t="shared" si="106"/>
        <v>0</v>
      </c>
      <c r="F1339" s="20">
        <v>150</v>
      </c>
      <c r="G1339" s="24" t="s">
        <v>7794</v>
      </c>
      <c r="H1339" s="20">
        <f t="shared" si="107"/>
        <v>0</v>
      </c>
      <c r="I1339" s="21">
        <f t="shared" si="110"/>
        <v>0</v>
      </c>
      <c r="J1339" s="21">
        <f t="shared" si="109"/>
        <v>0</v>
      </c>
    </row>
    <row r="1340" spans="1:10" x14ac:dyDescent="0.3">
      <c r="A1340" s="2" t="s">
        <v>1270</v>
      </c>
      <c r="B1340" s="1" t="s">
        <v>2152</v>
      </c>
      <c r="C1340" s="6" t="s">
        <v>3418</v>
      </c>
      <c r="D1340" s="6" t="s">
        <v>5575</v>
      </c>
      <c r="E1340" s="20">
        <f t="shared" si="106"/>
        <v>0</v>
      </c>
      <c r="F1340" s="20">
        <v>250</v>
      </c>
      <c r="G1340" s="24" t="s">
        <v>7795</v>
      </c>
      <c r="H1340" s="20">
        <f t="shared" si="107"/>
        <v>0</v>
      </c>
      <c r="I1340" s="21">
        <f t="shared" si="110"/>
        <v>0</v>
      </c>
      <c r="J1340" s="21">
        <f t="shared" si="109"/>
        <v>0</v>
      </c>
    </row>
    <row r="1341" spans="1:10" x14ac:dyDescent="0.3">
      <c r="A1341" s="2" t="s">
        <v>1271</v>
      </c>
      <c r="B1341" s="1" t="s">
        <v>2152</v>
      </c>
      <c r="C1341" s="6" t="s">
        <v>3419</v>
      </c>
      <c r="D1341" s="6" t="s">
        <v>5576</v>
      </c>
      <c r="E1341" s="20">
        <f t="shared" si="106"/>
        <v>0</v>
      </c>
      <c r="F1341" s="20">
        <v>50</v>
      </c>
      <c r="G1341" s="24" t="s">
        <v>7796</v>
      </c>
      <c r="H1341" s="20">
        <f t="shared" si="107"/>
        <v>0</v>
      </c>
      <c r="I1341" s="21">
        <f t="shared" si="110"/>
        <v>0</v>
      </c>
      <c r="J1341" s="21">
        <f t="shared" si="109"/>
        <v>0</v>
      </c>
    </row>
    <row r="1342" spans="1:10" x14ac:dyDescent="0.3">
      <c r="A1342" s="2" t="s">
        <v>1272</v>
      </c>
      <c r="B1342" s="1" t="s">
        <v>2152</v>
      </c>
      <c r="C1342" s="6" t="s">
        <v>3420</v>
      </c>
      <c r="D1342" s="6" t="s">
        <v>5577</v>
      </c>
      <c r="E1342" s="20">
        <f t="shared" si="106"/>
        <v>0</v>
      </c>
      <c r="F1342" s="20"/>
      <c r="G1342" s="24" t="s">
        <v>7797</v>
      </c>
      <c r="H1342" s="20">
        <f t="shared" si="107"/>
        <v>0</v>
      </c>
      <c r="I1342" s="21">
        <f t="shared" si="110"/>
        <v>0</v>
      </c>
      <c r="J1342" s="21">
        <f t="shared" si="109"/>
        <v>0</v>
      </c>
    </row>
    <row r="1343" spans="1:10" x14ac:dyDescent="0.3">
      <c r="A1343" s="2" t="s">
        <v>1273</v>
      </c>
      <c r="B1343" s="1" t="s">
        <v>2152</v>
      </c>
      <c r="C1343" s="6" t="s">
        <v>3421</v>
      </c>
      <c r="D1343" s="6" t="s">
        <v>5578</v>
      </c>
      <c r="E1343" s="20">
        <f t="shared" si="106"/>
        <v>0</v>
      </c>
      <c r="F1343" s="20"/>
      <c r="G1343" s="24" t="s">
        <v>7798</v>
      </c>
      <c r="H1343" s="20">
        <f t="shared" si="107"/>
        <v>0</v>
      </c>
      <c r="I1343" s="21">
        <f t="shared" si="110"/>
        <v>0</v>
      </c>
      <c r="J1343" s="21">
        <f t="shared" si="109"/>
        <v>0</v>
      </c>
    </row>
    <row r="1344" spans="1:10" ht="41.4" x14ac:dyDescent="0.3">
      <c r="A1344" s="2" t="s">
        <v>1274</v>
      </c>
      <c r="B1344" s="1" t="s">
        <v>2152</v>
      </c>
      <c r="C1344" s="6" t="s">
        <v>3422</v>
      </c>
      <c r="D1344" s="6" t="s">
        <v>5579</v>
      </c>
      <c r="E1344" s="20">
        <f t="shared" si="106"/>
        <v>0</v>
      </c>
      <c r="F1344" s="20"/>
      <c r="G1344" s="24" t="s">
        <v>7799</v>
      </c>
      <c r="H1344" s="20">
        <f t="shared" si="107"/>
        <v>0</v>
      </c>
      <c r="I1344" s="21">
        <f t="shared" si="110"/>
        <v>0</v>
      </c>
      <c r="J1344" s="21">
        <f t="shared" si="109"/>
        <v>0</v>
      </c>
    </row>
    <row r="1345" spans="1:10" ht="27.6" x14ac:dyDescent="0.3">
      <c r="A1345" s="2" t="s">
        <v>1240</v>
      </c>
      <c r="B1345" s="1" t="s">
        <v>2152</v>
      </c>
      <c r="C1345" s="6" t="s">
        <v>3423</v>
      </c>
      <c r="D1345" s="6" t="s">
        <v>5580</v>
      </c>
      <c r="E1345" s="20">
        <f t="shared" si="106"/>
        <v>0</v>
      </c>
      <c r="F1345" s="20">
        <v>80</v>
      </c>
      <c r="G1345" s="24" t="s">
        <v>7800</v>
      </c>
      <c r="H1345" s="20">
        <f t="shared" si="107"/>
        <v>0</v>
      </c>
      <c r="I1345" s="21">
        <f t="shared" si="110"/>
        <v>0</v>
      </c>
      <c r="J1345" s="21">
        <f t="shared" si="109"/>
        <v>0</v>
      </c>
    </row>
    <row r="1346" spans="1:10" x14ac:dyDescent="0.3">
      <c r="A1346" s="2" t="s">
        <v>1275</v>
      </c>
      <c r="B1346" s="1" t="s">
        <v>2152</v>
      </c>
      <c r="C1346" s="6" t="s">
        <v>3424</v>
      </c>
      <c r="D1346" s="6" t="s">
        <v>5581</v>
      </c>
      <c r="E1346" s="20">
        <f t="shared" si="106"/>
        <v>0</v>
      </c>
      <c r="F1346" s="20">
        <v>40</v>
      </c>
      <c r="G1346" s="24" t="s">
        <v>7801</v>
      </c>
      <c r="H1346" s="20">
        <f t="shared" si="107"/>
        <v>0</v>
      </c>
      <c r="I1346" s="21">
        <f t="shared" si="110"/>
        <v>0</v>
      </c>
      <c r="J1346" s="21">
        <f t="shared" si="109"/>
        <v>0</v>
      </c>
    </row>
    <row r="1347" spans="1:10" x14ac:dyDescent="0.3">
      <c r="A1347" s="2" t="s">
        <v>1276</v>
      </c>
      <c r="B1347" s="1" t="s">
        <v>2152</v>
      </c>
      <c r="C1347" s="6" t="s">
        <v>3425</v>
      </c>
      <c r="D1347" s="6" t="s">
        <v>5582</v>
      </c>
      <c r="E1347" s="20">
        <f t="shared" si="106"/>
        <v>0</v>
      </c>
      <c r="F1347" s="20">
        <v>70</v>
      </c>
      <c r="G1347" s="24" t="s">
        <v>7802</v>
      </c>
      <c r="H1347" s="20">
        <f t="shared" si="107"/>
        <v>0</v>
      </c>
      <c r="I1347" s="21">
        <f t="shared" si="110"/>
        <v>0</v>
      </c>
      <c r="J1347" s="21">
        <f t="shared" si="109"/>
        <v>0</v>
      </c>
    </row>
    <row r="1348" spans="1:10" x14ac:dyDescent="0.3">
      <c r="A1348" s="2" t="s">
        <v>1277</v>
      </c>
      <c r="B1348" s="1" t="s">
        <v>2152</v>
      </c>
      <c r="C1348" s="6" t="s">
        <v>3426</v>
      </c>
      <c r="D1348" s="6" t="s">
        <v>5583</v>
      </c>
      <c r="E1348" s="20">
        <f t="shared" si="106"/>
        <v>0</v>
      </c>
      <c r="F1348" s="20">
        <v>60</v>
      </c>
      <c r="G1348" s="24" t="s">
        <v>7803</v>
      </c>
      <c r="H1348" s="20">
        <f t="shared" si="107"/>
        <v>0</v>
      </c>
      <c r="I1348" s="21">
        <f t="shared" si="110"/>
        <v>0</v>
      </c>
      <c r="J1348" s="21">
        <f t="shared" si="109"/>
        <v>0</v>
      </c>
    </row>
    <row r="1349" spans="1:10" x14ac:dyDescent="0.3">
      <c r="A1349" s="2" t="s">
        <v>1278</v>
      </c>
      <c r="B1349" s="1" t="s">
        <v>2152</v>
      </c>
      <c r="C1349" s="6" t="s">
        <v>3427</v>
      </c>
      <c r="D1349" s="6" t="s">
        <v>5584</v>
      </c>
      <c r="E1349" s="20">
        <f t="shared" si="106"/>
        <v>0</v>
      </c>
      <c r="F1349" s="20">
        <v>100</v>
      </c>
      <c r="G1349" s="24" t="s">
        <v>7804</v>
      </c>
      <c r="H1349" s="20">
        <f t="shared" si="107"/>
        <v>0</v>
      </c>
      <c r="I1349" s="21">
        <f t="shared" si="110"/>
        <v>0</v>
      </c>
      <c r="J1349" s="21">
        <f t="shared" si="109"/>
        <v>0</v>
      </c>
    </row>
    <row r="1350" spans="1:10" x14ac:dyDescent="0.3">
      <c r="A1350" s="2" t="s">
        <v>1279</v>
      </c>
      <c r="B1350" s="1" t="s">
        <v>2152</v>
      </c>
      <c r="C1350" s="6" t="s">
        <v>3428</v>
      </c>
      <c r="D1350" s="6" t="s">
        <v>5585</v>
      </c>
      <c r="E1350" s="20">
        <f t="shared" si="106"/>
        <v>0</v>
      </c>
      <c r="F1350" s="20">
        <v>35</v>
      </c>
      <c r="G1350" s="24" t="s">
        <v>7805</v>
      </c>
      <c r="H1350" s="20">
        <f t="shared" si="107"/>
        <v>0</v>
      </c>
      <c r="I1350" s="21">
        <f t="shared" si="110"/>
        <v>0</v>
      </c>
      <c r="J1350" s="21">
        <f t="shared" si="109"/>
        <v>0</v>
      </c>
    </row>
    <row r="1351" spans="1:10" x14ac:dyDescent="0.3">
      <c r="A1351" s="2" t="s">
        <v>1280</v>
      </c>
      <c r="B1351" s="1" t="s">
        <v>2152</v>
      </c>
      <c r="C1351" s="6" t="s">
        <v>3429</v>
      </c>
      <c r="D1351" s="6" t="s">
        <v>5586</v>
      </c>
      <c r="E1351" s="20">
        <f t="shared" si="106"/>
        <v>0</v>
      </c>
      <c r="F1351" s="20">
        <v>40</v>
      </c>
      <c r="G1351" s="24" t="s">
        <v>7806</v>
      </c>
      <c r="H1351" s="20">
        <f t="shared" si="107"/>
        <v>0</v>
      </c>
      <c r="I1351" s="21">
        <f t="shared" si="110"/>
        <v>0</v>
      </c>
      <c r="J1351" s="21">
        <f t="shared" si="109"/>
        <v>0</v>
      </c>
    </row>
    <row r="1352" spans="1:10" x14ac:dyDescent="0.3">
      <c r="A1352" s="2" t="s">
        <v>1281</v>
      </c>
      <c r="B1352" s="1" t="s">
        <v>2152</v>
      </c>
      <c r="C1352" s="6" t="s">
        <v>3430</v>
      </c>
      <c r="D1352" s="6" t="s">
        <v>5587</v>
      </c>
      <c r="E1352" s="20">
        <f t="shared" si="106"/>
        <v>0</v>
      </c>
      <c r="F1352" s="20">
        <v>350</v>
      </c>
      <c r="G1352" s="24" t="s">
        <v>7807</v>
      </c>
      <c r="H1352" s="20">
        <f t="shared" si="107"/>
        <v>0</v>
      </c>
      <c r="I1352" s="21">
        <f t="shared" si="110"/>
        <v>0</v>
      </c>
      <c r="J1352" s="21">
        <f t="shared" si="109"/>
        <v>0</v>
      </c>
    </row>
    <row r="1353" spans="1:10" x14ac:dyDescent="0.3">
      <c r="A1353" s="2" t="s">
        <v>1271</v>
      </c>
      <c r="B1353" s="1" t="s">
        <v>2152</v>
      </c>
      <c r="C1353" s="6" t="s">
        <v>3419</v>
      </c>
      <c r="D1353" s="6" t="s">
        <v>5576</v>
      </c>
      <c r="E1353" s="20">
        <f t="shared" ref="E1353:E1416" si="111">H1353*1.8*1.4</f>
        <v>0</v>
      </c>
      <c r="F1353" s="20">
        <v>50</v>
      </c>
      <c r="G1353" s="24" t="s">
        <v>7808</v>
      </c>
      <c r="H1353" s="20">
        <f t="shared" ref="H1353:H1416" si="112">K1353*1.8*1.4</f>
        <v>0</v>
      </c>
      <c r="I1353" s="21">
        <f t="shared" si="110"/>
        <v>0</v>
      </c>
      <c r="J1353" s="21">
        <f t="shared" si="109"/>
        <v>0</v>
      </c>
    </row>
    <row r="1354" spans="1:10" ht="41.4" x14ac:dyDescent="0.3">
      <c r="A1354" s="2" t="s">
        <v>1282</v>
      </c>
      <c r="B1354" s="1" t="s">
        <v>2152</v>
      </c>
      <c r="C1354" s="6" t="s">
        <v>3431</v>
      </c>
      <c r="D1354" s="6" t="s">
        <v>5588</v>
      </c>
      <c r="E1354" s="20">
        <f t="shared" si="111"/>
        <v>0</v>
      </c>
      <c r="F1354" s="20"/>
      <c r="G1354" s="24" t="s">
        <v>7809</v>
      </c>
      <c r="H1354" s="20">
        <f t="shared" si="112"/>
        <v>0</v>
      </c>
      <c r="I1354" s="21">
        <f t="shared" si="110"/>
        <v>0</v>
      </c>
      <c r="J1354" s="21">
        <f t="shared" si="109"/>
        <v>0</v>
      </c>
    </row>
    <row r="1355" spans="1:10" ht="27.6" x14ac:dyDescent="0.3">
      <c r="A1355" s="2" t="s">
        <v>1283</v>
      </c>
      <c r="B1355" s="1" t="s">
        <v>2152</v>
      </c>
      <c r="C1355" s="6" t="s">
        <v>3432</v>
      </c>
      <c r="D1355" s="6" t="s">
        <v>5589</v>
      </c>
      <c r="E1355" s="20">
        <f t="shared" si="111"/>
        <v>0</v>
      </c>
      <c r="F1355" s="20">
        <v>110</v>
      </c>
      <c r="G1355" s="24" t="s">
        <v>7810</v>
      </c>
      <c r="H1355" s="20">
        <f t="shared" si="112"/>
        <v>0</v>
      </c>
      <c r="I1355" s="21">
        <f t="shared" si="110"/>
        <v>0</v>
      </c>
      <c r="J1355" s="21">
        <f t="shared" si="109"/>
        <v>0</v>
      </c>
    </row>
    <row r="1356" spans="1:10" x14ac:dyDescent="0.3">
      <c r="A1356" s="2" t="s">
        <v>1284</v>
      </c>
      <c r="B1356" s="1" t="s">
        <v>2152</v>
      </c>
      <c r="C1356" s="6" t="s">
        <v>3433</v>
      </c>
      <c r="D1356" s="6" t="s">
        <v>5590</v>
      </c>
      <c r="E1356" s="20">
        <f t="shared" si="111"/>
        <v>0</v>
      </c>
      <c r="F1356" s="20">
        <v>65</v>
      </c>
      <c r="G1356" s="24" t="s">
        <v>7811</v>
      </c>
      <c r="H1356" s="20">
        <f t="shared" si="112"/>
        <v>0</v>
      </c>
      <c r="I1356" s="21">
        <f t="shared" si="110"/>
        <v>0</v>
      </c>
      <c r="J1356" s="21">
        <f t="shared" si="109"/>
        <v>0</v>
      </c>
    </row>
    <row r="1357" spans="1:10" x14ac:dyDescent="0.3">
      <c r="A1357" s="2" t="s">
        <v>1285</v>
      </c>
      <c r="B1357" s="1" t="s">
        <v>2152</v>
      </c>
      <c r="C1357" s="6" t="s">
        <v>3434</v>
      </c>
      <c r="D1357" s="6" t="s">
        <v>5591</v>
      </c>
      <c r="E1357" s="20">
        <f t="shared" si="111"/>
        <v>0</v>
      </c>
      <c r="F1357" s="20">
        <v>75</v>
      </c>
      <c r="G1357" s="24" t="s">
        <v>7812</v>
      </c>
      <c r="H1357" s="20">
        <f t="shared" si="112"/>
        <v>0</v>
      </c>
      <c r="I1357" s="21">
        <f t="shared" si="110"/>
        <v>0</v>
      </c>
      <c r="J1357" s="21">
        <f t="shared" si="109"/>
        <v>0</v>
      </c>
    </row>
    <row r="1358" spans="1:10" x14ac:dyDescent="0.3">
      <c r="A1358" s="2" t="s">
        <v>1286</v>
      </c>
      <c r="B1358" s="1" t="s">
        <v>2152</v>
      </c>
      <c r="C1358" s="6" t="s">
        <v>3435</v>
      </c>
      <c r="D1358" s="6" t="s">
        <v>5592</v>
      </c>
      <c r="E1358" s="20">
        <f t="shared" si="111"/>
        <v>0</v>
      </c>
      <c r="F1358" s="20">
        <v>35</v>
      </c>
      <c r="G1358" s="24" t="s">
        <v>7813</v>
      </c>
      <c r="H1358" s="20">
        <f t="shared" si="112"/>
        <v>0</v>
      </c>
      <c r="I1358" s="21">
        <f t="shared" si="110"/>
        <v>0</v>
      </c>
      <c r="J1358" s="21">
        <f t="shared" si="109"/>
        <v>0</v>
      </c>
    </row>
    <row r="1359" spans="1:10" x14ac:dyDescent="0.3">
      <c r="A1359" s="2" t="s">
        <v>1287</v>
      </c>
      <c r="B1359" s="1" t="s">
        <v>2152</v>
      </c>
      <c r="C1359" s="6" t="s">
        <v>3436</v>
      </c>
      <c r="D1359" s="6" t="s">
        <v>5593</v>
      </c>
      <c r="E1359" s="20">
        <f t="shared" si="111"/>
        <v>0</v>
      </c>
      <c r="F1359" s="20">
        <v>75</v>
      </c>
      <c r="G1359" s="24" t="s">
        <v>7814</v>
      </c>
      <c r="H1359" s="20">
        <f t="shared" si="112"/>
        <v>0</v>
      </c>
      <c r="I1359" s="21">
        <f t="shared" si="110"/>
        <v>0</v>
      </c>
      <c r="J1359" s="21">
        <f t="shared" si="109"/>
        <v>0</v>
      </c>
    </row>
    <row r="1360" spans="1:10" x14ac:dyDescent="0.3">
      <c r="A1360" s="2" t="s">
        <v>1279</v>
      </c>
      <c r="B1360" s="1" t="s">
        <v>2152</v>
      </c>
      <c r="C1360" s="6" t="s">
        <v>3437</v>
      </c>
      <c r="D1360" s="6" t="s">
        <v>5594</v>
      </c>
      <c r="E1360" s="20">
        <f t="shared" si="111"/>
        <v>0</v>
      </c>
      <c r="F1360" s="20">
        <v>40</v>
      </c>
      <c r="G1360" s="24" t="s">
        <v>7815</v>
      </c>
      <c r="H1360" s="20">
        <f t="shared" si="112"/>
        <v>0</v>
      </c>
      <c r="I1360" s="21">
        <f t="shared" si="110"/>
        <v>0</v>
      </c>
      <c r="J1360" s="21">
        <f t="shared" si="109"/>
        <v>0</v>
      </c>
    </row>
    <row r="1361" spans="1:10" x14ac:dyDescent="0.3">
      <c r="A1361" s="2" t="s">
        <v>1280</v>
      </c>
      <c r="B1361" s="1" t="s">
        <v>2152</v>
      </c>
      <c r="C1361" s="6" t="s">
        <v>3438</v>
      </c>
      <c r="D1361" s="6" t="s">
        <v>5595</v>
      </c>
      <c r="E1361" s="20">
        <f t="shared" si="111"/>
        <v>0</v>
      </c>
      <c r="F1361" s="20">
        <v>45</v>
      </c>
      <c r="G1361" s="24" t="s">
        <v>7816</v>
      </c>
      <c r="H1361" s="20">
        <f t="shared" si="112"/>
        <v>0</v>
      </c>
      <c r="I1361" s="21">
        <f t="shared" si="110"/>
        <v>0</v>
      </c>
      <c r="J1361" s="21">
        <f t="shared" si="109"/>
        <v>0</v>
      </c>
    </row>
    <row r="1362" spans="1:10" x14ac:dyDescent="0.3">
      <c r="A1362" s="2" t="s">
        <v>1288</v>
      </c>
      <c r="B1362" s="1" t="s">
        <v>2152</v>
      </c>
      <c r="C1362" s="6" t="s">
        <v>3439</v>
      </c>
      <c r="D1362" s="6" t="s">
        <v>5596</v>
      </c>
      <c r="E1362" s="20">
        <f t="shared" si="111"/>
        <v>0</v>
      </c>
      <c r="F1362" s="20"/>
      <c r="G1362" s="24" t="s">
        <v>7817</v>
      </c>
      <c r="H1362" s="20">
        <f t="shared" si="112"/>
        <v>0</v>
      </c>
      <c r="I1362" s="21">
        <f t="shared" si="110"/>
        <v>0</v>
      </c>
      <c r="J1362" s="21">
        <f t="shared" si="109"/>
        <v>0</v>
      </c>
    </row>
    <row r="1363" spans="1:10" x14ac:dyDescent="0.3">
      <c r="A1363" s="2" t="s">
        <v>1289</v>
      </c>
      <c r="B1363" s="1" t="s">
        <v>2152</v>
      </c>
      <c r="C1363" s="6" t="s">
        <v>3440</v>
      </c>
      <c r="D1363" s="6" t="s">
        <v>5597</v>
      </c>
      <c r="E1363" s="20">
        <f t="shared" si="111"/>
        <v>0</v>
      </c>
      <c r="F1363" s="20">
        <v>50</v>
      </c>
      <c r="G1363" s="24" t="s">
        <v>7818</v>
      </c>
      <c r="H1363" s="20">
        <f t="shared" si="112"/>
        <v>0</v>
      </c>
      <c r="I1363" s="21">
        <f t="shared" si="110"/>
        <v>0</v>
      </c>
      <c r="J1363" s="21">
        <f t="shared" si="109"/>
        <v>0</v>
      </c>
    </row>
    <row r="1364" spans="1:10" x14ac:dyDescent="0.3">
      <c r="A1364" s="2" t="s">
        <v>1290</v>
      </c>
      <c r="B1364" s="1" t="s">
        <v>2152</v>
      </c>
      <c r="C1364" s="6" t="s">
        <v>3441</v>
      </c>
      <c r="D1364" s="6" t="s">
        <v>5598</v>
      </c>
      <c r="E1364" s="20">
        <f t="shared" si="111"/>
        <v>0</v>
      </c>
      <c r="F1364" s="20">
        <v>150</v>
      </c>
      <c r="G1364" s="24" t="s">
        <v>7819</v>
      </c>
      <c r="H1364" s="20">
        <f t="shared" si="112"/>
        <v>0</v>
      </c>
      <c r="I1364" s="21">
        <f t="shared" si="110"/>
        <v>0</v>
      </c>
      <c r="J1364" s="21">
        <f t="shared" si="109"/>
        <v>0</v>
      </c>
    </row>
    <row r="1365" spans="1:10" x14ac:dyDescent="0.3">
      <c r="A1365" s="2" t="s">
        <v>1271</v>
      </c>
      <c r="B1365" s="1" t="s">
        <v>2152</v>
      </c>
      <c r="C1365" s="6" t="s">
        <v>3419</v>
      </c>
      <c r="D1365" s="6" t="s">
        <v>5576</v>
      </c>
      <c r="E1365" s="20">
        <f t="shared" si="111"/>
        <v>0</v>
      </c>
      <c r="F1365" s="20">
        <v>50</v>
      </c>
      <c r="G1365" s="24" t="s">
        <v>7820</v>
      </c>
      <c r="H1365" s="20">
        <f t="shared" si="112"/>
        <v>0</v>
      </c>
      <c r="I1365" s="21">
        <f t="shared" si="110"/>
        <v>0</v>
      </c>
      <c r="J1365" s="21">
        <f t="shared" si="109"/>
        <v>0</v>
      </c>
    </row>
    <row r="1366" spans="1:10" x14ac:dyDescent="0.3">
      <c r="A1366" s="2" t="s">
        <v>1291</v>
      </c>
      <c r="B1366" s="1" t="s">
        <v>2152</v>
      </c>
      <c r="C1366" s="6" t="s">
        <v>3442</v>
      </c>
      <c r="D1366" s="6" t="s">
        <v>5599</v>
      </c>
      <c r="E1366" s="20">
        <f t="shared" si="111"/>
        <v>0</v>
      </c>
      <c r="F1366" s="20">
        <v>200</v>
      </c>
      <c r="G1366" s="24" t="s">
        <v>7821</v>
      </c>
      <c r="H1366" s="20">
        <f t="shared" si="112"/>
        <v>0</v>
      </c>
      <c r="I1366" s="21">
        <f t="shared" si="110"/>
        <v>0</v>
      </c>
      <c r="J1366" s="21">
        <f t="shared" si="109"/>
        <v>0</v>
      </c>
    </row>
    <row r="1367" spans="1:10" x14ac:dyDescent="0.3">
      <c r="A1367" s="2" t="s">
        <v>1292</v>
      </c>
      <c r="B1367" s="1" t="s">
        <v>2152</v>
      </c>
      <c r="C1367" s="6" t="s">
        <v>3443</v>
      </c>
      <c r="D1367" s="6" t="s">
        <v>5600</v>
      </c>
      <c r="E1367" s="20">
        <f t="shared" si="111"/>
        <v>0</v>
      </c>
      <c r="F1367" s="20">
        <v>250</v>
      </c>
      <c r="G1367" s="24" t="s">
        <v>7822</v>
      </c>
      <c r="H1367" s="20">
        <f t="shared" si="112"/>
        <v>0</v>
      </c>
      <c r="I1367" s="21">
        <f t="shared" si="110"/>
        <v>0</v>
      </c>
      <c r="J1367" s="21">
        <f t="shared" si="109"/>
        <v>0</v>
      </c>
    </row>
    <row r="1368" spans="1:10" ht="27.6" x14ac:dyDescent="0.3">
      <c r="A1368" s="2" t="s">
        <v>1293</v>
      </c>
      <c r="B1368" s="1" t="s">
        <v>2152</v>
      </c>
      <c r="C1368" s="6" t="s">
        <v>3444</v>
      </c>
      <c r="D1368" s="6" t="s">
        <v>5601</v>
      </c>
      <c r="E1368" s="20">
        <f t="shared" si="111"/>
        <v>0</v>
      </c>
      <c r="F1368" s="20">
        <v>500</v>
      </c>
      <c r="G1368" s="24" t="s">
        <v>7823</v>
      </c>
      <c r="H1368" s="20">
        <f t="shared" si="112"/>
        <v>0</v>
      </c>
      <c r="I1368" s="21">
        <f t="shared" si="110"/>
        <v>0</v>
      </c>
      <c r="J1368" s="21">
        <f t="shared" si="109"/>
        <v>0</v>
      </c>
    </row>
    <row r="1369" spans="1:10" ht="27.6" x14ac:dyDescent="0.3">
      <c r="A1369" s="2" t="s">
        <v>1294</v>
      </c>
      <c r="B1369" s="1" t="s">
        <v>2152</v>
      </c>
      <c r="C1369" s="6" t="s">
        <v>3445</v>
      </c>
      <c r="D1369" s="6" t="s">
        <v>5602</v>
      </c>
      <c r="E1369" s="20">
        <f t="shared" si="111"/>
        <v>0</v>
      </c>
      <c r="F1369" s="20"/>
      <c r="G1369" s="24" t="s">
        <v>7824</v>
      </c>
      <c r="H1369" s="20">
        <f t="shared" si="112"/>
        <v>0</v>
      </c>
      <c r="I1369" s="21">
        <f t="shared" si="110"/>
        <v>0</v>
      </c>
      <c r="J1369" s="21">
        <f t="shared" si="109"/>
        <v>0</v>
      </c>
    </row>
    <row r="1370" spans="1:10" x14ac:dyDescent="0.3">
      <c r="A1370" s="2" t="s">
        <v>1295</v>
      </c>
      <c r="B1370" s="1" t="s">
        <v>2152</v>
      </c>
      <c r="C1370" s="6" t="s">
        <v>3446</v>
      </c>
      <c r="D1370" s="6" t="s">
        <v>5603</v>
      </c>
      <c r="E1370" s="20">
        <f t="shared" si="111"/>
        <v>0</v>
      </c>
      <c r="F1370" s="20">
        <v>800</v>
      </c>
      <c r="G1370" s="24" t="s">
        <v>7825</v>
      </c>
      <c r="H1370" s="20">
        <f t="shared" si="112"/>
        <v>0</v>
      </c>
      <c r="I1370" s="21">
        <f t="shared" si="110"/>
        <v>0</v>
      </c>
      <c r="J1370" s="21">
        <f t="shared" si="109"/>
        <v>0</v>
      </c>
    </row>
    <row r="1371" spans="1:10" x14ac:dyDescent="0.3">
      <c r="A1371" s="2" t="s">
        <v>1296</v>
      </c>
      <c r="B1371" s="1" t="s">
        <v>2152</v>
      </c>
      <c r="C1371" s="6" t="s">
        <v>3447</v>
      </c>
      <c r="D1371" s="6" t="s">
        <v>5604</v>
      </c>
      <c r="E1371" s="20">
        <f t="shared" si="111"/>
        <v>0</v>
      </c>
      <c r="F1371" s="20"/>
      <c r="G1371" s="24" t="s">
        <v>7826</v>
      </c>
      <c r="H1371" s="20">
        <f t="shared" si="112"/>
        <v>0</v>
      </c>
      <c r="I1371" s="21">
        <f t="shared" si="110"/>
        <v>0</v>
      </c>
      <c r="J1371" s="21">
        <f t="shared" si="109"/>
        <v>0</v>
      </c>
    </row>
    <row r="1372" spans="1:10" x14ac:dyDescent="0.3">
      <c r="A1372" s="2" t="s">
        <v>565</v>
      </c>
      <c r="B1372" s="1" t="s">
        <v>2152</v>
      </c>
      <c r="C1372" s="6" t="s">
        <v>2712</v>
      </c>
      <c r="D1372" s="6" t="s">
        <v>4879</v>
      </c>
      <c r="E1372" s="20">
        <f t="shared" si="111"/>
        <v>0</v>
      </c>
      <c r="F1372" s="20">
        <v>2500</v>
      </c>
      <c r="G1372" s="24" t="s">
        <v>7827</v>
      </c>
      <c r="H1372" s="20">
        <f t="shared" si="112"/>
        <v>0</v>
      </c>
      <c r="I1372" s="21">
        <f t="shared" si="110"/>
        <v>0</v>
      </c>
      <c r="J1372" s="21">
        <f t="shared" si="109"/>
        <v>0</v>
      </c>
    </row>
    <row r="1373" spans="1:10" ht="179.4" x14ac:dyDescent="0.3">
      <c r="A1373" s="2" t="s">
        <v>1297</v>
      </c>
      <c r="B1373" s="1" t="s">
        <v>2152</v>
      </c>
      <c r="C1373" s="6" t="s">
        <v>3448</v>
      </c>
      <c r="D1373" s="6" t="s">
        <v>5605</v>
      </c>
      <c r="E1373" s="20">
        <f t="shared" si="111"/>
        <v>0</v>
      </c>
      <c r="F1373" s="20">
        <v>65000</v>
      </c>
      <c r="G1373" s="24" t="s">
        <v>7828</v>
      </c>
      <c r="H1373" s="20">
        <f t="shared" si="112"/>
        <v>0</v>
      </c>
      <c r="I1373" s="21">
        <f t="shared" si="110"/>
        <v>0</v>
      </c>
      <c r="J1373" s="21">
        <f t="shared" si="109"/>
        <v>0</v>
      </c>
    </row>
    <row r="1374" spans="1:10" x14ac:dyDescent="0.3">
      <c r="A1374" s="2" t="s">
        <v>1298</v>
      </c>
      <c r="B1374" s="1" t="s">
        <v>2152</v>
      </c>
      <c r="C1374" s="6" t="s">
        <v>3449</v>
      </c>
      <c r="D1374" s="6" t="s">
        <v>5606</v>
      </c>
      <c r="E1374" s="20">
        <f t="shared" si="111"/>
        <v>0</v>
      </c>
      <c r="F1374" s="20"/>
      <c r="G1374" s="24" t="s">
        <v>7829</v>
      </c>
      <c r="H1374" s="20">
        <f t="shared" si="112"/>
        <v>0</v>
      </c>
      <c r="I1374" s="21">
        <f t="shared" si="110"/>
        <v>0</v>
      </c>
      <c r="J1374" s="21">
        <f t="shared" si="109"/>
        <v>0</v>
      </c>
    </row>
    <row r="1375" spans="1:10" x14ac:dyDescent="0.3">
      <c r="A1375" s="2" t="s">
        <v>1299</v>
      </c>
      <c r="B1375" s="1" t="s">
        <v>2152</v>
      </c>
      <c r="C1375" s="6" t="s">
        <v>3450</v>
      </c>
      <c r="D1375" s="6" t="s">
        <v>5607</v>
      </c>
      <c r="E1375" s="20">
        <f t="shared" si="111"/>
        <v>0</v>
      </c>
      <c r="F1375" s="20"/>
      <c r="G1375" s="24" t="s">
        <v>7830</v>
      </c>
      <c r="H1375" s="20">
        <f t="shared" si="112"/>
        <v>0</v>
      </c>
      <c r="I1375" s="21">
        <f t="shared" si="110"/>
        <v>0</v>
      </c>
      <c r="J1375" s="21">
        <f t="shared" si="109"/>
        <v>0</v>
      </c>
    </row>
    <row r="1376" spans="1:10" x14ac:dyDescent="0.3">
      <c r="A1376" s="2" t="s">
        <v>1256</v>
      </c>
      <c r="B1376" s="1" t="s">
        <v>2152</v>
      </c>
      <c r="C1376" s="6" t="s">
        <v>3404</v>
      </c>
      <c r="D1376" s="6" t="s">
        <v>5565</v>
      </c>
      <c r="E1376" s="20">
        <f t="shared" si="111"/>
        <v>0</v>
      </c>
      <c r="F1376" s="20"/>
      <c r="G1376" s="24" t="s">
        <v>7831</v>
      </c>
      <c r="H1376" s="20">
        <f t="shared" si="112"/>
        <v>0</v>
      </c>
      <c r="I1376" s="21">
        <f t="shared" si="110"/>
        <v>0</v>
      </c>
      <c r="J1376" s="21">
        <f t="shared" si="109"/>
        <v>0</v>
      </c>
    </row>
    <row r="1377" spans="1:10" x14ac:dyDescent="0.3">
      <c r="A1377" s="2" t="s">
        <v>1295</v>
      </c>
      <c r="B1377" s="1" t="s">
        <v>2152</v>
      </c>
      <c r="C1377" s="6" t="s">
        <v>3446</v>
      </c>
      <c r="D1377" s="6" t="s">
        <v>5603</v>
      </c>
      <c r="E1377" s="20">
        <f t="shared" si="111"/>
        <v>0</v>
      </c>
      <c r="F1377" s="20">
        <v>900</v>
      </c>
      <c r="G1377" s="24" t="s">
        <v>7832</v>
      </c>
      <c r="H1377" s="20">
        <f t="shared" si="112"/>
        <v>0</v>
      </c>
      <c r="I1377" s="21">
        <f t="shared" si="110"/>
        <v>0</v>
      </c>
      <c r="J1377" s="21">
        <f t="shared" si="109"/>
        <v>0</v>
      </c>
    </row>
    <row r="1378" spans="1:10" x14ac:dyDescent="0.3">
      <c r="A1378" s="2" t="s">
        <v>1300</v>
      </c>
      <c r="B1378" s="1" t="s">
        <v>2152</v>
      </c>
      <c r="C1378" s="6" t="s">
        <v>3451</v>
      </c>
      <c r="D1378" s="6" t="s">
        <v>5608</v>
      </c>
      <c r="E1378" s="20">
        <f t="shared" si="111"/>
        <v>0</v>
      </c>
      <c r="F1378" s="20">
        <v>51</v>
      </c>
      <c r="G1378" s="24" t="s">
        <v>7833</v>
      </c>
      <c r="H1378" s="20">
        <f t="shared" si="112"/>
        <v>0</v>
      </c>
      <c r="I1378" s="21">
        <f t="shared" si="110"/>
        <v>0</v>
      </c>
      <c r="J1378" s="21">
        <f t="shared" si="109"/>
        <v>0</v>
      </c>
    </row>
    <row r="1379" spans="1:10" ht="27.6" x14ac:dyDescent="0.3">
      <c r="A1379" s="2" t="s">
        <v>1301</v>
      </c>
      <c r="B1379" s="1" t="s">
        <v>2152</v>
      </c>
      <c r="C1379" s="6" t="s">
        <v>3452</v>
      </c>
      <c r="D1379" s="6" t="s">
        <v>5609</v>
      </c>
      <c r="E1379" s="20">
        <f t="shared" si="111"/>
        <v>0</v>
      </c>
      <c r="F1379" s="20"/>
      <c r="G1379" s="24" t="s">
        <v>7834</v>
      </c>
      <c r="H1379" s="20">
        <f t="shared" si="112"/>
        <v>0</v>
      </c>
      <c r="I1379" s="21">
        <f t="shared" si="110"/>
        <v>0</v>
      </c>
      <c r="J1379" s="21">
        <f t="shared" si="109"/>
        <v>0</v>
      </c>
    </row>
    <row r="1380" spans="1:10" x14ac:dyDescent="0.3">
      <c r="A1380" s="2" t="s">
        <v>1302</v>
      </c>
      <c r="B1380" s="1" t="s">
        <v>2152</v>
      </c>
      <c r="C1380" s="6" t="s">
        <v>3453</v>
      </c>
      <c r="D1380" s="6" t="s">
        <v>5610</v>
      </c>
      <c r="E1380" s="20">
        <f t="shared" si="111"/>
        <v>0</v>
      </c>
      <c r="F1380" s="20"/>
      <c r="G1380" s="24" t="s">
        <v>7835</v>
      </c>
      <c r="H1380" s="20">
        <f t="shared" si="112"/>
        <v>0</v>
      </c>
      <c r="I1380" s="21">
        <f t="shared" si="110"/>
        <v>0</v>
      </c>
      <c r="J1380" s="21">
        <f t="shared" si="109"/>
        <v>0</v>
      </c>
    </row>
    <row r="1381" spans="1:10" x14ac:dyDescent="0.3">
      <c r="A1381" s="2" t="s">
        <v>1303</v>
      </c>
      <c r="B1381" s="1" t="s">
        <v>2152</v>
      </c>
      <c r="C1381" s="6" t="s">
        <v>3454</v>
      </c>
      <c r="D1381" s="6" t="s">
        <v>5611</v>
      </c>
      <c r="E1381" s="20">
        <f t="shared" si="111"/>
        <v>0</v>
      </c>
      <c r="F1381" s="20"/>
      <c r="G1381" s="24" t="s">
        <v>7836</v>
      </c>
      <c r="H1381" s="20">
        <f t="shared" si="112"/>
        <v>0</v>
      </c>
      <c r="I1381" s="21">
        <f t="shared" si="110"/>
        <v>0</v>
      </c>
      <c r="J1381" s="21">
        <f t="shared" si="109"/>
        <v>0</v>
      </c>
    </row>
    <row r="1382" spans="1:10" x14ac:dyDescent="0.3">
      <c r="A1382" s="2" t="s">
        <v>1304</v>
      </c>
      <c r="B1382" s="1" t="s">
        <v>2152</v>
      </c>
      <c r="C1382" s="6" t="s">
        <v>3455</v>
      </c>
      <c r="D1382" s="6" t="s">
        <v>5612</v>
      </c>
      <c r="E1382" s="20">
        <f t="shared" si="111"/>
        <v>0</v>
      </c>
      <c r="F1382" s="20"/>
      <c r="G1382" s="24" t="s">
        <v>7837</v>
      </c>
      <c r="H1382" s="20">
        <f t="shared" si="112"/>
        <v>0</v>
      </c>
      <c r="I1382" s="21">
        <f t="shared" si="110"/>
        <v>0</v>
      </c>
      <c r="J1382" s="21">
        <f t="shared" si="109"/>
        <v>0</v>
      </c>
    </row>
    <row r="1383" spans="1:10" x14ac:dyDescent="0.3">
      <c r="A1383" s="2" t="s">
        <v>1305</v>
      </c>
      <c r="B1383" s="1" t="s">
        <v>2152</v>
      </c>
      <c r="C1383" s="6" t="s">
        <v>3456</v>
      </c>
      <c r="D1383" s="6" t="s">
        <v>5613</v>
      </c>
      <c r="E1383" s="20">
        <f t="shared" si="111"/>
        <v>0</v>
      </c>
      <c r="F1383" s="20"/>
      <c r="G1383" s="24" t="s">
        <v>7838</v>
      </c>
      <c r="H1383" s="20">
        <f t="shared" si="112"/>
        <v>0</v>
      </c>
      <c r="I1383" s="21">
        <f t="shared" si="110"/>
        <v>0</v>
      </c>
      <c r="J1383" s="21">
        <f t="shared" si="109"/>
        <v>0</v>
      </c>
    </row>
    <row r="1384" spans="1:10" x14ac:dyDescent="0.3">
      <c r="A1384" s="2" t="s">
        <v>1306</v>
      </c>
      <c r="B1384" s="1" t="s">
        <v>2152</v>
      </c>
      <c r="C1384" s="6" t="s">
        <v>3457</v>
      </c>
      <c r="D1384" s="6" t="s">
        <v>5614</v>
      </c>
      <c r="E1384" s="20">
        <f t="shared" si="111"/>
        <v>0</v>
      </c>
      <c r="F1384" s="20"/>
      <c r="G1384" s="24" t="s">
        <v>7839</v>
      </c>
      <c r="H1384" s="20">
        <f t="shared" si="112"/>
        <v>0</v>
      </c>
      <c r="I1384" s="21">
        <f t="shared" si="110"/>
        <v>0</v>
      </c>
      <c r="J1384" s="21">
        <f t="shared" si="109"/>
        <v>0</v>
      </c>
    </row>
    <row r="1385" spans="1:10" ht="96.6" x14ac:dyDescent="0.3">
      <c r="A1385" s="2" t="s">
        <v>1307</v>
      </c>
      <c r="B1385" s="1" t="s">
        <v>2152</v>
      </c>
      <c r="C1385" s="6" t="s">
        <v>3458</v>
      </c>
      <c r="D1385" s="6" t="s">
        <v>5615</v>
      </c>
      <c r="E1385" s="20">
        <f t="shared" si="111"/>
        <v>0</v>
      </c>
      <c r="F1385" s="20">
        <f>'[85]PLAKA YÜKLEME 30 TON'!$L$3</f>
        <v>54854</v>
      </c>
      <c r="G1385" s="24" t="s">
        <v>7840</v>
      </c>
      <c r="H1385" s="20">
        <f t="shared" si="112"/>
        <v>0</v>
      </c>
      <c r="I1385" s="21">
        <v>2649</v>
      </c>
      <c r="J1385" s="21">
        <f t="shared" si="109"/>
        <v>0</v>
      </c>
    </row>
    <row r="1386" spans="1:10" ht="96.6" x14ac:dyDescent="0.3">
      <c r="A1386" s="2" t="s">
        <v>1308</v>
      </c>
      <c r="B1386" s="1" t="s">
        <v>2152</v>
      </c>
      <c r="C1386" s="6" t="s">
        <v>3459</v>
      </c>
      <c r="D1386" s="6" t="s">
        <v>5616</v>
      </c>
      <c r="E1386" s="20">
        <f t="shared" si="111"/>
        <v>0</v>
      </c>
      <c r="F1386" s="20">
        <f>'[85]PLAKA YÜKLEME 50 TON'!$L$2</f>
        <v>55166</v>
      </c>
      <c r="G1386" s="24" t="s">
        <v>7841</v>
      </c>
      <c r="H1386" s="20">
        <f t="shared" si="112"/>
        <v>0</v>
      </c>
      <c r="I1386" s="21">
        <v>3459</v>
      </c>
      <c r="J1386" s="21">
        <f t="shared" si="109"/>
        <v>0</v>
      </c>
    </row>
    <row r="1387" spans="1:10" ht="96.6" x14ac:dyDescent="0.3">
      <c r="A1387" s="2" t="s">
        <v>1290</v>
      </c>
      <c r="B1387" s="1" t="s">
        <v>2152</v>
      </c>
      <c r="C1387" s="6" t="s">
        <v>3460</v>
      </c>
      <c r="D1387" s="6" t="s">
        <v>5617</v>
      </c>
      <c r="E1387" s="20">
        <f t="shared" si="111"/>
        <v>0</v>
      </c>
      <c r="F1387" s="20">
        <f>'[86]PLAKA YÜKLEME 100 TON'!$L$2</f>
        <v>70066</v>
      </c>
      <c r="G1387" s="24" t="s">
        <v>7842</v>
      </c>
      <c r="H1387" s="20">
        <f t="shared" si="112"/>
        <v>0</v>
      </c>
      <c r="I1387" s="21">
        <v>4200</v>
      </c>
      <c r="J1387" s="21">
        <f t="shared" si="109"/>
        <v>0</v>
      </c>
    </row>
    <row r="1388" spans="1:10" ht="96.6" x14ac:dyDescent="0.3">
      <c r="A1388" s="2" t="s">
        <v>1309</v>
      </c>
      <c r="B1388" s="1" t="s">
        <v>2152</v>
      </c>
      <c r="C1388" s="6" t="s">
        <v>3461</v>
      </c>
      <c r="D1388" s="6" t="s">
        <v>5618</v>
      </c>
      <c r="E1388" s="20">
        <f t="shared" si="111"/>
        <v>0</v>
      </c>
      <c r="F1388" s="20">
        <v>10365</v>
      </c>
      <c r="G1388" s="24" t="s">
        <v>7843</v>
      </c>
      <c r="H1388" s="20">
        <f t="shared" si="112"/>
        <v>0</v>
      </c>
      <c r="I1388" s="21">
        <v>3450</v>
      </c>
      <c r="J1388" s="21">
        <f t="shared" si="109"/>
        <v>0</v>
      </c>
    </row>
    <row r="1389" spans="1:10" ht="96.6" x14ac:dyDescent="0.3">
      <c r="A1389" s="2" t="s">
        <v>1310</v>
      </c>
      <c r="B1389" s="1" t="s">
        <v>2152</v>
      </c>
      <c r="C1389" s="6" t="s">
        <v>3462</v>
      </c>
      <c r="D1389" s="6" t="s">
        <v>5619</v>
      </c>
      <c r="E1389" s="20">
        <f t="shared" si="111"/>
        <v>0</v>
      </c>
      <c r="F1389" s="20">
        <v>12000</v>
      </c>
      <c r="G1389" s="24" t="s">
        <v>7844</v>
      </c>
      <c r="H1389" s="20">
        <f t="shared" si="112"/>
        <v>0</v>
      </c>
      <c r="I1389" s="21">
        <v>4215</v>
      </c>
      <c r="J1389" s="21">
        <f t="shared" si="109"/>
        <v>0</v>
      </c>
    </row>
    <row r="1390" spans="1:10" x14ac:dyDescent="0.3">
      <c r="A1390" s="2" t="s">
        <v>1311</v>
      </c>
      <c r="B1390" s="1" t="s">
        <v>2152</v>
      </c>
      <c r="C1390" s="6" t="s">
        <v>3463</v>
      </c>
      <c r="D1390" s="6" t="s">
        <v>5620</v>
      </c>
      <c r="E1390" s="20">
        <f t="shared" si="111"/>
        <v>0</v>
      </c>
      <c r="F1390" s="20"/>
      <c r="G1390" s="24" t="s">
        <v>7845</v>
      </c>
      <c r="H1390" s="20">
        <f t="shared" si="112"/>
        <v>0</v>
      </c>
      <c r="I1390" s="21">
        <f t="shared" ref="I1390:J1453" si="113">W1390</f>
        <v>0</v>
      </c>
      <c r="J1390" s="21">
        <f t="shared" si="109"/>
        <v>0</v>
      </c>
    </row>
    <row r="1391" spans="1:10" x14ac:dyDescent="0.3">
      <c r="A1391" s="2" t="s">
        <v>1312</v>
      </c>
      <c r="B1391" s="1" t="s">
        <v>2152</v>
      </c>
      <c r="C1391" s="6" t="s">
        <v>3464</v>
      </c>
      <c r="D1391" s="6" t="s">
        <v>5621</v>
      </c>
      <c r="E1391" s="20">
        <f t="shared" si="111"/>
        <v>0</v>
      </c>
      <c r="F1391" s="20"/>
      <c r="G1391" s="24" t="s">
        <v>7846</v>
      </c>
      <c r="H1391" s="20">
        <f t="shared" si="112"/>
        <v>0</v>
      </c>
      <c r="I1391" s="21">
        <f t="shared" si="113"/>
        <v>0</v>
      </c>
      <c r="J1391" s="21">
        <f t="shared" si="109"/>
        <v>0</v>
      </c>
    </row>
    <row r="1392" spans="1:10" x14ac:dyDescent="0.3">
      <c r="A1392" s="2" t="s">
        <v>1313</v>
      </c>
      <c r="B1392" s="1" t="s">
        <v>2152</v>
      </c>
      <c r="C1392" s="6" t="s">
        <v>3465</v>
      </c>
      <c r="D1392" s="6" t="s">
        <v>5622</v>
      </c>
      <c r="E1392" s="20">
        <f t="shared" si="111"/>
        <v>0</v>
      </c>
      <c r="F1392" s="20"/>
      <c r="G1392" s="24" t="s">
        <v>7847</v>
      </c>
      <c r="H1392" s="20">
        <f t="shared" si="112"/>
        <v>0</v>
      </c>
      <c r="I1392" s="21">
        <f>W1392</f>
        <v>0</v>
      </c>
      <c r="J1392" s="21">
        <f t="shared" si="109"/>
        <v>0</v>
      </c>
    </row>
    <row r="1393" spans="1:10" x14ac:dyDescent="0.3">
      <c r="A1393" s="2" t="s">
        <v>1314</v>
      </c>
      <c r="B1393" s="1" t="s">
        <v>2152</v>
      </c>
      <c r="C1393" s="6" t="s">
        <v>2747</v>
      </c>
      <c r="D1393" s="6" t="s">
        <v>5623</v>
      </c>
      <c r="E1393" s="20">
        <f t="shared" si="111"/>
        <v>0</v>
      </c>
      <c r="F1393" s="20">
        <v>3050</v>
      </c>
      <c r="G1393" s="24" t="s">
        <v>7848</v>
      </c>
      <c r="H1393" s="20">
        <f t="shared" si="112"/>
        <v>0</v>
      </c>
      <c r="I1393" s="21">
        <f t="shared" si="113"/>
        <v>0</v>
      </c>
      <c r="J1393" s="21">
        <f t="shared" si="109"/>
        <v>0</v>
      </c>
    </row>
    <row r="1394" spans="1:10" x14ac:dyDescent="0.3">
      <c r="A1394" s="2" t="s">
        <v>1315</v>
      </c>
      <c r="B1394" s="1" t="s">
        <v>2152</v>
      </c>
      <c r="C1394" s="6" t="s">
        <v>3466</v>
      </c>
      <c r="D1394" s="6" t="s">
        <v>5624</v>
      </c>
      <c r="E1394" s="20">
        <f t="shared" si="111"/>
        <v>0</v>
      </c>
      <c r="F1394" s="20"/>
      <c r="G1394" s="24" t="s">
        <v>7849</v>
      </c>
      <c r="H1394" s="20">
        <f t="shared" si="112"/>
        <v>0</v>
      </c>
      <c r="I1394" s="21">
        <f t="shared" si="113"/>
        <v>0</v>
      </c>
      <c r="J1394" s="21">
        <f t="shared" si="109"/>
        <v>0</v>
      </c>
    </row>
    <row r="1395" spans="1:10" x14ac:dyDescent="0.3">
      <c r="A1395" s="2" t="s">
        <v>1316</v>
      </c>
      <c r="B1395" s="1" t="s">
        <v>2152</v>
      </c>
      <c r="C1395" s="6" t="s">
        <v>3467</v>
      </c>
      <c r="D1395" s="6" t="s">
        <v>5625</v>
      </c>
      <c r="E1395" s="20">
        <f t="shared" si="111"/>
        <v>0</v>
      </c>
      <c r="F1395" s="20"/>
      <c r="G1395" s="24" t="s">
        <v>7850</v>
      </c>
      <c r="H1395" s="20">
        <f t="shared" si="112"/>
        <v>0</v>
      </c>
      <c r="I1395" s="21">
        <f t="shared" si="113"/>
        <v>0</v>
      </c>
      <c r="J1395" s="21">
        <f t="shared" si="109"/>
        <v>0</v>
      </c>
    </row>
    <row r="1396" spans="1:10" x14ac:dyDescent="0.3">
      <c r="A1396" s="2" t="s">
        <v>1295</v>
      </c>
      <c r="B1396" s="1" t="s">
        <v>2152</v>
      </c>
      <c r="C1396" s="6" t="s">
        <v>3446</v>
      </c>
      <c r="D1396" s="6" t="s">
        <v>5603</v>
      </c>
      <c r="E1396" s="20">
        <f t="shared" si="111"/>
        <v>0</v>
      </c>
      <c r="F1396" s="20">
        <v>800</v>
      </c>
      <c r="G1396" s="24" t="s">
        <v>7851</v>
      </c>
      <c r="H1396" s="20">
        <f t="shared" si="112"/>
        <v>0</v>
      </c>
      <c r="I1396" s="21">
        <f t="shared" si="113"/>
        <v>0</v>
      </c>
      <c r="J1396" s="21">
        <f t="shared" si="109"/>
        <v>0</v>
      </c>
    </row>
    <row r="1397" spans="1:10" x14ac:dyDescent="0.3">
      <c r="A1397" s="2" t="s">
        <v>1300</v>
      </c>
      <c r="B1397" s="1" t="s">
        <v>2152</v>
      </c>
      <c r="C1397" s="6" t="s">
        <v>3451</v>
      </c>
      <c r="D1397" s="6" t="s">
        <v>5608</v>
      </c>
      <c r="E1397" s="20">
        <f t="shared" si="111"/>
        <v>0</v>
      </c>
      <c r="F1397" s="20">
        <v>64</v>
      </c>
      <c r="G1397" s="24" t="s">
        <v>7852</v>
      </c>
      <c r="H1397" s="20">
        <f t="shared" si="112"/>
        <v>0</v>
      </c>
      <c r="I1397" s="21">
        <f t="shared" si="113"/>
        <v>0</v>
      </c>
      <c r="J1397" s="21">
        <f t="shared" si="113"/>
        <v>0</v>
      </c>
    </row>
    <row r="1398" spans="1:10" x14ac:dyDescent="0.3">
      <c r="A1398" s="2" t="s">
        <v>1317</v>
      </c>
      <c r="B1398" s="1" t="s">
        <v>2152</v>
      </c>
      <c r="C1398" s="6" t="s">
        <v>3468</v>
      </c>
      <c r="D1398" s="6" t="s">
        <v>5626</v>
      </c>
      <c r="E1398" s="20">
        <f t="shared" si="111"/>
        <v>0</v>
      </c>
      <c r="F1398" s="20"/>
      <c r="G1398" s="24" t="s">
        <v>7853</v>
      </c>
      <c r="H1398" s="20">
        <f t="shared" si="112"/>
        <v>0</v>
      </c>
      <c r="I1398" s="21">
        <f t="shared" si="113"/>
        <v>0</v>
      </c>
      <c r="J1398" s="21">
        <f t="shared" si="113"/>
        <v>0</v>
      </c>
    </row>
    <row r="1399" spans="1:10" x14ac:dyDescent="0.3">
      <c r="A1399" s="2" t="s">
        <v>1318</v>
      </c>
      <c r="B1399" s="1" t="s">
        <v>2152</v>
      </c>
      <c r="C1399" s="6" t="s">
        <v>3469</v>
      </c>
      <c r="D1399" s="6" t="s">
        <v>5627</v>
      </c>
      <c r="E1399" s="20">
        <f t="shared" si="111"/>
        <v>0</v>
      </c>
      <c r="F1399" s="20"/>
      <c r="G1399" s="24" t="s">
        <v>7854</v>
      </c>
      <c r="H1399" s="20">
        <f t="shared" si="112"/>
        <v>0</v>
      </c>
      <c r="I1399" s="21">
        <f t="shared" si="113"/>
        <v>0</v>
      </c>
      <c r="J1399" s="21">
        <f t="shared" si="113"/>
        <v>0</v>
      </c>
    </row>
    <row r="1400" spans="1:10" x14ac:dyDescent="0.3">
      <c r="A1400" s="2" t="s">
        <v>1319</v>
      </c>
      <c r="B1400" s="1" t="s">
        <v>2152</v>
      </c>
      <c r="C1400" s="6" t="s">
        <v>3470</v>
      </c>
      <c r="D1400" s="6" t="s">
        <v>5628</v>
      </c>
      <c r="E1400" s="20">
        <f t="shared" si="111"/>
        <v>0</v>
      </c>
      <c r="F1400" s="20"/>
      <c r="G1400" s="24" t="s">
        <v>7855</v>
      </c>
      <c r="H1400" s="20">
        <f t="shared" si="112"/>
        <v>0</v>
      </c>
      <c r="I1400" s="21">
        <f t="shared" si="113"/>
        <v>0</v>
      </c>
      <c r="J1400" s="21">
        <f t="shared" si="113"/>
        <v>0</v>
      </c>
    </row>
    <row r="1401" spans="1:10" x14ac:dyDescent="0.3">
      <c r="A1401" s="2" t="s">
        <v>1320</v>
      </c>
      <c r="B1401" s="1" t="s">
        <v>2152</v>
      </c>
      <c r="C1401" s="6" t="s">
        <v>3471</v>
      </c>
      <c r="D1401" s="6" t="s">
        <v>5629</v>
      </c>
      <c r="E1401" s="20">
        <f t="shared" si="111"/>
        <v>0</v>
      </c>
      <c r="F1401" s="20"/>
      <c r="G1401" s="24" t="s">
        <v>7856</v>
      </c>
      <c r="H1401" s="20">
        <f t="shared" si="112"/>
        <v>0</v>
      </c>
      <c r="I1401" s="21">
        <f t="shared" si="113"/>
        <v>0</v>
      </c>
      <c r="J1401" s="21">
        <f t="shared" si="113"/>
        <v>0</v>
      </c>
    </row>
    <row r="1402" spans="1:10" ht="27.6" x14ac:dyDescent="0.3">
      <c r="A1402" s="2" t="s">
        <v>1321</v>
      </c>
      <c r="B1402" s="1" t="s">
        <v>2152</v>
      </c>
      <c r="C1402" s="6" t="s">
        <v>3472</v>
      </c>
      <c r="D1402" s="6" t="s">
        <v>5630</v>
      </c>
      <c r="E1402" s="20">
        <f t="shared" si="111"/>
        <v>0</v>
      </c>
      <c r="F1402" s="20">
        <f>'[87]kum konisi'!$L$2</f>
        <v>1812.5</v>
      </c>
      <c r="G1402" s="24" t="s">
        <v>7857</v>
      </c>
      <c r="H1402" s="20">
        <f t="shared" si="112"/>
        <v>0</v>
      </c>
      <c r="I1402" s="21">
        <f t="shared" si="113"/>
        <v>0</v>
      </c>
      <c r="J1402" s="21">
        <f t="shared" si="113"/>
        <v>0</v>
      </c>
    </row>
    <row r="1403" spans="1:10" x14ac:dyDescent="0.3">
      <c r="A1403" s="2" t="s">
        <v>1322</v>
      </c>
      <c r="B1403" s="1" t="s">
        <v>2152</v>
      </c>
      <c r="C1403" s="6" t="s">
        <v>3473</v>
      </c>
      <c r="D1403" s="6" t="s">
        <v>5631</v>
      </c>
      <c r="E1403" s="20">
        <f t="shared" si="111"/>
        <v>0</v>
      </c>
      <c r="F1403" s="20">
        <f>'[88]kum konisi'!$H$5+'[88]kum konisi'!$H$6+'[88]kum konisi'!$H$7+'[88]kum konisi'!$H$8+'[88]kum konisi'!$H$9</f>
        <v>190</v>
      </c>
      <c r="G1403" s="24" t="s">
        <v>7858</v>
      </c>
      <c r="H1403" s="20">
        <f t="shared" si="112"/>
        <v>0</v>
      </c>
      <c r="I1403" s="21">
        <f t="shared" si="113"/>
        <v>0</v>
      </c>
      <c r="J1403" s="21">
        <f t="shared" si="113"/>
        <v>0</v>
      </c>
    </row>
    <row r="1404" spans="1:10" x14ac:dyDescent="0.3">
      <c r="A1404" s="2" t="s">
        <v>1323</v>
      </c>
      <c r="B1404" s="1" t="s">
        <v>2152</v>
      </c>
      <c r="C1404" s="6" t="s">
        <v>3474</v>
      </c>
      <c r="D1404" s="6" t="s">
        <v>5632</v>
      </c>
      <c r="E1404" s="20">
        <f t="shared" si="111"/>
        <v>0</v>
      </c>
      <c r="F1404" s="20">
        <f>'[88]kum konisi'!$H$3</f>
        <v>135</v>
      </c>
      <c r="G1404" s="24" t="s">
        <v>7859</v>
      </c>
      <c r="H1404" s="20">
        <f t="shared" si="112"/>
        <v>0</v>
      </c>
      <c r="I1404" s="21">
        <f t="shared" si="113"/>
        <v>0</v>
      </c>
      <c r="J1404" s="21">
        <f t="shared" si="113"/>
        <v>0</v>
      </c>
    </row>
    <row r="1405" spans="1:10" x14ac:dyDescent="0.3">
      <c r="A1405" s="2" t="s">
        <v>492</v>
      </c>
      <c r="B1405" s="1" t="s">
        <v>2152</v>
      </c>
      <c r="C1405" s="6" t="s">
        <v>3475</v>
      </c>
      <c r="D1405" s="6" t="s">
        <v>5633</v>
      </c>
      <c r="E1405" s="20">
        <f t="shared" si="111"/>
        <v>0</v>
      </c>
      <c r="F1405" s="20">
        <f>'[88]kum konisi'!$H$4</f>
        <v>75</v>
      </c>
      <c r="G1405" s="24" t="s">
        <v>7860</v>
      </c>
      <c r="H1405" s="20">
        <f t="shared" si="112"/>
        <v>0</v>
      </c>
      <c r="I1405" s="21">
        <f t="shared" si="113"/>
        <v>0</v>
      </c>
      <c r="J1405" s="21">
        <f t="shared" si="113"/>
        <v>0</v>
      </c>
    </row>
    <row r="1406" spans="1:10" ht="27.6" x14ac:dyDescent="0.3">
      <c r="A1406" s="2" t="s">
        <v>1324</v>
      </c>
      <c r="B1406" s="1" t="s">
        <v>2152</v>
      </c>
      <c r="C1406" s="6" t="s">
        <v>3476</v>
      </c>
      <c r="D1406" s="6" t="s">
        <v>5634</v>
      </c>
      <c r="E1406" s="20">
        <f t="shared" si="111"/>
        <v>0</v>
      </c>
      <c r="F1406" s="20">
        <f>'[87]12 KUM KONİSİ'!$L$2</f>
        <v>660</v>
      </c>
      <c r="G1406" s="24" t="s">
        <v>7861</v>
      </c>
      <c r="H1406" s="20">
        <f t="shared" si="112"/>
        <v>0</v>
      </c>
      <c r="I1406" s="21">
        <f t="shared" si="113"/>
        <v>0</v>
      </c>
      <c r="J1406" s="21">
        <f t="shared" si="113"/>
        <v>0</v>
      </c>
    </row>
    <row r="1407" spans="1:10" x14ac:dyDescent="0.3">
      <c r="A1407" s="2" t="s">
        <v>1325</v>
      </c>
      <c r="B1407" s="1" t="s">
        <v>2152</v>
      </c>
      <c r="C1407" s="6" t="s">
        <v>3477</v>
      </c>
      <c r="D1407" s="6" t="s">
        <v>5635</v>
      </c>
      <c r="E1407" s="20">
        <f t="shared" si="111"/>
        <v>0</v>
      </c>
      <c r="F1407" s="20">
        <v>450</v>
      </c>
      <c r="G1407" s="24" t="s">
        <v>7862</v>
      </c>
      <c r="H1407" s="20">
        <f t="shared" si="112"/>
        <v>0</v>
      </c>
      <c r="I1407" s="21">
        <f t="shared" si="113"/>
        <v>0</v>
      </c>
      <c r="J1407" s="21">
        <f t="shared" si="113"/>
        <v>0</v>
      </c>
    </row>
    <row r="1408" spans="1:10" ht="41.4" x14ac:dyDescent="0.3">
      <c r="A1408" s="2" t="s">
        <v>1326</v>
      </c>
      <c r="B1408" s="1" t="s">
        <v>2152</v>
      </c>
      <c r="C1408" s="6" t="s">
        <v>3478</v>
      </c>
      <c r="D1408" s="6" t="s">
        <v>5636</v>
      </c>
      <c r="E1408" s="20">
        <f t="shared" si="111"/>
        <v>0</v>
      </c>
      <c r="F1408" s="20">
        <f>'[89]100 LÜK KESAFET'!$L$2</f>
        <v>1492</v>
      </c>
      <c r="G1408" s="24" t="s">
        <v>7863</v>
      </c>
      <c r="H1408" s="20">
        <f t="shared" si="112"/>
        <v>0</v>
      </c>
      <c r="I1408" s="21">
        <f t="shared" si="113"/>
        <v>0</v>
      </c>
      <c r="J1408" s="21">
        <f t="shared" si="113"/>
        <v>0</v>
      </c>
    </row>
    <row r="1409" spans="1:10" x14ac:dyDescent="0.3">
      <c r="A1409" s="2" t="s">
        <v>1327</v>
      </c>
      <c r="B1409" s="1" t="s">
        <v>2152</v>
      </c>
      <c r="C1409" s="6" t="s">
        <v>3479</v>
      </c>
      <c r="D1409" s="6" t="s">
        <v>5637</v>
      </c>
      <c r="E1409" s="20">
        <f t="shared" si="111"/>
        <v>0</v>
      </c>
      <c r="F1409" s="20"/>
      <c r="G1409" s="24" t="s">
        <v>7864</v>
      </c>
      <c r="H1409" s="20">
        <f t="shared" si="112"/>
        <v>0</v>
      </c>
      <c r="I1409" s="21">
        <f t="shared" si="113"/>
        <v>0</v>
      </c>
      <c r="J1409" s="21">
        <f t="shared" si="113"/>
        <v>0</v>
      </c>
    </row>
    <row r="1410" spans="1:10" x14ac:dyDescent="0.3">
      <c r="A1410" s="2" t="s">
        <v>1328</v>
      </c>
      <c r="B1410" s="1" t="s">
        <v>2152</v>
      </c>
      <c r="C1410" s="6" t="s">
        <v>3480</v>
      </c>
      <c r="D1410" s="6" t="s">
        <v>5638</v>
      </c>
      <c r="E1410" s="20">
        <f t="shared" si="111"/>
        <v>0</v>
      </c>
      <c r="F1410" s="20"/>
      <c r="G1410" s="24" t="s">
        <v>7865</v>
      </c>
      <c r="H1410" s="20">
        <f t="shared" si="112"/>
        <v>0</v>
      </c>
      <c r="I1410" s="21">
        <f t="shared" si="113"/>
        <v>0</v>
      </c>
      <c r="J1410" s="21">
        <f t="shared" si="113"/>
        <v>0</v>
      </c>
    </row>
    <row r="1411" spans="1:10" x14ac:dyDescent="0.3">
      <c r="A1411" s="2" t="s">
        <v>1329</v>
      </c>
      <c r="B1411" s="1" t="s">
        <v>2152</v>
      </c>
      <c r="C1411" s="6" t="s">
        <v>3481</v>
      </c>
      <c r="D1411" s="6" t="s">
        <v>5639</v>
      </c>
      <c r="E1411" s="20">
        <f t="shared" si="111"/>
        <v>0</v>
      </c>
      <c r="F1411" s="20"/>
      <c r="G1411" s="24" t="s">
        <v>7866</v>
      </c>
      <c r="H1411" s="20">
        <f t="shared" si="112"/>
        <v>0</v>
      </c>
      <c r="I1411" s="21">
        <f t="shared" si="113"/>
        <v>0</v>
      </c>
      <c r="J1411" s="21">
        <f t="shared" si="113"/>
        <v>0</v>
      </c>
    </row>
    <row r="1412" spans="1:10" ht="41.4" x14ac:dyDescent="0.3">
      <c r="A1412" s="2" t="s">
        <v>1330</v>
      </c>
      <c r="B1412" s="1" t="s">
        <v>2152</v>
      </c>
      <c r="C1412" s="6" t="s">
        <v>3482</v>
      </c>
      <c r="D1412" s="6" t="s">
        <v>5640</v>
      </c>
      <c r="E1412" s="20">
        <f t="shared" si="111"/>
        <v>0</v>
      </c>
      <c r="F1412" s="20">
        <f>'[89]150 LİK KESAFET'!$L$2</f>
        <v>5729</v>
      </c>
      <c r="G1412" s="24" t="s">
        <v>7867</v>
      </c>
      <c r="H1412" s="20">
        <f t="shared" si="112"/>
        <v>0</v>
      </c>
      <c r="I1412" s="21">
        <f t="shared" si="113"/>
        <v>0</v>
      </c>
      <c r="J1412" s="21">
        <f t="shared" si="113"/>
        <v>0</v>
      </c>
    </row>
    <row r="1413" spans="1:10" x14ac:dyDescent="0.3">
      <c r="A1413" s="2" t="s">
        <v>1331</v>
      </c>
      <c r="B1413" s="1" t="s">
        <v>2152</v>
      </c>
      <c r="C1413" s="6" t="s">
        <v>3483</v>
      </c>
      <c r="D1413" s="6" t="s">
        <v>5641</v>
      </c>
      <c r="E1413" s="20">
        <f t="shared" si="111"/>
        <v>0</v>
      </c>
      <c r="F1413" s="20"/>
      <c r="G1413" s="24" t="s">
        <v>7868</v>
      </c>
      <c r="H1413" s="20">
        <f t="shared" si="112"/>
        <v>0</v>
      </c>
      <c r="I1413" s="21">
        <f t="shared" si="113"/>
        <v>0</v>
      </c>
      <c r="J1413" s="21">
        <f t="shared" si="113"/>
        <v>0</v>
      </c>
    </row>
    <row r="1414" spans="1:10" x14ac:dyDescent="0.3">
      <c r="A1414" s="2" t="s">
        <v>1332</v>
      </c>
      <c r="B1414" s="1" t="s">
        <v>2152</v>
      </c>
      <c r="C1414" s="6" t="s">
        <v>3484</v>
      </c>
      <c r="D1414" s="6" t="s">
        <v>5642</v>
      </c>
      <c r="E1414" s="20">
        <f t="shared" si="111"/>
        <v>0</v>
      </c>
      <c r="F1414" s="20"/>
      <c r="G1414" s="24" t="s">
        <v>7869</v>
      </c>
      <c r="H1414" s="20">
        <f t="shared" si="112"/>
        <v>0</v>
      </c>
      <c r="I1414" s="21">
        <f t="shared" si="113"/>
        <v>0</v>
      </c>
      <c r="J1414" s="21">
        <f t="shared" si="113"/>
        <v>0</v>
      </c>
    </row>
    <row r="1415" spans="1:10" x14ac:dyDescent="0.3">
      <c r="A1415" s="2" t="s">
        <v>1333</v>
      </c>
      <c r="B1415" s="1" t="s">
        <v>2152</v>
      </c>
      <c r="C1415" s="6" t="s">
        <v>3485</v>
      </c>
      <c r="D1415" s="6" t="s">
        <v>5643</v>
      </c>
      <c r="E1415" s="20">
        <f t="shared" si="111"/>
        <v>0</v>
      </c>
      <c r="F1415" s="20">
        <v>40</v>
      </c>
      <c r="G1415" s="24" t="s">
        <v>7870</v>
      </c>
      <c r="H1415" s="20">
        <f t="shared" si="112"/>
        <v>0</v>
      </c>
      <c r="I1415" s="21">
        <f t="shared" si="113"/>
        <v>0</v>
      </c>
      <c r="J1415" s="21">
        <f t="shared" si="113"/>
        <v>0</v>
      </c>
    </row>
    <row r="1416" spans="1:10" ht="41.4" x14ac:dyDescent="0.3">
      <c r="A1416" s="2" t="s">
        <v>1334</v>
      </c>
      <c r="B1416" s="1" t="s">
        <v>2152</v>
      </c>
      <c r="C1416" s="6" t="s">
        <v>3486</v>
      </c>
      <c r="D1416" s="6" t="s">
        <v>5644</v>
      </c>
      <c r="E1416" s="20">
        <f t="shared" si="111"/>
        <v>0</v>
      </c>
      <c r="F1416" s="20">
        <f>'[89]200 LUK KESAFET'!$L$2</f>
        <v>7500</v>
      </c>
      <c r="G1416" s="24" t="s">
        <v>7871</v>
      </c>
      <c r="H1416" s="20">
        <f t="shared" si="112"/>
        <v>0</v>
      </c>
      <c r="I1416" s="21">
        <f t="shared" si="113"/>
        <v>0</v>
      </c>
      <c r="J1416" s="21">
        <f t="shared" si="113"/>
        <v>0</v>
      </c>
    </row>
    <row r="1417" spans="1:10" x14ac:dyDescent="0.3">
      <c r="A1417" s="2" t="s">
        <v>1335</v>
      </c>
      <c r="B1417" s="1" t="s">
        <v>2152</v>
      </c>
      <c r="C1417" s="6" t="s">
        <v>3487</v>
      </c>
      <c r="D1417" s="6" t="s">
        <v>5645</v>
      </c>
      <c r="E1417" s="20">
        <f t="shared" ref="E1417:E1480" si="114">H1417*1.8*1.4</f>
        <v>0</v>
      </c>
      <c r="F1417" s="20"/>
      <c r="G1417" s="24" t="s">
        <v>7872</v>
      </c>
      <c r="H1417" s="20">
        <f t="shared" ref="H1417:H1480" si="115">K1417*1.8*1.4</f>
        <v>0</v>
      </c>
      <c r="I1417" s="21">
        <f t="shared" si="113"/>
        <v>0</v>
      </c>
      <c r="J1417" s="21">
        <f t="shared" si="113"/>
        <v>0</v>
      </c>
    </row>
    <row r="1418" spans="1:10" x14ac:dyDescent="0.3">
      <c r="A1418" s="2" t="s">
        <v>1336</v>
      </c>
      <c r="B1418" s="1" t="s">
        <v>2152</v>
      </c>
      <c r="C1418" s="6" t="s">
        <v>3488</v>
      </c>
      <c r="D1418" s="6" t="s">
        <v>5646</v>
      </c>
      <c r="E1418" s="20">
        <f t="shared" si="114"/>
        <v>0</v>
      </c>
      <c r="F1418" s="20"/>
      <c r="G1418" s="24" t="s">
        <v>7873</v>
      </c>
      <c r="H1418" s="20">
        <f t="shared" si="115"/>
        <v>0</v>
      </c>
      <c r="I1418" s="21">
        <f t="shared" si="113"/>
        <v>0</v>
      </c>
      <c r="J1418" s="21">
        <f t="shared" si="113"/>
        <v>0</v>
      </c>
    </row>
    <row r="1419" spans="1:10" x14ac:dyDescent="0.3">
      <c r="A1419" s="2" t="s">
        <v>1337</v>
      </c>
      <c r="B1419" s="1" t="s">
        <v>2152</v>
      </c>
      <c r="C1419" s="6" t="s">
        <v>3489</v>
      </c>
      <c r="D1419" s="6" t="s">
        <v>5647</v>
      </c>
      <c r="E1419" s="20">
        <f t="shared" si="114"/>
        <v>0</v>
      </c>
      <c r="F1419" s="20">
        <v>50</v>
      </c>
      <c r="G1419" s="24" t="s">
        <v>7874</v>
      </c>
      <c r="H1419" s="20">
        <f t="shared" si="115"/>
        <v>0</v>
      </c>
      <c r="I1419" s="21">
        <f t="shared" si="113"/>
        <v>0</v>
      </c>
      <c r="J1419" s="21">
        <f t="shared" si="113"/>
        <v>0</v>
      </c>
    </row>
    <row r="1420" spans="1:10" ht="82.8" x14ac:dyDescent="0.3">
      <c r="A1420" s="2" t="s">
        <v>1338</v>
      </c>
      <c r="B1420" s="1" t="s">
        <v>2152</v>
      </c>
      <c r="C1420" s="6" t="s">
        <v>3490</v>
      </c>
      <c r="D1420" s="6" t="s">
        <v>5648</v>
      </c>
      <c r="E1420" s="20">
        <f t="shared" si="114"/>
        <v>0</v>
      </c>
      <c r="F1420" s="20">
        <v>1800</v>
      </c>
      <c r="G1420" s="24" t="s">
        <v>7875</v>
      </c>
      <c r="H1420" s="20">
        <f t="shared" si="115"/>
        <v>0</v>
      </c>
      <c r="I1420" s="21">
        <f t="shared" si="113"/>
        <v>0</v>
      </c>
      <c r="J1420" s="21">
        <f t="shared" si="113"/>
        <v>0</v>
      </c>
    </row>
    <row r="1421" spans="1:10" x14ac:dyDescent="0.3">
      <c r="A1421" s="2" t="s">
        <v>1339</v>
      </c>
      <c r="B1421" s="1" t="s">
        <v>2152</v>
      </c>
      <c r="C1421" s="6" t="s">
        <v>3491</v>
      </c>
      <c r="D1421" s="6" t="s">
        <v>5649</v>
      </c>
      <c r="E1421" s="20">
        <f t="shared" si="114"/>
        <v>0</v>
      </c>
      <c r="F1421" s="20"/>
      <c r="G1421" s="24" t="s">
        <v>7876</v>
      </c>
      <c r="H1421" s="20">
        <f t="shared" si="115"/>
        <v>0</v>
      </c>
      <c r="I1421" s="21">
        <f t="shared" si="113"/>
        <v>0</v>
      </c>
      <c r="J1421" s="21">
        <f t="shared" si="113"/>
        <v>0</v>
      </c>
    </row>
    <row r="1422" spans="1:10" ht="82.8" x14ac:dyDescent="0.3">
      <c r="A1422" s="2" t="s">
        <v>1340</v>
      </c>
      <c r="B1422" s="1" t="s">
        <v>2152</v>
      </c>
      <c r="C1422" s="6" t="s">
        <v>3492</v>
      </c>
      <c r="D1422" s="6" t="s">
        <v>5650</v>
      </c>
      <c r="E1422" s="20">
        <f t="shared" si="114"/>
        <v>0</v>
      </c>
      <c r="F1422" s="20"/>
      <c r="G1422" s="24" t="s">
        <v>7877</v>
      </c>
      <c r="H1422" s="20">
        <f t="shared" si="115"/>
        <v>0</v>
      </c>
      <c r="I1422" s="21">
        <f t="shared" si="113"/>
        <v>0</v>
      </c>
      <c r="J1422" s="21">
        <f t="shared" si="113"/>
        <v>0</v>
      </c>
    </row>
    <row r="1423" spans="1:10" x14ac:dyDescent="0.3">
      <c r="A1423" s="2" t="s">
        <v>1341</v>
      </c>
      <c r="B1423" s="1" t="s">
        <v>2152</v>
      </c>
      <c r="C1423" s="6" t="s">
        <v>3493</v>
      </c>
      <c r="D1423" s="6" t="s">
        <v>5651</v>
      </c>
      <c r="E1423" s="20">
        <f t="shared" si="114"/>
        <v>0</v>
      </c>
      <c r="F1423" s="20"/>
      <c r="G1423" s="24" t="s">
        <v>7878</v>
      </c>
      <c r="H1423" s="20">
        <f t="shared" si="115"/>
        <v>0</v>
      </c>
      <c r="I1423" s="21">
        <f t="shared" si="113"/>
        <v>0</v>
      </c>
      <c r="J1423" s="21">
        <f t="shared" si="113"/>
        <v>0</v>
      </c>
    </row>
    <row r="1424" spans="1:10" x14ac:dyDescent="0.3">
      <c r="A1424" s="2" t="s">
        <v>1342</v>
      </c>
      <c r="B1424" s="1" t="s">
        <v>2152</v>
      </c>
      <c r="C1424" s="6" t="s">
        <v>3494</v>
      </c>
      <c r="D1424" s="6" t="s">
        <v>5652</v>
      </c>
      <c r="E1424" s="20">
        <f t="shared" si="114"/>
        <v>0</v>
      </c>
      <c r="F1424" s="20"/>
      <c r="G1424" s="24" t="s">
        <v>7879</v>
      </c>
      <c r="H1424" s="20">
        <f t="shared" si="115"/>
        <v>0</v>
      </c>
      <c r="I1424" s="21">
        <f t="shared" si="113"/>
        <v>0</v>
      </c>
      <c r="J1424" s="21">
        <f t="shared" si="113"/>
        <v>0</v>
      </c>
    </row>
    <row r="1425" spans="1:10" x14ac:dyDescent="0.3">
      <c r="A1425" s="2" t="s">
        <v>1343</v>
      </c>
      <c r="B1425" s="1" t="s">
        <v>2152</v>
      </c>
      <c r="C1425" s="6" t="s">
        <v>3495</v>
      </c>
      <c r="D1425" s="6" t="s">
        <v>5653</v>
      </c>
      <c r="E1425" s="20">
        <f t="shared" si="114"/>
        <v>0</v>
      </c>
      <c r="F1425" s="20"/>
      <c r="G1425" s="24" t="s">
        <v>7880</v>
      </c>
      <c r="H1425" s="20">
        <f t="shared" si="115"/>
        <v>0</v>
      </c>
      <c r="I1425" s="21">
        <f t="shared" si="113"/>
        <v>0</v>
      </c>
      <c r="J1425" s="21">
        <f t="shared" si="113"/>
        <v>0</v>
      </c>
    </row>
    <row r="1426" spans="1:10" x14ac:dyDescent="0.3">
      <c r="A1426" s="2" t="s">
        <v>1344</v>
      </c>
      <c r="B1426" s="1" t="s">
        <v>2152</v>
      </c>
      <c r="C1426" s="6" t="s">
        <v>3496</v>
      </c>
      <c r="D1426" s="6" t="s">
        <v>5654</v>
      </c>
      <c r="E1426" s="20">
        <f t="shared" si="114"/>
        <v>0</v>
      </c>
      <c r="F1426" s="20"/>
      <c r="G1426" s="24" t="s">
        <v>7881</v>
      </c>
      <c r="H1426" s="20">
        <f t="shared" si="115"/>
        <v>0</v>
      </c>
      <c r="I1426" s="21">
        <f t="shared" si="113"/>
        <v>0</v>
      </c>
      <c r="J1426" s="21">
        <f t="shared" si="113"/>
        <v>0</v>
      </c>
    </row>
    <row r="1427" spans="1:10" x14ac:dyDescent="0.3">
      <c r="A1427" s="2" t="s">
        <v>1345</v>
      </c>
      <c r="B1427" s="1" t="s">
        <v>2152</v>
      </c>
      <c r="C1427" s="6" t="s">
        <v>3497</v>
      </c>
      <c r="D1427" s="6" t="s">
        <v>5655</v>
      </c>
      <c r="E1427" s="20">
        <f t="shared" si="114"/>
        <v>0</v>
      </c>
      <c r="F1427" s="20"/>
      <c r="G1427" s="24" t="s">
        <v>7882</v>
      </c>
      <c r="H1427" s="20">
        <f t="shared" si="115"/>
        <v>0</v>
      </c>
      <c r="I1427" s="21">
        <f t="shared" si="113"/>
        <v>0</v>
      </c>
      <c r="J1427" s="21">
        <f t="shared" si="113"/>
        <v>0</v>
      </c>
    </row>
    <row r="1428" spans="1:10" x14ac:dyDescent="0.3">
      <c r="A1428" s="2" t="s">
        <v>474</v>
      </c>
      <c r="B1428" s="1" t="s">
        <v>2152</v>
      </c>
      <c r="C1428" s="6" t="s">
        <v>3498</v>
      </c>
      <c r="D1428" s="6" t="s">
        <v>2622</v>
      </c>
      <c r="E1428" s="20">
        <f t="shared" si="114"/>
        <v>0</v>
      </c>
      <c r="F1428" s="20">
        <v>17.5</v>
      </c>
      <c r="G1428" s="24" t="s">
        <v>7883</v>
      </c>
      <c r="H1428" s="20">
        <f t="shared" si="115"/>
        <v>0</v>
      </c>
      <c r="I1428" s="21">
        <f t="shared" si="113"/>
        <v>0</v>
      </c>
      <c r="J1428" s="21">
        <f t="shared" si="113"/>
        <v>0</v>
      </c>
    </row>
    <row r="1429" spans="1:10" x14ac:dyDescent="0.3">
      <c r="A1429" s="2" t="s">
        <v>1346</v>
      </c>
      <c r="B1429" s="1" t="s">
        <v>2152</v>
      </c>
      <c r="C1429" s="6" t="s">
        <v>3499</v>
      </c>
      <c r="D1429" s="6" t="s">
        <v>5656</v>
      </c>
      <c r="E1429" s="20">
        <f t="shared" si="114"/>
        <v>0</v>
      </c>
      <c r="F1429" s="20"/>
      <c r="G1429" s="24" t="s">
        <v>7884</v>
      </c>
      <c r="H1429" s="20">
        <f t="shared" si="115"/>
        <v>0</v>
      </c>
      <c r="I1429" s="21">
        <f t="shared" si="113"/>
        <v>0</v>
      </c>
      <c r="J1429" s="21">
        <f t="shared" si="113"/>
        <v>0</v>
      </c>
    </row>
    <row r="1430" spans="1:10" ht="55.2" x14ac:dyDescent="0.3">
      <c r="A1430" s="2" t="s">
        <v>1347</v>
      </c>
      <c r="B1430" s="1" t="s">
        <v>2152</v>
      </c>
      <c r="C1430" s="6" t="s">
        <v>3500</v>
      </c>
      <c r="D1430" s="6" t="s">
        <v>5657</v>
      </c>
      <c r="E1430" s="20">
        <f t="shared" si="114"/>
        <v>0</v>
      </c>
      <c r="F1430" s="20">
        <f>'[90]DÜŞEN SEVİYELİ PERMABİLİTE'!$L$2</f>
        <v>9922</v>
      </c>
      <c r="G1430" s="24" t="s">
        <v>7885</v>
      </c>
      <c r="H1430" s="20">
        <f t="shared" si="115"/>
        <v>0</v>
      </c>
      <c r="I1430" s="21">
        <f t="shared" si="113"/>
        <v>0</v>
      </c>
      <c r="J1430" s="21">
        <f t="shared" si="113"/>
        <v>0</v>
      </c>
    </row>
    <row r="1431" spans="1:10" x14ac:dyDescent="0.3">
      <c r="A1431" s="2" t="s">
        <v>1348</v>
      </c>
      <c r="B1431" s="1" t="s">
        <v>2152</v>
      </c>
      <c r="C1431" s="6" t="s">
        <v>3501</v>
      </c>
      <c r="D1431" s="6" t="s">
        <v>5658</v>
      </c>
      <c r="E1431" s="20">
        <f t="shared" si="114"/>
        <v>0</v>
      </c>
      <c r="F1431" s="20"/>
      <c r="G1431" s="24" t="s">
        <v>7886</v>
      </c>
      <c r="H1431" s="20">
        <f t="shared" si="115"/>
        <v>0</v>
      </c>
      <c r="I1431" s="21">
        <f t="shared" si="113"/>
        <v>0</v>
      </c>
      <c r="J1431" s="21">
        <f t="shared" si="113"/>
        <v>0</v>
      </c>
    </row>
    <row r="1432" spans="1:10" ht="27.6" x14ac:dyDescent="0.3">
      <c r="A1432" s="2" t="s">
        <v>1349</v>
      </c>
      <c r="B1432" s="1" t="s">
        <v>2152</v>
      </c>
      <c r="C1432" s="6" t="s">
        <v>3502</v>
      </c>
      <c r="D1432" s="6" t="s">
        <v>5659</v>
      </c>
      <c r="E1432" s="20">
        <f t="shared" si="114"/>
        <v>0</v>
      </c>
      <c r="F1432" s="20"/>
      <c r="G1432" s="24" t="s">
        <v>7887</v>
      </c>
      <c r="H1432" s="20">
        <f t="shared" si="115"/>
        <v>0</v>
      </c>
      <c r="I1432" s="21">
        <f t="shared" si="113"/>
        <v>0</v>
      </c>
      <c r="J1432" s="21">
        <f t="shared" si="113"/>
        <v>0</v>
      </c>
    </row>
    <row r="1433" spans="1:10" x14ac:dyDescent="0.3">
      <c r="A1433" s="2" t="s">
        <v>1350</v>
      </c>
      <c r="B1433" s="1" t="s">
        <v>2152</v>
      </c>
      <c r="C1433" s="6" t="s">
        <v>3503</v>
      </c>
      <c r="D1433" s="6" t="s">
        <v>5660</v>
      </c>
      <c r="E1433" s="20">
        <f t="shared" si="114"/>
        <v>0</v>
      </c>
      <c r="F1433" s="20"/>
      <c r="G1433" s="24" t="s">
        <v>7888</v>
      </c>
      <c r="H1433" s="20">
        <f t="shared" si="115"/>
        <v>0</v>
      </c>
      <c r="I1433" s="21">
        <f t="shared" si="113"/>
        <v>0</v>
      </c>
      <c r="J1433" s="21">
        <f t="shared" si="113"/>
        <v>0</v>
      </c>
    </row>
    <row r="1434" spans="1:10" x14ac:dyDescent="0.3">
      <c r="A1434" s="2" t="s">
        <v>1344</v>
      </c>
      <c r="B1434" s="1" t="s">
        <v>2152</v>
      </c>
      <c r="C1434" s="6" t="s">
        <v>3496</v>
      </c>
      <c r="D1434" s="6" t="s">
        <v>5661</v>
      </c>
      <c r="E1434" s="20">
        <f t="shared" si="114"/>
        <v>0</v>
      </c>
      <c r="F1434" s="20"/>
      <c r="G1434" s="24" t="s">
        <v>7889</v>
      </c>
      <c r="H1434" s="20">
        <f t="shared" si="115"/>
        <v>0</v>
      </c>
      <c r="I1434" s="21">
        <f t="shared" si="113"/>
        <v>0</v>
      </c>
      <c r="J1434" s="21">
        <f t="shared" si="113"/>
        <v>0</v>
      </c>
    </row>
    <row r="1435" spans="1:10" ht="96.6" x14ac:dyDescent="0.3">
      <c r="A1435" s="2" t="s">
        <v>1351</v>
      </c>
      <c r="B1435" s="1" t="s">
        <v>2152</v>
      </c>
      <c r="C1435" s="6" t="s">
        <v>3504</v>
      </c>
      <c r="D1435" s="6" t="s">
        <v>5662</v>
      </c>
      <c r="E1435" s="20">
        <f t="shared" si="114"/>
        <v>0</v>
      </c>
      <c r="F1435" s="20">
        <v>28500</v>
      </c>
      <c r="G1435" s="24" t="s">
        <v>7890</v>
      </c>
      <c r="H1435" s="20">
        <f t="shared" si="115"/>
        <v>0</v>
      </c>
      <c r="I1435" s="21">
        <f t="shared" si="113"/>
        <v>0</v>
      </c>
      <c r="J1435" s="21">
        <f>X1435</f>
        <v>0</v>
      </c>
    </row>
    <row r="1436" spans="1:10" ht="96.6" x14ac:dyDescent="0.3">
      <c r="A1436" s="2" t="s">
        <v>1352</v>
      </c>
      <c r="B1436" s="1" t="s">
        <v>2152</v>
      </c>
      <c r="C1436" s="6" t="s">
        <v>3505</v>
      </c>
      <c r="D1436" s="6" t="s">
        <v>5663</v>
      </c>
      <c r="E1436" s="20">
        <f t="shared" si="114"/>
        <v>0</v>
      </c>
      <c r="F1436" s="20">
        <f>[91]KONSOLİDASYON75LİK!$L$2</f>
        <v>7700</v>
      </c>
      <c r="G1436" s="24" t="s">
        <v>7891</v>
      </c>
      <c r="H1436" s="20">
        <f t="shared" si="115"/>
        <v>0</v>
      </c>
      <c r="I1436" s="21">
        <f t="shared" si="113"/>
        <v>0</v>
      </c>
      <c r="J1436" s="21">
        <f>X1436</f>
        <v>0</v>
      </c>
    </row>
    <row r="1437" spans="1:10" ht="96.6" x14ac:dyDescent="0.3">
      <c r="A1437" s="2" t="s">
        <v>1353</v>
      </c>
      <c r="B1437" s="1" t="s">
        <v>2152</v>
      </c>
      <c r="C1437" s="6" t="s">
        <v>3506</v>
      </c>
      <c r="D1437" s="6" t="s">
        <v>5664</v>
      </c>
      <c r="E1437" s="20">
        <f t="shared" si="114"/>
        <v>0</v>
      </c>
      <c r="F1437" s="20">
        <f>[92]KONSOLİDASYON50LİK!$L$2</f>
        <v>23860</v>
      </c>
      <c r="G1437" s="24" t="s">
        <v>7892</v>
      </c>
      <c r="H1437" s="20">
        <f t="shared" si="115"/>
        <v>0</v>
      </c>
      <c r="I1437" s="21">
        <f t="shared" si="113"/>
        <v>0</v>
      </c>
      <c r="J1437" s="21">
        <f>X1437</f>
        <v>0</v>
      </c>
    </row>
    <row r="1438" spans="1:10" x14ac:dyDescent="0.3">
      <c r="A1438" s="2" t="s">
        <v>1354</v>
      </c>
      <c r="B1438" s="1" t="s">
        <v>2152</v>
      </c>
      <c r="C1438" s="6" t="s">
        <v>3507</v>
      </c>
      <c r="D1438" s="6" t="s">
        <v>5665</v>
      </c>
      <c r="E1438" s="20">
        <f t="shared" si="114"/>
        <v>0</v>
      </c>
      <c r="F1438" s="20"/>
      <c r="G1438" s="24" t="s">
        <v>7893</v>
      </c>
      <c r="H1438" s="20">
        <f t="shared" si="115"/>
        <v>0</v>
      </c>
    </row>
    <row r="1439" spans="1:10" x14ac:dyDescent="0.3">
      <c r="A1439" s="2" t="s">
        <v>1355</v>
      </c>
      <c r="B1439" s="1" t="s">
        <v>2152</v>
      </c>
      <c r="C1439" s="6" t="s">
        <v>3508</v>
      </c>
      <c r="D1439" s="6" t="s">
        <v>5666</v>
      </c>
      <c r="E1439" s="20">
        <f t="shared" si="114"/>
        <v>0</v>
      </c>
      <c r="F1439" s="20"/>
      <c r="G1439" s="24" t="s">
        <v>7894</v>
      </c>
      <c r="H1439" s="20">
        <f t="shared" si="115"/>
        <v>0</v>
      </c>
      <c r="I1439" s="21">
        <f t="shared" si="113"/>
        <v>0</v>
      </c>
      <c r="J1439" s="21">
        <f t="shared" si="113"/>
        <v>0</v>
      </c>
    </row>
    <row r="1440" spans="1:10" x14ac:dyDescent="0.3">
      <c r="A1440" s="2" t="s">
        <v>1356</v>
      </c>
      <c r="B1440" s="1" t="s">
        <v>2152</v>
      </c>
      <c r="C1440" s="6" t="s">
        <v>3509</v>
      </c>
      <c r="D1440" s="6" t="s">
        <v>5667</v>
      </c>
      <c r="E1440" s="20">
        <f t="shared" si="114"/>
        <v>0</v>
      </c>
      <c r="F1440" s="20"/>
      <c r="G1440" s="24" t="s">
        <v>7895</v>
      </c>
      <c r="H1440" s="20">
        <f t="shared" si="115"/>
        <v>0</v>
      </c>
      <c r="I1440" s="21">
        <f t="shared" si="113"/>
        <v>0</v>
      </c>
      <c r="J1440" s="21">
        <f t="shared" si="113"/>
        <v>0</v>
      </c>
    </row>
    <row r="1441" spans="1:10" ht="27.6" x14ac:dyDescent="0.3">
      <c r="A1441" s="2" t="s">
        <v>1357</v>
      </c>
      <c r="B1441" s="1" t="s">
        <v>2152</v>
      </c>
      <c r="C1441" s="6" t="s">
        <v>3510</v>
      </c>
      <c r="D1441" s="6" t="s">
        <v>5668</v>
      </c>
      <c r="E1441" s="20">
        <f t="shared" si="114"/>
        <v>0</v>
      </c>
      <c r="F1441" s="20"/>
      <c r="G1441" s="24" t="s">
        <v>7896</v>
      </c>
      <c r="H1441" s="20">
        <f t="shared" si="115"/>
        <v>0</v>
      </c>
      <c r="I1441" s="21">
        <f t="shared" si="113"/>
        <v>0</v>
      </c>
      <c r="J1441" s="21">
        <f t="shared" si="113"/>
        <v>0</v>
      </c>
    </row>
    <row r="1442" spans="1:10" x14ac:dyDescent="0.3">
      <c r="A1442" s="2" t="s">
        <v>1358</v>
      </c>
      <c r="B1442" s="1" t="s">
        <v>2152</v>
      </c>
      <c r="C1442" s="6" t="s">
        <v>3511</v>
      </c>
      <c r="D1442" s="6" t="s">
        <v>5669</v>
      </c>
      <c r="E1442" s="20">
        <f t="shared" si="114"/>
        <v>0</v>
      </c>
      <c r="F1442" s="20">
        <v>29</v>
      </c>
      <c r="G1442" s="24" t="s">
        <v>7897</v>
      </c>
      <c r="H1442" s="20">
        <f t="shared" si="115"/>
        <v>0</v>
      </c>
      <c r="I1442" s="21">
        <f t="shared" si="113"/>
        <v>0</v>
      </c>
      <c r="J1442" s="21">
        <f t="shared" si="113"/>
        <v>0</v>
      </c>
    </row>
    <row r="1443" spans="1:10" x14ac:dyDescent="0.3">
      <c r="A1443" s="2" t="s">
        <v>1359</v>
      </c>
      <c r="B1443" s="1" t="s">
        <v>2152</v>
      </c>
      <c r="C1443" s="6" t="s">
        <v>3512</v>
      </c>
      <c r="D1443" s="6" t="s">
        <v>5670</v>
      </c>
      <c r="E1443" s="20">
        <f t="shared" si="114"/>
        <v>0</v>
      </c>
      <c r="F1443" s="20"/>
      <c r="G1443" s="24" t="s">
        <v>7898</v>
      </c>
      <c r="H1443" s="20">
        <f t="shared" si="115"/>
        <v>0</v>
      </c>
      <c r="I1443" s="21">
        <f t="shared" si="113"/>
        <v>0</v>
      </c>
      <c r="J1443" s="21">
        <f t="shared" si="113"/>
        <v>0</v>
      </c>
    </row>
    <row r="1444" spans="1:10" x14ac:dyDescent="0.3">
      <c r="A1444" s="2" t="s">
        <v>1360</v>
      </c>
      <c r="B1444" s="1" t="s">
        <v>2152</v>
      </c>
      <c r="C1444" s="6" t="s">
        <v>3513</v>
      </c>
      <c r="D1444" s="6" t="s">
        <v>5671</v>
      </c>
      <c r="E1444" s="20">
        <f t="shared" si="114"/>
        <v>0</v>
      </c>
      <c r="F1444" s="20"/>
      <c r="G1444" s="24" t="s">
        <v>7899</v>
      </c>
      <c r="H1444" s="20">
        <f t="shared" si="115"/>
        <v>0</v>
      </c>
      <c r="I1444" s="21">
        <f t="shared" si="113"/>
        <v>0</v>
      </c>
      <c r="J1444" s="21">
        <f t="shared" si="113"/>
        <v>0</v>
      </c>
    </row>
    <row r="1445" spans="1:10" x14ac:dyDescent="0.3">
      <c r="A1445" s="2" t="s">
        <v>1361</v>
      </c>
      <c r="B1445" s="1" t="s">
        <v>2152</v>
      </c>
      <c r="C1445" s="6" t="s">
        <v>3514</v>
      </c>
      <c r="D1445" s="6" t="s">
        <v>5672</v>
      </c>
      <c r="E1445" s="20">
        <f t="shared" si="114"/>
        <v>0</v>
      </c>
      <c r="F1445" s="20"/>
      <c r="G1445" s="24" t="s">
        <v>7900</v>
      </c>
      <c r="H1445" s="20">
        <f t="shared" si="115"/>
        <v>0</v>
      </c>
      <c r="I1445" s="21">
        <f t="shared" si="113"/>
        <v>0</v>
      </c>
      <c r="J1445" s="21">
        <f t="shared" si="113"/>
        <v>0</v>
      </c>
    </row>
    <row r="1446" spans="1:10" x14ac:dyDescent="0.3">
      <c r="A1446" s="2" t="s">
        <v>1362</v>
      </c>
      <c r="B1446" s="1" t="s">
        <v>2152</v>
      </c>
      <c r="C1446" s="6" t="s">
        <v>3515</v>
      </c>
      <c r="D1446" s="6" t="s">
        <v>5673</v>
      </c>
      <c r="E1446" s="20">
        <f t="shared" si="114"/>
        <v>0</v>
      </c>
      <c r="F1446" s="20"/>
      <c r="G1446" s="24" t="s">
        <v>7901</v>
      </c>
      <c r="H1446" s="20">
        <f t="shared" si="115"/>
        <v>0</v>
      </c>
      <c r="I1446" s="21">
        <f t="shared" si="113"/>
        <v>0</v>
      </c>
      <c r="J1446" s="21">
        <f t="shared" si="113"/>
        <v>0</v>
      </c>
    </row>
    <row r="1447" spans="1:10" ht="27.6" x14ac:dyDescent="0.3">
      <c r="A1447" s="2" t="s">
        <v>1363</v>
      </c>
      <c r="B1447" s="1" t="s">
        <v>2152</v>
      </c>
      <c r="C1447" s="6" t="s">
        <v>3516</v>
      </c>
      <c r="D1447" s="6" t="s">
        <v>5674</v>
      </c>
      <c r="E1447" s="20">
        <f t="shared" si="114"/>
        <v>0</v>
      </c>
      <c r="F1447" s="20"/>
      <c r="G1447" s="24" t="s">
        <v>7902</v>
      </c>
      <c r="H1447" s="20">
        <f t="shared" si="115"/>
        <v>0</v>
      </c>
      <c r="I1447" s="21">
        <f t="shared" si="113"/>
        <v>0</v>
      </c>
      <c r="J1447" s="21">
        <f t="shared" si="113"/>
        <v>0</v>
      </c>
    </row>
    <row r="1448" spans="1:10" x14ac:dyDescent="0.3">
      <c r="A1448" s="2" t="s">
        <v>1364</v>
      </c>
      <c r="B1448" s="1" t="s">
        <v>2152</v>
      </c>
      <c r="C1448" s="6" t="s">
        <v>3517</v>
      </c>
      <c r="D1448" s="6" t="s">
        <v>5675</v>
      </c>
      <c r="E1448" s="20">
        <f t="shared" si="114"/>
        <v>0</v>
      </c>
      <c r="F1448" s="20">
        <v>30</v>
      </c>
      <c r="G1448" s="24" t="s">
        <v>7903</v>
      </c>
      <c r="H1448" s="20">
        <f t="shared" si="115"/>
        <v>0</v>
      </c>
      <c r="I1448" s="21">
        <f t="shared" si="113"/>
        <v>0</v>
      </c>
      <c r="J1448" s="21">
        <f t="shared" si="113"/>
        <v>0</v>
      </c>
    </row>
    <row r="1449" spans="1:10" x14ac:dyDescent="0.3">
      <c r="A1449" s="2" t="s">
        <v>1365</v>
      </c>
      <c r="B1449" s="1" t="s">
        <v>2152</v>
      </c>
      <c r="C1449" s="6" t="s">
        <v>3518</v>
      </c>
      <c r="D1449" s="6" t="s">
        <v>5676</v>
      </c>
      <c r="E1449" s="20">
        <f t="shared" si="114"/>
        <v>0</v>
      </c>
      <c r="F1449" s="20"/>
      <c r="G1449" s="24" t="s">
        <v>7904</v>
      </c>
      <c r="H1449" s="20">
        <f t="shared" si="115"/>
        <v>0</v>
      </c>
      <c r="I1449" s="21">
        <f t="shared" si="113"/>
        <v>0</v>
      </c>
      <c r="J1449" s="21">
        <f t="shared" si="113"/>
        <v>0</v>
      </c>
    </row>
    <row r="1450" spans="1:10" x14ac:dyDescent="0.3">
      <c r="A1450" s="2" t="s">
        <v>1366</v>
      </c>
      <c r="B1450" s="1" t="s">
        <v>2152</v>
      </c>
      <c r="C1450" s="6" t="s">
        <v>3519</v>
      </c>
      <c r="D1450" s="6" t="s">
        <v>5677</v>
      </c>
      <c r="E1450" s="20">
        <f t="shared" si="114"/>
        <v>0</v>
      </c>
      <c r="F1450" s="20"/>
      <c r="G1450" s="24" t="s">
        <v>7905</v>
      </c>
      <c r="H1450" s="20">
        <f t="shared" si="115"/>
        <v>0</v>
      </c>
      <c r="I1450" s="21">
        <f t="shared" si="113"/>
        <v>0</v>
      </c>
      <c r="J1450" s="21">
        <f t="shared" si="113"/>
        <v>0</v>
      </c>
    </row>
    <row r="1451" spans="1:10" x14ac:dyDescent="0.3">
      <c r="A1451" s="2" t="s">
        <v>1367</v>
      </c>
      <c r="B1451" s="1" t="s">
        <v>2152</v>
      </c>
      <c r="C1451" s="6" t="s">
        <v>3520</v>
      </c>
      <c r="D1451" s="6" t="s">
        <v>5678</v>
      </c>
      <c r="E1451" s="20">
        <f t="shared" si="114"/>
        <v>0</v>
      </c>
      <c r="F1451" s="20"/>
      <c r="G1451" s="24" t="s">
        <v>7906</v>
      </c>
      <c r="H1451" s="20">
        <f t="shared" si="115"/>
        <v>0</v>
      </c>
      <c r="I1451" s="21">
        <f t="shared" si="113"/>
        <v>0</v>
      </c>
      <c r="J1451" s="21">
        <f t="shared" si="113"/>
        <v>0</v>
      </c>
    </row>
    <row r="1452" spans="1:10" ht="27.6" x14ac:dyDescent="0.3">
      <c r="A1452" s="2" t="s">
        <v>1368</v>
      </c>
      <c r="B1452" s="1" t="s">
        <v>2152</v>
      </c>
      <c r="C1452" s="6" t="s">
        <v>3521</v>
      </c>
      <c r="D1452" s="6" t="s">
        <v>5679</v>
      </c>
      <c r="E1452" s="20">
        <f t="shared" si="114"/>
        <v>0</v>
      </c>
      <c r="F1452" s="20"/>
      <c r="G1452" s="24" t="s">
        <v>7907</v>
      </c>
      <c r="H1452" s="20">
        <f t="shared" si="115"/>
        <v>0</v>
      </c>
      <c r="I1452" s="21">
        <f t="shared" si="113"/>
        <v>0</v>
      </c>
      <c r="J1452" s="21">
        <f t="shared" si="113"/>
        <v>0</v>
      </c>
    </row>
    <row r="1453" spans="1:10" ht="27.6" x14ac:dyDescent="0.3">
      <c r="A1453" s="2" t="s">
        <v>1369</v>
      </c>
      <c r="B1453" s="1" t="s">
        <v>2152</v>
      </c>
      <c r="C1453" s="6" t="s">
        <v>3522</v>
      </c>
      <c r="D1453" s="6" t="s">
        <v>5680</v>
      </c>
      <c r="E1453" s="20">
        <f t="shared" si="114"/>
        <v>0</v>
      </c>
      <c r="F1453" s="20"/>
      <c r="G1453" s="24" t="s">
        <v>7908</v>
      </c>
      <c r="H1453" s="20">
        <f t="shared" si="115"/>
        <v>0</v>
      </c>
      <c r="I1453" s="21">
        <f t="shared" si="113"/>
        <v>0</v>
      </c>
      <c r="J1453" s="21">
        <f t="shared" si="113"/>
        <v>0</v>
      </c>
    </row>
    <row r="1454" spans="1:10" x14ac:dyDescent="0.3">
      <c r="A1454" s="2" t="s">
        <v>1370</v>
      </c>
      <c r="B1454" s="1" t="s">
        <v>2152</v>
      </c>
      <c r="C1454" s="6" t="s">
        <v>3523</v>
      </c>
      <c r="D1454" s="6" t="s">
        <v>5681</v>
      </c>
      <c r="E1454" s="20">
        <f t="shared" si="114"/>
        <v>0</v>
      </c>
      <c r="F1454" s="20">
        <v>36.5</v>
      </c>
      <c r="G1454" s="24" t="s">
        <v>7909</v>
      </c>
      <c r="H1454" s="20">
        <f t="shared" si="115"/>
        <v>0</v>
      </c>
      <c r="I1454" s="21">
        <f t="shared" ref="I1454:J1464" si="116">W1454</f>
        <v>0</v>
      </c>
      <c r="J1454" s="21">
        <f t="shared" si="116"/>
        <v>0</v>
      </c>
    </row>
    <row r="1455" spans="1:10" x14ac:dyDescent="0.3">
      <c r="A1455" s="2" t="s">
        <v>1371</v>
      </c>
      <c r="B1455" s="1" t="s">
        <v>2152</v>
      </c>
      <c r="C1455" s="6" t="s">
        <v>3524</v>
      </c>
      <c r="D1455" s="6" t="s">
        <v>5682</v>
      </c>
      <c r="E1455" s="20">
        <f t="shared" si="114"/>
        <v>0</v>
      </c>
      <c r="F1455" s="20"/>
      <c r="G1455" s="24" t="s">
        <v>7910</v>
      </c>
      <c r="H1455" s="20">
        <f t="shared" si="115"/>
        <v>0</v>
      </c>
      <c r="I1455" s="21">
        <f t="shared" si="116"/>
        <v>0</v>
      </c>
      <c r="J1455" s="21">
        <f t="shared" si="116"/>
        <v>0</v>
      </c>
    </row>
    <row r="1456" spans="1:10" x14ac:dyDescent="0.3">
      <c r="A1456" s="2" t="s">
        <v>1372</v>
      </c>
      <c r="B1456" s="1" t="s">
        <v>2152</v>
      </c>
      <c r="C1456" s="6" t="s">
        <v>3525</v>
      </c>
      <c r="D1456" s="6" t="s">
        <v>5683</v>
      </c>
      <c r="E1456" s="20">
        <f t="shared" si="114"/>
        <v>0</v>
      </c>
      <c r="F1456" s="20"/>
      <c r="G1456" s="24" t="s">
        <v>7911</v>
      </c>
      <c r="H1456" s="20">
        <f t="shared" si="115"/>
        <v>0</v>
      </c>
      <c r="I1456" s="21">
        <f t="shared" si="116"/>
        <v>0</v>
      </c>
      <c r="J1456" s="21">
        <f t="shared" si="116"/>
        <v>0</v>
      </c>
    </row>
    <row r="1457" spans="1:10" x14ac:dyDescent="0.3">
      <c r="A1457" s="2" t="s">
        <v>1373</v>
      </c>
      <c r="B1457" s="1" t="s">
        <v>2152</v>
      </c>
      <c r="C1457" s="6" t="s">
        <v>3526</v>
      </c>
      <c r="D1457" s="6" t="s">
        <v>5684</v>
      </c>
      <c r="E1457" s="20">
        <f t="shared" si="114"/>
        <v>0</v>
      </c>
      <c r="F1457" s="20"/>
      <c r="G1457" s="24" t="s">
        <v>7912</v>
      </c>
      <c r="H1457" s="20">
        <f t="shared" si="115"/>
        <v>0</v>
      </c>
      <c r="I1457" s="21">
        <f t="shared" si="116"/>
        <v>0</v>
      </c>
      <c r="J1457" s="21">
        <f t="shared" si="116"/>
        <v>0</v>
      </c>
    </row>
    <row r="1458" spans="1:10" x14ac:dyDescent="0.3">
      <c r="A1458" s="2" t="s">
        <v>1374</v>
      </c>
      <c r="B1458" s="1" t="s">
        <v>2152</v>
      </c>
      <c r="C1458" s="6" t="s">
        <v>3527</v>
      </c>
      <c r="D1458" s="6" t="s">
        <v>5685</v>
      </c>
      <c r="E1458" s="20">
        <f t="shared" si="114"/>
        <v>0</v>
      </c>
      <c r="F1458" s="20"/>
      <c r="G1458" s="24" t="s">
        <v>7913</v>
      </c>
      <c r="H1458" s="20">
        <f t="shared" si="115"/>
        <v>0</v>
      </c>
      <c r="I1458" s="21">
        <f t="shared" si="116"/>
        <v>0</v>
      </c>
      <c r="J1458" s="21">
        <f t="shared" si="116"/>
        <v>0</v>
      </c>
    </row>
    <row r="1459" spans="1:10" x14ac:dyDescent="0.3">
      <c r="A1459" s="2" t="s">
        <v>564</v>
      </c>
      <c r="B1459" s="1" t="s">
        <v>2152</v>
      </c>
      <c r="C1459" s="6" t="s">
        <v>2711</v>
      </c>
      <c r="D1459" s="6" t="s">
        <v>4878</v>
      </c>
      <c r="E1459" s="20">
        <f t="shared" si="114"/>
        <v>0</v>
      </c>
      <c r="F1459" s="20">
        <v>110</v>
      </c>
      <c r="G1459" s="24" t="s">
        <v>7914</v>
      </c>
      <c r="H1459" s="20">
        <f t="shared" si="115"/>
        <v>0</v>
      </c>
      <c r="I1459" s="21">
        <f t="shared" si="116"/>
        <v>0</v>
      </c>
      <c r="J1459" s="21">
        <f t="shared" si="116"/>
        <v>0</v>
      </c>
    </row>
    <row r="1460" spans="1:10" x14ac:dyDescent="0.3">
      <c r="A1460" s="2" t="s">
        <v>1295</v>
      </c>
      <c r="B1460" s="1" t="s">
        <v>2152</v>
      </c>
      <c r="C1460" s="6" t="s">
        <v>3446</v>
      </c>
      <c r="D1460" s="6" t="s">
        <v>5603</v>
      </c>
      <c r="E1460" s="20">
        <f t="shared" si="114"/>
        <v>0</v>
      </c>
      <c r="F1460" s="20">
        <v>800</v>
      </c>
      <c r="G1460" s="24" t="s">
        <v>7915</v>
      </c>
      <c r="H1460" s="20">
        <f t="shared" si="115"/>
        <v>0</v>
      </c>
      <c r="I1460" s="21">
        <f t="shared" si="116"/>
        <v>0</v>
      </c>
      <c r="J1460" s="21">
        <f t="shared" si="116"/>
        <v>0</v>
      </c>
    </row>
    <row r="1461" spans="1:10" x14ac:dyDescent="0.3">
      <c r="A1461" s="2" t="s">
        <v>1375</v>
      </c>
      <c r="B1461" s="1" t="s">
        <v>2152</v>
      </c>
      <c r="C1461" s="6" t="s">
        <v>3528</v>
      </c>
      <c r="D1461" s="6" t="s">
        <v>5686</v>
      </c>
      <c r="E1461" s="20">
        <f t="shared" si="114"/>
        <v>0</v>
      </c>
      <c r="F1461" s="20">
        <v>212</v>
      </c>
      <c r="G1461" s="24" t="s">
        <v>7916</v>
      </c>
      <c r="H1461" s="20">
        <f t="shared" si="115"/>
        <v>0</v>
      </c>
      <c r="I1461" s="21">
        <f t="shared" si="116"/>
        <v>0</v>
      </c>
      <c r="J1461" s="21">
        <f t="shared" si="116"/>
        <v>0</v>
      </c>
    </row>
    <row r="1462" spans="1:10" x14ac:dyDescent="0.3">
      <c r="A1462" s="2" t="s">
        <v>1296</v>
      </c>
      <c r="B1462" s="1" t="s">
        <v>2152</v>
      </c>
      <c r="C1462" s="6" t="s">
        <v>3447</v>
      </c>
      <c r="D1462" s="6" t="s">
        <v>5604</v>
      </c>
      <c r="E1462" s="20">
        <f t="shared" si="114"/>
        <v>0</v>
      </c>
      <c r="F1462" s="20">
        <v>401</v>
      </c>
      <c r="G1462" s="24" t="s">
        <v>7917</v>
      </c>
      <c r="H1462" s="20">
        <f t="shared" si="115"/>
        <v>0</v>
      </c>
      <c r="I1462" s="21">
        <f t="shared" si="116"/>
        <v>0</v>
      </c>
      <c r="J1462" s="21">
        <f t="shared" si="116"/>
        <v>0</v>
      </c>
    </row>
    <row r="1463" spans="1:10" x14ac:dyDescent="0.3">
      <c r="A1463" s="2" t="s">
        <v>565</v>
      </c>
      <c r="B1463" s="1" t="s">
        <v>2152</v>
      </c>
      <c r="C1463" s="6" t="s">
        <v>2712</v>
      </c>
      <c r="D1463" s="6" t="s">
        <v>4879</v>
      </c>
      <c r="E1463" s="20">
        <f t="shared" si="114"/>
        <v>0</v>
      </c>
      <c r="F1463" s="20">
        <v>380</v>
      </c>
      <c r="G1463" s="24" t="s">
        <v>7918</v>
      </c>
      <c r="H1463" s="20">
        <f t="shared" si="115"/>
        <v>0</v>
      </c>
      <c r="I1463" s="21">
        <f t="shared" si="116"/>
        <v>0</v>
      </c>
      <c r="J1463" s="21">
        <f t="shared" si="116"/>
        <v>0</v>
      </c>
    </row>
    <row r="1464" spans="1:10" x14ac:dyDescent="0.3">
      <c r="A1464" s="2" t="s">
        <v>1376</v>
      </c>
      <c r="B1464" s="1" t="s">
        <v>2152</v>
      </c>
      <c r="C1464" s="6" t="s">
        <v>3529</v>
      </c>
      <c r="D1464" s="6" t="s">
        <v>5687</v>
      </c>
      <c r="E1464" s="20">
        <f t="shared" si="114"/>
        <v>0</v>
      </c>
      <c r="F1464" s="20">
        <v>1047</v>
      </c>
      <c r="G1464" s="24" t="s">
        <v>7919</v>
      </c>
      <c r="H1464" s="20">
        <f t="shared" si="115"/>
        <v>0</v>
      </c>
      <c r="I1464" s="21">
        <f t="shared" si="116"/>
        <v>0</v>
      </c>
      <c r="J1464" s="21">
        <f t="shared" si="116"/>
        <v>0</v>
      </c>
    </row>
    <row r="1465" spans="1:10" ht="27.6" x14ac:dyDescent="0.3">
      <c r="A1465" s="2" t="s">
        <v>1377</v>
      </c>
      <c r="B1465" s="1" t="s">
        <v>2152</v>
      </c>
      <c r="C1465" s="6" t="s">
        <v>3530</v>
      </c>
      <c r="D1465" s="6" t="s">
        <v>5688</v>
      </c>
      <c r="E1465" s="20">
        <f t="shared" si="114"/>
        <v>0</v>
      </c>
      <c r="F1465" s="20"/>
      <c r="G1465" s="24" t="s">
        <v>7920</v>
      </c>
      <c r="H1465" s="20">
        <f t="shared" si="115"/>
        <v>0</v>
      </c>
      <c r="I1465" s="21">
        <f t="shared" ref="I1465:J1469" si="117">W1465</f>
        <v>0</v>
      </c>
      <c r="J1465" s="21">
        <f t="shared" si="117"/>
        <v>0</v>
      </c>
    </row>
    <row r="1466" spans="1:10" ht="27.6" x14ac:dyDescent="0.3">
      <c r="A1466" s="2" t="s">
        <v>1378</v>
      </c>
      <c r="B1466" s="1" t="s">
        <v>2152</v>
      </c>
      <c r="C1466" s="6" t="s">
        <v>3531</v>
      </c>
      <c r="D1466" s="6" t="s">
        <v>5689</v>
      </c>
      <c r="E1466" s="20">
        <f t="shared" si="114"/>
        <v>0</v>
      </c>
      <c r="F1466" s="20"/>
      <c r="G1466" s="24" t="s">
        <v>7921</v>
      </c>
      <c r="H1466" s="20">
        <f t="shared" si="115"/>
        <v>0</v>
      </c>
      <c r="I1466" s="21">
        <f t="shared" si="117"/>
        <v>0</v>
      </c>
      <c r="J1466" s="21">
        <f t="shared" si="117"/>
        <v>0</v>
      </c>
    </row>
    <row r="1467" spans="1:10" ht="27.6" x14ac:dyDescent="0.3">
      <c r="A1467" s="2" t="s">
        <v>1379</v>
      </c>
      <c r="B1467" s="1" t="s">
        <v>2152</v>
      </c>
      <c r="C1467" s="6" t="s">
        <v>3532</v>
      </c>
      <c r="D1467" s="6" t="s">
        <v>5690</v>
      </c>
      <c r="E1467" s="20">
        <f t="shared" si="114"/>
        <v>0</v>
      </c>
      <c r="F1467" s="20"/>
      <c r="G1467" s="24" t="s">
        <v>7922</v>
      </c>
      <c r="H1467" s="20">
        <f t="shared" si="115"/>
        <v>0</v>
      </c>
      <c r="I1467" s="21">
        <f t="shared" si="117"/>
        <v>0</v>
      </c>
      <c r="J1467" s="21">
        <f t="shared" si="117"/>
        <v>0</v>
      </c>
    </row>
    <row r="1468" spans="1:10" ht="27.6" x14ac:dyDescent="0.3">
      <c r="A1468" s="2" t="s">
        <v>1380</v>
      </c>
      <c r="B1468" s="1" t="s">
        <v>2152</v>
      </c>
      <c r="C1468" s="6" t="s">
        <v>3533</v>
      </c>
      <c r="D1468" s="6" t="s">
        <v>5691</v>
      </c>
      <c r="E1468" s="20">
        <f t="shared" si="114"/>
        <v>0</v>
      </c>
      <c r="F1468" s="20"/>
      <c r="G1468" s="24" t="s">
        <v>7923</v>
      </c>
      <c r="H1468" s="20">
        <f t="shared" si="115"/>
        <v>0</v>
      </c>
      <c r="I1468" s="21">
        <f t="shared" si="117"/>
        <v>0</v>
      </c>
      <c r="J1468" s="21">
        <f t="shared" si="117"/>
        <v>0</v>
      </c>
    </row>
    <row r="1469" spans="1:10" ht="27.6" x14ac:dyDescent="0.3">
      <c r="A1469" s="2" t="s">
        <v>1381</v>
      </c>
      <c r="B1469" s="1" t="s">
        <v>2152</v>
      </c>
      <c r="C1469" s="6" t="s">
        <v>3534</v>
      </c>
      <c r="D1469" s="6" t="s">
        <v>5692</v>
      </c>
      <c r="E1469" s="20">
        <f t="shared" si="114"/>
        <v>0</v>
      </c>
      <c r="F1469" s="20"/>
      <c r="G1469" s="24" t="s">
        <v>7924</v>
      </c>
      <c r="H1469" s="20">
        <f t="shared" si="115"/>
        <v>0</v>
      </c>
      <c r="I1469" s="21">
        <f t="shared" si="117"/>
        <v>0</v>
      </c>
      <c r="J1469" s="21">
        <f t="shared" si="117"/>
        <v>0</v>
      </c>
    </row>
    <row r="1470" spans="1:10" ht="82.8" x14ac:dyDescent="0.3">
      <c r="A1470" s="2" t="s">
        <v>1382</v>
      </c>
      <c r="B1470" s="1" t="s">
        <v>2152</v>
      </c>
      <c r="C1470" s="16" t="s">
        <v>3535</v>
      </c>
      <c r="D1470" s="16" t="s">
        <v>5693</v>
      </c>
      <c r="E1470" s="20">
        <f t="shared" si="114"/>
        <v>0</v>
      </c>
      <c r="F1470" s="20">
        <f>'[93]OTOMATİK KONSOLİDASYON'!$H$28</f>
        <v>119964.9</v>
      </c>
      <c r="G1470" s="24" t="s">
        <v>7925</v>
      </c>
      <c r="H1470" s="20">
        <f t="shared" si="115"/>
        <v>0</v>
      </c>
    </row>
    <row r="1471" spans="1:10" ht="124.2" x14ac:dyDescent="0.3">
      <c r="A1471" s="2" t="s">
        <v>1383</v>
      </c>
      <c r="B1471" s="1" t="s">
        <v>2152</v>
      </c>
      <c r="C1471" s="6" t="s">
        <v>3536</v>
      </c>
      <c r="D1471" s="6" t="s">
        <v>5694</v>
      </c>
      <c r="E1471" s="20">
        <f t="shared" si="114"/>
        <v>0</v>
      </c>
      <c r="F1471" s="20">
        <f>'[94]MARSHALL STABİLİTE'!$L$2</f>
        <v>66736</v>
      </c>
      <c r="G1471" s="24" t="s">
        <v>7926</v>
      </c>
      <c r="H1471" s="20">
        <f t="shared" si="115"/>
        <v>0</v>
      </c>
      <c r="I1471" s="21">
        <f t="shared" ref="I1471:J1534" si="118">W1471</f>
        <v>0</v>
      </c>
      <c r="J1471" s="21">
        <f t="shared" si="118"/>
        <v>0</v>
      </c>
    </row>
    <row r="1472" spans="1:10" ht="79.8" x14ac:dyDescent="0.3">
      <c r="A1472" s="2" t="s">
        <v>1384</v>
      </c>
      <c r="B1472" s="1" t="s">
        <v>2152</v>
      </c>
      <c r="C1472" s="6" t="s">
        <v>3537</v>
      </c>
      <c r="D1472" s="6" t="s">
        <v>5695</v>
      </c>
      <c r="E1472" s="20">
        <f t="shared" si="114"/>
        <v>0</v>
      </c>
      <c r="F1472" s="20"/>
      <c r="G1472" s="24" t="s">
        <v>7927</v>
      </c>
      <c r="H1472" s="20">
        <f t="shared" si="115"/>
        <v>0</v>
      </c>
      <c r="I1472" s="21">
        <f t="shared" si="118"/>
        <v>0</v>
      </c>
      <c r="J1472" s="21">
        <f t="shared" si="118"/>
        <v>0</v>
      </c>
    </row>
    <row r="1473" spans="1:10" ht="138" x14ac:dyDescent="0.3">
      <c r="A1473" s="2" t="s">
        <v>1385</v>
      </c>
      <c r="B1473" s="1" t="s">
        <v>2152</v>
      </c>
      <c r="C1473" s="6" t="s">
        <v>3538</v>
      </c>
      <c r="D1473" s="6" t="s">
        <v>5696</v>
      </c>
      <c r="E1473" s="20">
        <f t="shared" si="114"/>
        <v>0</v>
      </c>
      <c r="F1473" s="20">
        <v>25000</v>
      </c>
      <c r="G1473" s="24" t="s">
        <v>7928</v>
      </c>
      <c r="H1473" s="20">
        <f t="shared" si="115"/>
        <v>0</v>
      </c>
      <c r="I1473" s="21">
        <f t="shared" si="118"/>
        <v>0</v>
      </c>
      <c r="J1473" s="21">
        <f t="shared" si="118"/>
        <v>0</v>
      </c>
    </row>
    <row r="1474" spans="1:10" x14ac:dyDescent="0.3">
      <c r="A1474" s="2" t="s">
        <v>1386</v>
      </c>
      <c r="B1474" s="1" t="s">
        <v>2152</v>
      </c>
      <c r="C1474" s="6" t="s">
        <v>3539</v>
      </c>
      <c r="D1474" s="6" t="s">
        <v>5697</v>
      </c>
      <c r="E1474" s="20">
        <f t="shared" si="114"/>
        <v>0</v>
      </c>
      <c r="F1474" s="20"/>
      <c r="G1474" s="24" t="s">
        <v>7929</v>
      </c>
      <c r="H1474" s="20">
        <f t="shared" si="115"/>
        <v>0</v>
      </c>
      <c r="I1474" s="21">
        <f t="shared" si="118"/>
        <v>0</v>
      </c>
      <c r="J1474" s="21">
        <f t="shared" si="118"/>
        <v>0</v>
      </c>
    </row>
    <row r="1475" spans="1:10" x14ac:dyDescent="0.3">
      <c r="A1475" s="2" t="s">
        <v>1387</v>
      </c>
      <c r="B1475" s="1" t="s">
        <v>2152</v>
      </c>
      <c r="C1475" s="6" t="s">
        <v>3540</v>
      </c>
      <c r="D1475" s="6" t="s">
        <v>5698</v>
      </c>
      <c r="E1475" s="20">
        <f t="shared" si="114"/>
        <v>0</v>
      </c>
      <c r="F1475" s="20"/>
      <c r="G1475" s="24" t="s">
        <v>7930</v>
      </c>
      <c r="H1475" s="20">
        <f t="shared" si="115"/>
        <v>0</v>
      </c>
      <c r="I1475" s="21">
        <f t="shared" si="118"/>
        <v>0</v>
      </c>
      <c r="J1475" s="21">
        <f t="shared" si="118"/>
        <v>0</v>
      </c>
    </row>
    <row r="1476" spans="1:10" x14ac:dyDescent="0.3">
      <c r="A1476" s="2" t="s">
        <v>1388</v>
      </c>
      <c r="B1476" s="1" t="s">
        <v>2152</v>
      </c>
      <c r="C1476" s="6" t="s">
        <v>3541</v>
      </c>
      <c r="D1476" s="6" t="s">
        <v>5699</v>
      </c>
      <c r="E1476" s="20">
        <f t="shared" si="114"/>
        <v>0</v>
      </c>
      <c r="F1476" s="20"/>
      <c r="G1476" s="24" t="s">
        <v>7931</v>
      </c>
      <c r="H1476" s="20">
        <f t="shared" si="115"/>
        <v>0</v>
      </c>
      <c r="I1476" s="21">
        <f t="shared" si="118"/>
        <v>0</v>
      </c>
      <c r="J1476" s="21">
        <f t="shared" si="118"/>
        <v>0</v>
      </c>
    </row>
    <row r="1477" spans="1:10" x14ac:dyDescent="0.3">
      <c r="A1477" s="2" t="s">
        <v>1389</v>
      </c>
      <c r="B1477" s="1" t="s">
        <v>2152</v>
      </c>
      <c r="C1477" s="6" t="s">
        <v>3542</v>
      </c>
      <c r="D1477" s="6" t="s">
        <v>5700</v>
      </c>
      <c r="E1477" s="20">
        <f t="shared" si="114"/>
        <v>0</v>
      </c>
      <c r="F1477" s="20"/>
      <c r="G1477" s="24" t="s">
        <v>7932</v>
      </c>
      <c r="H1477" s="20">
        <f t="shared" si="115"/>
        <v>0</v>
      </c>
      <c r="I1477" s="21">
        <f t="shared" si="118"/>
        <v>0</v>
      </c>
      <c r="J1477" s="21">
        <f t="shared" si="118"/>
        <v>0</v>
      </c>
    </row>
    <row r="1478" spans="1:10" x14ac:dyDescent="0.3">
      <c r="A1478" s="2" t="s">
        <v>1315</v>
      </c>
      <c r="B1478" s="1" t="s">
        <v>2152</v>
      </c>
      <c r="C1478" s="6" t="s">
        <v>3466</v>
      </c>
      <c r="D1478" s="6" t="s">
        <v>5624</v>
      </c>
      <c r="E1478" s="20">
        <f t="shared" si="114"/>
        <v>0</v>
      </c>
      <c r="F1478" s="20"/>
      <c r="G1478" s="24" t="s">
        <v>7933</v>
      </c>
      <c r="H1478" s="20">
        <f t="shared" si="115"/>
        <v>0</v>
      </c>
      <c r="I1478" s="21">
        <f t="shared" si="118"/>
        <v>0</v>
      </c>
      <c r="J1478" s="21">
        <f t="shared" si="118"/>
        <v>0</v>
      </c>
    </row>
    <row r="1479" spans="1:10" x14ac:dyDescent="0.3">
      <c r="A1479" s="2" t="s">
        <v>1390</v>
      </c>
      <c r="B1479" s="1" t="s">
        <v>2152</v>
      </c>
      <c r="C1479" s="6" t="s">
        <v>3543</v>
      </c>
      <c r="D1479" s="6" t="s">
        <v>5701</v>
      </c>
      <c r="E1479" s="20">
        <f t="shared" si="114"/>
        <v>0</v>
      </c>
      <c r="F1479" s="20"/>
      <c r="G1479" s="24" t="s">
        <v>7934</v>
      </c>
      <c r="H1479" s="20">
        <f t="shared" si="115"/>
        <v>0</v>
      </c>
      <c r="I1479" s="21">
        <f t="shared" si="118"/>
        <v>0</v>
      </c>
      <c r="J1479" s="21">
        <f t="shared" si="118"/>
        <v>0</v>
      </c>
    </row>
    <row r="1480" spans="1:10" x14ac:dyDescent="0.3">
      <c r="A1480" s="2" t="s">
        <v>1391</v>
      </c>
      <c r="B1480" s="1" t="s">
        <v>2152</v>
      </c>
      <c r="C1480" s="6" t="s">
        <v>3544</v>
      </c>
      <c r="D1480" s="6" t="s">
        <v>3544</v>
      </c>
      <c r="E1480" s="20">
        <f t="shared" si="114"/>
        <v>0</v>
      </c>
      <c r="F1480" s="20"/>
      <c r="G1480" s="24" t="s">
        <v>7935</v>
      </c>
      <c r="H1480" s="20">
        <f t="shared" si="115"/>
        <v>0</v>
      </c>
      <c r="I1480" s="21">
        <f t="shared" si="118"/>
        <v>0</v>
      </c>
      <c r="J1480" s="21">
        <f t="shared" si="118"/>
        <v>0</v>
      </c>
    </row>
    <row r="1481" spans="1:10" x14ac:dyDescent="0.3">
      <c r="A1481" s="2" t="s">
        <v>1392</v>
      </c>
      <c r="B1481" s="1" t="s">
        <v>2152</v>
      </c>
      <c r="C1481" s="6" t="s">
        <v>3545</v>
      </c>
      <c r="D1481" s="6" t="s">
        <v>5702</v>
      </c>
      <c r="E1481" s="20">
        <f t="shared" ref="E1481:E1544" si="119">H1481*1.8*1.4</f>
        <v>0</v>
      </c>
      <c r="F1481" s="20"/>
      <c r="G1481" s="24" t="s">
        <v>7936</v>
      </c>
      <c r="H1481" s="20">
        <f t="shared" ref="H1481:H1544" si="120">K1481*1.8*1.4</f>
        <v>0</v>
      </c>
      <c r="I1481" s="21">
        <f t="shared" si="118"/>
        <v>0</v>
      </c>
      <c r="J1481" s="21">
        <f t="shared" si="118"/>
        <v>0</v>
      </c>
    </row>
    <row r="1482" spans="1:10" x14ac:dyDescent="0.3">
      <c r="A1482" s="2" t="s">
        <v>1393</v>
      </c>
      <c r="B1482" s="1" t="s">
        <v>2152</v>
      </c>
      <c r="C1482" s="6" t="s">
        <v>3546</v>
      </c>
      <c r="D1482" s="6" t="s">
        <v>5703</v>
      </c>
      <c r="E1482" s="20">
        <f t="shared" si="119"/>
        <v>0</v>
      </c>
      <c r="F1482" s="20"/>
      <c r="G1482" s="24" t="s">
        <v>7937</v>
      </c>
      <c r="H1482" s="20">
        <f t="shared" si="120"/>
        <v>0</v>
      </c>
      <c r="I1482" s="21">
        <f t="shared" si="118"/>
        <v>0</v>
      </c>
      <c r="J1482" s="21">
        <f t="shared" si="118"/>
        <v>0</v>
      </c>
    </row>
    <row r="1483" spans="1:10" x14ac:dyDescent="0.3">
      <c r="A1483" s="2" t="s">
        <v>1152</v>
      </c>
      <c r="B1483" s="1" t="s">
        <v>2152</v>
      </c>
      <c r="C1483" s="6" t="s">
        <v>3304</v>
      </c>
      <c r="D1483" s="6" t="s">
        <v>5704</v>
      </c>
      <c r="E1483" s="20">
        <f t="shared" si="119"/>
        <v>0</v>
      </c>
      <c r="F1483" s="20"/>
      <c r="G1483" s="24" t="s">
        <v>7938</v>
      </c>
      <c r="H1483" s="20">
        <f t="shared" si="120"/>
        <v>0</v>
      </c>
      <c r="I1483" s="21">
        <f t="shared" si="118"/>
        <v>0</v>
      </c>
      <c r="J1483" s="21">
        <f t="shared" si="118"/>
        <v>0</v>
      </c>
    </row>
    <row r="1484" spans="1:10" x14ac:dyDescent="0.3">
      <c r="A1484" s="2" t="s">
        <v>1394</v>
      </c>
      <c r="B1484" s="1" t="s">
        <v>2152</v>
      </c>
      <c r="C1484" s="6" t="s">
        <v>3547</v>
      </c>
      <c r="D1484" s="6" t="s">
        <v>5705</v>
      </c>
      <c r="E1484" s="20">
        <f t="shared" si="119"/>
        <v>0</v>
      </c>
      <c r="F1484" s="20"/>
      <c r="G1484" s="24" t="s">
        <v>7939</v>
      </c>
      <c r="H1484" s="20">
        <f t="shared" si="120"/>
        <v>0</v>
      </c>
      <c r="I1484" s="21">
        <f t="shared" si="118"/>
        <v>0</v>
      </c>
      <c r="J1484" s="21">
        <f t="shared" si="118"/>
        <v>0</v>
      </c>
    </row>
    <row r="1485" spans="1:10" x14ac:dyDescent="0.3">
      <c r="A1485" s="2" t="s">
        <v>1395</v>
      </c>
      <c r="B1485" s="1" t="s">
        <v>2152</v>
      </c>
      <c r="C1485" s="6" t="s">
        <v>3548</v>
      </c>
      <c r="D1485" s="6" t="s">
        <v>5706</v>
      </c>
      <c r="E1485" s="20">
        <f t="shared" si="119"/>
        <v>0</v>
      </c>
      <c r="F1485" s="20"/>
      <c r="G1485" s="24" t="s">
        <v>7940</v>
      </c>
      <c r="H1485" s="20">
        <f t="shared" si="120"/>
        <v>0</v>
      </c>
      <c r="I1485" s="21">
        <f t="shared" si="118"/>
        <v>0</v>
      </c>
      <c r="J1485" s="21">
        <f t="shared" si="118"/>
        <v>0</v>
      </c>
    </row>
    <row r="1486" spans="1:10" x14ac:dyDescent="0.3">
      <c r="A1486" s="2" t="s">
        <v>1396</v>
      </c>
      <c r="B1486" s="1" t="s">
        <v>2152</v>
      </c>
      <c r="C1486" s="6" t="s">
        <v>3549</v>
      </c>
      <c r="D1486" s="6" t="s">
        <v>5707</v>
      </c>
      <c r="E1486" s="20">
        <f t="shared" si="119"/>
        <v>0</v>
      </c>
      <c r="F1486" s="20"/>
      <c r="G1486" s="24" t="s">
        <v>7941</v>
      </c>
      <c r="H1486" s="20">
        <f t="shared" si="120"/>
        <v>0</v>
      </c>
      <c r="I1486" s="21">
        <f t="shared" si="118"/>
        <v>0</v>
      </c>
      <c r="J1486" s="21">
        <f t="shared" si="118"/>
        <v>0</v>
      </c>
    </row>
    <row r="1487" spans="1:10" x14ac:dyDescent="0.3">
      <c r="A1487" s="2" t="s">
        <v>1397</v>
      </c>
      <c r="B1487" s="1" t="s">
        <v>2152</v>
      </c>
      <c r="C1487" s="6" t="s">
        <v>3550</v>
      </c>
      <c r="D1487" s="6" t="s">
        <v>5708</v>
      </c>
      <c r="E1487" s="20">
        <f t="shared" si="119"/>
        <v>0</v>
      </c>
      <c r="F1487" s="20"/>
      <c r="G1487" s="24" t="s">
        <v>7942</v>
      </c>
      <c r="H1487" s="20">
        <f t="shared" si="120"/>
        <v>0</v>
      </c>
      <c r="I1487" s="21">
        <f t="shared" si="118"/>
        <v>0</v>
      </c>
      <c r="J1487" s="21">
        <f t="shared" si="118"/>
        <v>0</v>
      </c>
    </row>
    <row r="1488" spans="1:10" ht="27.6" x14ac:dyDescent="0.3">
      <c r="A1488" s="2" t="s">
        <v>1398</v>
      </c>
      <c r="B1488" s="1" t="s">
        <v>2152</v>
      </c>
      <c r="C1488" s="6" t="s">
        <v>3551</v>
      </c>
      <c r="D1488" s="6" t="s">
        <v>5709</v>
      </c>
      <c r="E1488" s="20">
        <f t="shared" si="119"/>
        <v>0</v>
      </c>
      <c r="F1488" s="20"/>
      <c r="G1488" s="24" t="s">
        <v>7943</v>
      </c>
      <c r="H1488" s="20">
        <f t="shared" si="120"/>
        <v>0</v>
      </c>
      <c r="I1488" s="21">
        <f t="shared" si="118"/>
        <v>0</v>
      </c>
      <c r="J1488" s="21">
        <f t="shared" si="118"/>
        <v>0</v>
      </c>
    </row>
    <row r="1489" spans="1:10" x14ac:dyDescent="0.3">
      <c r="A1489" s="2" t="s">
        <v>1399</v>
      </c>
      <c r="B1489" s="1" t="s">
        <v>2152</v>
      </c>
      <c r="C1489" s="6" t="s">
        <v>3552</v>
      </c>
      <c r="D1489" s="6" t="s">
        <v>5710</v>
      </c>
      <c r="E1489" s="20">
        <f t="shared" si="119"/>
        <v>0</v>
      </c>
      <c r="F1489" s="20"/>
      <c r="G1489" s="24" t="s">
        <v>7944</v>
      </c>
      <c r="H1489" s="20">
        <f t="shared" si="120"/>
        <v>0</v>
      </c>
      <c r="I1489" s="21">
        <f t="shared" si="118"/>
        <v>0</v>
      </c>
      <c r="J1489" s="21">
        <f t="shared" si="118"/>
        <v>0</v>
      </c>
    </row>
    <row r="1490" spans="1:10" x14ac:dyDescent="0.3">
      <c r="A1490" s="2" t="s">
        <v>1400</v>
      </c>
      <c r="B1490" s="1" t="s">
        <v>2152</v>
      </c>
      <c r="C1490" s="6" t="s">
        <v>3553</v>
      </c>
      <c r="D1490" s="6" t="s">
        <v>5711</v>
      </c>
      <c r="E1490" s="20">
        <f t="shared" si="119"/>
        <v>0</v>
      </c>
      <c r="F1490" s="20"/>
      <c r="G1490" s="24" t="s">
        <v>7945</v>
      </c>
      <c r="H1490" s="20">
        <f t="shared" si="120"/>
        <v>0</v>
      </c>
      <c r="I1490" s="21">
        <f t="shared" si="118"/>
        <v>0</v>
      </c>
      <c r="J1490" s="21">
        <f t="shared" si="118"/>
        <v>0</v>
      </c>
    </row>
    <row r="1491" spans="1:10" x14ac:dyDescent="0.3">
      <c r="A1491" s="2" t="s">
        <v>1401</v>
      </c>
      <c r="B1491" s="1" t="s">
        <v>2152</v>
      </c>
      <c r="C1491" s="6" t="s">
        <v>3554</v>
      </c>
      <c r="D1491" s="6" t="s">
        <v>5712</v>
      </c>
      <c r="E1491" s="20">
        <f t="shared" si="119"/>
        <v>0</v>
      </c>
      <c r="F1491" s="20"/>
      <c r="G1491" s="24" t="s">
        <v>7946</v>
      </c>
      <c r="H1491" s="20">
        <f t="shared" si="120"/>
        <v>0</v>
      </c>
      <c r="I1491" s="21">
        <f t="shared" si="118"/>
        <v>0</v>
      </c>
      <c r="J1491" s="21">
        <f t="shared" si="118"/>
        <v>0</v>
      </c>
    </row>
    <row r="1492" spans="1:10" ht="27.6" x14ac:dyDescent="0.3">
      <c r="A1492" s="2" t="s">
        <v>1402</v>
      </c>
      <c r="B1492" s="1" t="s">
        <v>2152</v>
      </c>
      <c r="C1492" s="6" t="s">
        <v>3555</v>
      </c>
      <c r="D1492" s="6" t="s">
        <v>5713</v>
      </c>
      <c r="E1492" s="20">
        <f t="shared" si="119"/>
        <v>0</v>
      </c>
      <c r="F1492" s="20"/>
      <c r="G1492" s="24" t="s">
        <v>7947</v>
      </c>
      <c r="H1492" s="20">
        <f t="shared" si="120"/>
        <v>0</v>
      </c>
      <c r="I1492" s="21">
        <f t="shared" si="118"/>
        <v>0</v>
      </c>
      <c r="J1492" s="21">
        <f t="shared" si="118"/>
        <v>0</v>
      </c>
    </row>
    <row r="1493" spans="1:10" x14ac:dyDescent="0.3">
      <c r="A1493" s="2" t="s">
        <v>1403</v>
      </c>
      <c r="B1493" s="1" t="s">
        <v>2152</v>
      </c>
      <c r="C1493" s="6" t="s">
        <v>3556</v>
      </c>
      <c r="D1493" s="6" t="s">
        <v>5714</v>
      </c>
      <c r="E1493" s="20">
        <f t="shared" si="119"/>
        <v>0</v>
      </c>
      <c r="F1493" s="20"/>
      <c r="G1493" s="24" t="s">
        <v>7948</v>
      </c>
      <c r="H1493" s="20">
        <f t="shared" si="120"/>
        <v>0</v>
      </c>
      <c r="I1493" s="21">
        <f t="shared" si="118"/>
        <v>0</v>
      </c>
      <c r="J1493" s="21">
        <f t="shared" si="118"/>
        <v>0</v>
      </c>
    </row>
    <row r="1494" spans="1:10" x14ac:dyDescent="0.3">
      <c r="A1494" s="2" t="s">
        <v>1404</v>
      </c>
      <c r="B1494" s="1" t="s">
        <v>2152</v>
      </c>
      <c r="C1494" s="6" t="s">
        <v>3557</v>
      </c>
      <c r="D1494" s="6" t="s">
        <v>5715</v>
      </c>
      <c r="E1494" s="20">
        <f t="shared" si="119"/>
        <v>0</v>
      </c>
      <c r="F1494" s="20"/>
      <c r="G1494" s="24" t="s">
        <v>7949</v>
      </c>
      <c r="H1494" s="20">
        <f t="shared" si="120"/>
        <v>0</v>
      </c>
      <c r="I1494" s="21">
        <f t="shared" si="118"/>
        <v>0</v>
      </c>
      <c r="J1494" s="21">
        <f t="shared" si="118"/>
        <v>0</v>
      </c>
    </row>
    <row r="1495" spans="1:10" x14ac:dyDescent="0.3">
      <c r="A1495" s="2" t="s">
        <v>1405</v>
      </c>
      <c r="B1495" s="1" t="s">
        <v>2152</v>
      </c>
      <c r="C1495" s="6" t="s">
        <v>3558</v>
      </c>
      <c r="D1495" s="6" t="s">
        <v>5716</v>
      </c>
      <c r="E1495" s="20">
        <f t="shared" si="119"/>
        <v>0</v>
      </c>
      <c r="F1495" s="20"/>
      <c r="G1495" s="24" t="s">
        <v>7950</v>
      </c>
      <c r="H1495" s="20">
        <f t="shared" si="120"/>
        <v>0</v>
      </c>
      <c r="I1495" s="21">
        <f t="shared" si="118"/>
        <v>0</v>
      </c>
      <c r="J1495" s="21">
        <f t="shared" si="118"/>
        <v>0</v>
      </c>
    </row>
    <row r="1496" spans="1:10" ht="27.6" x14ac:dyDescent="0.3">
      <c r="A1496" s="2" t="s">
        <v>1406</v>
      </c>
      <c r="B1496" s="1" t="s">
        <v>2152</v>
      </c>
      <c r="C1496" s="6" t="s">
        <v>3559</v>
      </c>
      <c r="D1496" s="6" t="s">
        <v>5717</v>
      </c>
      <c r="E1496" s="20">
        <f t="shared" si="119"/>
        <v>0</v>
      </c>
      <c r="F1496" s="20"/>
      <c r="G1496" s="24" t="s">
        <v>7951</v>
      </c>
      <c r="H1496" s="20">
        <f t="shared" si="120"/>
        <v>0</v>
      </c>
      <c r="I1496" s="21">
        <f t="shared" si="118"/>
        <v>0</v>
      </c>
      <c r="J1496" s="21">
        <f t="shared" si="118"/>
        <v>0</v>
      </c>
    </row>
    <row r="1497" spans="1:10" x14ac:dyDescent="0.3">
      <c r="A1497" s="2" t="s">
        <v>1407</v>
      </c>
      <c r="B1497" s="1" t="s">
        <v>2152</v>
      </c>
      <c r="C1497" s="6" t="s">
        <v>3560</v>
      </c>
      <c r="D1497" s="6" t="s">
        <v>5718</v>
      </c>
      <c r="E1497" s="20">
        <f t="shared" si="119"/>
        <v>0</v>
      </c>
      <c r="F1497" s="20"/>
      <c r="G1497" s="24" t="s">
        <v>7952</v>
      </c>
      <c r="H1497" s="20">
        <f t="shared" si="120"/>
        <v>0</v>
      </c>
      <c r="I1497" s="21">
        <f t="shared" si="118"/>
        <v>0</v>
      </c>
      <c r="J1497" s="21">
        <f t="shared" si="118"/>
        <v>0</v>
      </c>
    </row>
    <row r="1498" spans="1:10" x14ac:dyDescent="0.3">
      <c r="A1498" s="2" t="s">
        <v>1408</v>
      </c>
      <c r="B1498" s="1" t="s">
        <v>2152</v>
      </c>
      <c r="C1498" s="6" t="s">
        <v>3561</v>
      </c>
      <c r="D1498" s="6" t="s">
        <v>5719</v>
      </c>
      <c r="E1498" s="20">
        <f t="shared" si="119"/>
        <v>0</v>
      </c>
      <c r="F1498" s="20"/>
      <c r="G1498" s="24" t="s">
        <v>7953</v>
      </c>
      <c r="H1498" s="20">
        <f t="shared" si="120"/>
        <v>0</v>
      </c>
      <c r="I1498" s="21">
        <f t="shared" si="118"/>
        <v>0</v>
      </c>
      <c r="J1498" s="21">
        <f t="shared" si="118"/>
        <v>0</v>
      </c>
    </row>
    <row r="1499" spans="1:10" x14ac:dyDescent="0.3">
      <c r="A1499" s="2" t="s">
        <v>1409</v>
      </c>
      <c r="B1499" s="1" t="s">
        <v>2152</v>
      </c>
      <c r="C1499" s="6" t="s">
        <v>3562</v>
      </c>
      <c r="D1499" s="6" t="s">
        <v>5720</v>
      </c>
      <c r="E1499" s="20">
        <f t="shared" si="119"/>
        <v>0</v>
      </c>
      <c r="F1499" s="20"/>
      <c r="G1499" s="24" t="s">
        <v>7954</v>
      </c>
      <c r="H1499" s="20">
        <f t="shared" si="120"/>
        <v>0</v>
      </c>
      <c r="I1499" s="21">
        <f t="shared" si="118"/>
        <v>0</v>
      </c>
      <c r="J1499" s="21">
        <f t="shared" si="118"/>
        <v>0</v>
      </c>
    </row>
    <row r="1500" spans="1:10" ht="27.6" x14ac:dyDescent="0.3">
      <c r="A1500" s="2" t="s">
        <v>1410</v>
      </c>
      <c r="B1500" s="1" t="s">
        <v>2152</v>
      </c>
      <c r="C1500" s="6" t="s">
        <v>3563</v>
      </c>
      <c r="D1500" s="6" t="s">
        <v>5721</v>
      </c>
      <c r="E1500" s="20">
        <f t="shared" si="119"/>
        <v>0</v>
      </c>
      <c r="F1500" s="20"/>
      <c r="G1500" s="24" t="s">
        <v>7955</v>
      </c>
      <c r="H1500" s="20">
        <f t="shared" si="120"/>
        <v>0</v>
      </c>
      <c r="I1500" s="21">
        <f t="shared" si="118"/>
        <v>0</v>
      </c>
      <c r="J1500" s="21">
        <f t="shared" si="118"/>
        <v>0</v>
      </c>
    </row>
    <row r="1501" spans="1:10" x14ac:dyDescent="0.3">
      <c r="A1501" s="2" t="s">
        <v>1411</v>
      </c>
      <c r="B1501" s="1" t="s">
        <v>2152</v>
      </c>
      <c r="C1501" s="6" t="s">
        <v>3564</v>
      </c>
      <c r="D1501" s="6" t="s">
        <v>5722</v>
      </c>
      <c r="E1501" s="20">
        <f t="shared" si="119"/>
        <v>0</v>
      </c>
      <c r="F1501" s="20"/>
      <c r="G1501" s="24" t="s">
        <v>7956</v>
      </c>
      <c r="H1501" s="20">
        <f t="shared" si="120"/>
        <v>0</v>
      </c>
      <c r="I1501" s="21">
        <f t="shared" si="118"/>
        <v>0</v>
      </c>
      <c r="J1501" s="21">
        <f t="shared" si="118"/>
        <v>0</v>
      </c>
    </row>
    <row r="1502" spans="1:10" x14ac:dyDescent="0.3">
      <c r="A1502" s="2" t="s">
        <v>1412</v>
      </c>
      <c r="B1502" s="1" t="s">
        <v>2152</v>
      </c>
      <c r="C1502" s="6" t="s">
        <v>3565</v>
      </c>
      <c r="D1502" s="6" t="s">
        <v>5723</v>
      </c>
      <c r="E1502" s="20">
        <f t="shared" si="119"/>
        <v>0</v>
      </c>
      <c r="F1502" s="20"/>
      <c r="G1502" s="24" t="s">
        <v>7957</v>
      </c>
      <c r="H1502" s="20">
        <f t="shared" si="120"/>
        <v>0</v>
      </c>
      <c r="I1502" s="21">
        <f t="shared" si="118"/>
        <v>0</v>
      </c>
      <c r="J1502" s="21">
        <f t="shared" si="118"/>
        <v>0</v>
      </c>
    </row>
    <row r="1503" spans="1:10" x14ac:dyDescent="0.3">
      <c r="A1503" s="2" t="s">
        <v>1413</v>
      </c>
      <c r="B1503" s="1" t="s">
        <v>2152</v>
      </c>
      <c r="C1503" s="6" t="s">
        <v>3566</v>
      </c>
      <c r="D1503" s="6" t="s">
        <v>5724</v>
      </c>
      <c r="E1503" s="20">
        <f t="shared" si="119"/>
        <v>0</v>
      </c>
      <c r="F1503" s="20"/>
      <c r="G1503" s="24" t="s">
        <v>7958</v>
      </c>
      <c r="H1503" s="20">
        <f t="shared" si="120"/>
        <v>0</v>
      </c>
      <c r="I1503" s="21">
        <f t="shared" si="118"/>
        <v>0</v>
      </c>
      <c r="J1503" s="21">
        <f t="shared" si="118"/>
        <v>0</v>
      </c>
    </row>
    <row r="1504" spans="1:10" x14ac:dyDescent="0.3">
      <c r="A1504" s="2" t="s">
        <v>1414</v>
      </c>
      <c r="B1504" s="1" t="s">
        <v>2152</v>
      </c>
      <c r="C1504" s="6" t="s">
        <v>3567</v>
      </c>
      <c r="D1504" s="6" t="s">
        <v>5725</v>
      </c>
      <c r="E1504" s="20">
        <f t="shared" si="119"/>
        <v>0</v>
      </c>
      <c r="F1504" s="20">
        <v>17</v>
      </c>
      <c r="G1504" s="24" t="s">
        <v>7959</v>
      </c>
      <c r="H1504" s="20">
        <f t="shared" si="120"/>
        <v>0</v>
      </c>
      <c r="I1504" s="21">
        <f t="shared" si="118"/>
        <v>0</v>
      </c>
      <c r="J1504" s="21">
        <f t="shared" si="118"/>
        <v>0</v>
      </c>
    </row>
    <row r="1505" spans="1:10" x14ac:dyDescent="0.3">
      <c r="A1505" s="2" t="s">
        <v>1415</v>
      </c>
      <c r="B1505" s="1" t="s">
        <v>2152</v>
      </c>
      <c r="C1505" s="6" t="s">
        <v>3568</v>
      </c>
      <c r="D1505" s="6" t="s">
        <v>5726</v>
      </c>
      <c r="E1505" s="20">
        <f t="shared" si="119"/>
        <v>0</v>
      </c>
      <c r="F1505" s="20"/>
      <c r="G1505" s="24" t="s">
        <v>7960</v>
      </c>
      <c r="H1505" s="20">
        <f t="shared" si="120"/>
        <v>0</v>
      </c>
      <c r="I1505" s="21">
        <f t="shared" si="118"/>
        <v>0</v>
      </c>
      <c r="J1505" s="21">
        <f t="shared" si="118"/>
        <v>0</v>
      </c>
    </row>
    <row r="1506" spans="1:10" x14ac:dyDescent="0.3">
      <c r="A1506" s="2" t="s">
        <v>1416</v>
      </c>
      <c r="B1506" s="1" t="s">
        <v>2152</v>
      </c>
      <c r="C1506" s="6" t="s">
        <v>3569</v>
      </c>
      <c r="D1506" s="6" t="s">
        <v>5727</v>
      </c>
      <c r="E1506" s="20">
        <f t="shared" si="119"/>
        <v>0</v>
      </c>
      <c r="F1506" s="20"/>
      <c r="G1506" s="24" t="s">
        <v>7961</v>
      </c>
      <c r="H1506" s="20">
        <f t="shared" si="120"/>
        <v>0</v>
      </c>
      <c r="I1506" s="21">
        <f t="shared" si="118"/>
        <v>0</v>
      </c>
      <c r="J1506" s="21">
        <f t="shared" si="118"/>
        <v>0</v>
      </c>
    </row>
    <row r="1507" spans="1:10" x14ac:dyDescent="0.3">
      <c r="A1507" s="2" t="s">
        <v>1417</v>
      </c>
      <c r="B1507" s="1" t="s">
        <v>2152</v>
      </c>
      <c r="C1507" s="6" t="s">
        <v>3570</v>
      </c>
      <c r="D1507" s="6" t="s">
        <v>5728</v>
      </c>
      <c r="E1507" s="20">
        <f t="shared" si="119"/>
        <v>0</v>
      </c>
      <c r="F1507" s="20"/>
      <c r="G1507" s="24" t="s">
        <v>7962</v>
      </c>
      <c r="H1507" s="20">
        <f t="shared" si="120"/>
        <v>0</v>
      </c>
      <c r="I1507" s="21">
        <f t="shared" si="118"/>
        <v>0</v>
      </c>
      <c r="J1507" s="21">
        <f t="shared" si="118"/>
        <v>0</v>
      </c>
    </row>
    <row r="1508" spans="1:10" x14ac:dyDescent="0.3">
      <c r="A1508" s="2" t="s">
        <v>1418</v>
      </c>
      <c r="B1508" s="1" t="s">
        <v>2152</v>
      </c>
      <c r="C1508" s="6" t="s">
        <v>3571</v>
      </c>
      <c r="D1508" s="6" t="s">
        <v>5729</v>
      </c>
      <c r="E1508" s="20">
        <f t="shared" si="119"/>
        <v>0</v>
      </c>
      <c r="F1508" s="20"/>
      <c r="G1508" s="24" t="s">
        <v>7963</v>
      </c>
      <c r="H1508" s="20">
        <f t="shared" si="120"/>
        <v>0</v>
      </c>
      <c r="I1508" s="21">
        <f t="shared" si="118"/>
        <v>0</v>
      </c>
      <c r="J1508" s="21">
        <f t="shared" si="118"/>
        <v>0</v>
      </c>
    </row>
    <row r="1509" spans="1:10" x14ac:dyDescent="0.3">
      <c r="A1509" s="2" t="s">
        <v>1419</v>
      </c>
      <c r="B1509" s="1" t="s">
        <v>2152</v>
      </c>
      <c r="C1509" s="6" t="s">
        <v>3572</v>
      </c>
      <c r="D1509" s="6" t="s">
        <v>5730</v>
      </c>
      <c r="E1509" s="20">
        <f t="shared" si="119"/>
        <v>0</v>
      </c>
      <c r="F1509" s="20"/>
      <c r="G1509" s="24" t="s">
        <v>7964</v>
      </c>
      <c r="H1509" s="20">
        <f t="shared" si="120"/>
        <v>0</v>
      </c>
      <c r="I1509" s="21">
        <f t="shared" si="118"/>
        <v>0</v>
      </c>
      <c r="J1509" s="21">
        <f t="shared" si="118"/>
        <v>0</v>
      </c>
    </row>
    <row r="1510" spans="1:10" x14ac:dyDescent="0.3">
      <c r="A1510" s="2" t="s">
        <v>1420</v>
      </c>
      <c r="B1510" s="1" t="s">
        <v>2152</v>
      </c>
      <c r="C1510" s="6" t="s">
        <v>3573</v>
      </c>
      <c r="D1510" s="6" t="s">
        <v>5731</v>
      </c>
      <c r="E1510" s="20">
        <f t="shared" si="119"/>
        <v>0</v>
      </c>
      <c r="F1510" s="20"/>
      <c r="G1510" s="24" t="s">
        <v>7965</v>
      </c>
      <c r="H1510" s="20">
        <f t="shared" si="120"/>
        <v>0</v>
      </c>
      <c r="I1510" s="21">
        <f t="shared" si="118"/>
        <v>0</v>
      </c>
      <c r="J1510" s="21">
        <f t="shared" si="118"/>
        <v>0</v>
      </c>
    </row>
    <row r="1511" spans="1:10" x14ac:dyDescent="0.3">
      <c r="A1511" s="2" t="s">
        <v>1421</v>
      </c>
      <c r="B1511" s="1" t="s">
        <v>2152</v>
      </c>
      <c r="C1511" s="6" t="s">
        <v>3574</v>
      </c>
      <c r="D1511" s="6" t="s">
        <v>5732</v>
      </c>
      <c r="E1511" s="20">
        <f t="shared" si="119"/>
        <v>0</v>
      </c>
      <c r="F1511" s="20"/>
      <c r="G1511" s="24" t="s">
        <v>7966</v>
      </c>
      <c r="H1511" s="20">
        <f t="shared" si="120"/>
        <v>0</v>
      </c>
      <c r="I1511" s="21">
        <f t="shared" si="118"/>
        <v>0</v>
      </c>
      <c r="J1511" s="21">
        <f t="shared" si="118"/>
        <v>0</v>
      </c>
    </row>
    <row r="1512" spans="1:10" x14ac:dyDescent="0.3">
      <c r="A1512" s="2" t="s">
        <v>1422</v>
      </c>
      <c r="B1512" s="1" t="s">
        <v>2152</v>
      </c>
      <c r="C1512" s="6" t="s">
        <v>3575</v>
      </c>
      <c r="D1512" s="6" t="s">
        <v>5733</v>
      </c>
      <c r="E1512" s="20">
        <f t="shared" si="119"/>
        <v>0</v>
      </c>
      <c r="F1512" s="20"/>
      <c r="G1512" s="24" t="s">
        <v>7967</v>
      </c>
      <c r="H1512" s="20">
        <f t="shared" si="120"/>
        <v>0</v>
      </c>
      <c r="I1512" s="21">
        <f t="shared" si="118"/>
        <v>0</v>
      </c>
      <c r="J1512" s="21">
        <f t="shared" si="118"/>
        <v>0</v>
      </c>
    </row>
    <row r="1513" spans="1:10" x14ac:dyDescent="0.3">
      <c r="A1513" s="2" t="s">
        <v>1423</v>
      </c>
      <c r="B1513" s="1" t="s">
        <v>2152</v>
      </c>
      <c r="C1513" s="6" t="s">
        <v>3576</v>
      </c>
      <c r="D1513" s="6" t="s">
        <v>5734</v>
      </c>
      <c r="E1513" s="20">
        <f t="shared" si="119"/>
        <v>0</v>
      </c>
      <c r="F1513" s="20"/>
      <c r="G1513" s="24" t="s">
        <v>7968</v>
      </c>
      <c r="H1513" s="20">
        <f t="shared" si="120"/>
        <v>0</v>
      </c>
      <c r="I1513" s="21">
        <f t="shared" si="118"/>
        <v>0</v>
      </c>
      <c r="J1513" s="21">
        <f t="shared" si="118"/>
        <v>0</v>
      </c>
    </row>
    <row r="1514" spans="1:10" x14ac:dyDescent="0.3">
      <c r="A1514" s="2" t="s">
        <v>1424</v>
      </c>
      <c r="B1514" s="1" t="s">
        <v>2152</v>
      </c>
      <c r="C1514" s="6" t="s">
        <v>3577</v>
      </c>
      <c r="D1514" s="6" t="s">
        <v>5735</v>
      </c>
      <c r="E1514" s="20">
        <f t="shared" si="119"/>
        <v>0</v>
      </c>
      <c r="F1514" s="20"/>
      <c r="G1514" s="24" t="s">
        <v>7969</v>
      </c>
      <c r="H1514" s="20">
        <f t="shared" si="120"/>
        <v>0</v>
      </c>
      <c r="I1514" s="21">
        <f t="shared" si="118"/>
        <v>0</v>
      </c>
      <c r="J1514" s="21">
        <f t="shared" si="118"/>
        <v>0</v>
      </c>
    </row>
    <row r="1515" spans="1:10" x14ac:dyDescent="0.3">
      <c r="A1515" s="2" t="s">
        <v>1425</v>
      </c>
      <c r="B1515" s="1" t="s">
        <v>2152</v>
      </c>
      <c r="C1515" s="6" t="s">
        <v>3578</v>
      </c>
      <c r="D1515" s="6" t="s">
        <v>5736</v>
      </c>
      <c r="E1515" s="20">
        <f t="shared" si="119"/>
        <v>0</v>
      </c>
      <c r="F1515" s="20">
        <v>30</v>
      </c>
      <c r="G1515" s="24" t="s">
        <v>7970</v>
      </c>
      <c r="H1515" s="20">
        <f t="shared" si="120"/>
        <v>0</v>
      </c>
      <c r="I1515" s="21">
        <f t="shared" si="118"/>
        <v>0</v>
      </c>
      <c r="J1515" s="21">
        <f t="shared" si="118"/>
        <v>0</v>
      </c>
    </row>
    <row r="1516" spans="1:10" x14ac:dyDescent="0.3">
      <c r="A1516" s="2" t="s">
        <v>1426</v>
      </c>
      <c r="B1516" s="1" t="s">
        <v>2152</v>
      </c>
      <c r="C1516" s="6" t="s">
        <v>3579</v>
      </c>
      <c r="D1516" s="6" t="s">
        <v>5737</v>
      </c>
      <c r="E1516" s="20">
        <f t="shared" si="119"/>
        <v>0</v>
      </c>
      <c r="F1516" s="20"/>
      <c r="G1516" s="24" t="s">
        <v>7971</v>
      </c>
      <c r="H1516" s="20">
        <f t="shared" si="120"/>
        <v>0</v>
      </c>
      <c r="I1516" s="21">
        <f t="shared" si="118"/>
        <v>0</v>
      </c>
      <c r="J1516" s="21">
        <f t="shared" si="118"/>
        <v>0</v>
      </c>
    </row>
    <row r="1517" spans="1:10" x14ac:dyDescent="0.3">
      <c r="A1517" s="2" t="s">
        <v>1427</v>
      </c>
      <c r="B1517" s="1" t="s">
        <v>2152</v>
      </c>
      <c r="C1517" s="6" t="s">
        <v>3580</v>
      </c>
      <c r="D1517" s="6" t="s">
        <v>5738</v>
      </c>
      <c r="E1517" s="20">
        <f t="shared" si="119"/>
        <v>0</v>
      </c>
      <c r="F1517" s="20"/>
      <c r="G1517" s="24" t="s">
        <v>7972</v>
      </c>
      <c r="H1517" s="20">
        <f t="shared" si="120"/>
        <v>0</v>
      </c>
      <c r="I1517" s="21">
        <f t="shared" si="118"/>
        <v>0</v>
      </c>
      <c r="J1517" s="21">
        <f t="shared" si="118"/>
        <v>0</v>
      </c>
    </row>
    <row r="1518" spans="1:10" x14ac:dyDescent="0.3">
      <c r="A1518" s="2" t="s">
        <v>1428</v>
      </c>
      <c r="B1518" s="1" t="s">
        <v>2152</v>
      </c>
      <c r="C1518" s="6" t="s">
        <v>3581</v>
      </c>
      <c r="D1518" s="6" t="s">
        <v>5739</v>
      </c>
      <c r="E1518" s="20">
        <f t="shared" si="119"/>
        <v>0</v>
      </c>
      <c r="F1518" s="20"/>
      <c r="G1518" s="24" t="s">
        <v>7973</v>
      </c>
      <c r="H1518" s="20">
        <f t="shared" si="120"/>
        <v>0</v>
      </c>
      <c r="I1518" s="21">
        <f t="shared" si="118"/>
        <v>0</v>
      </c>
      <c r="J1518" s="21">
        <f t="shared" si="118"/>
        <v>0</v>
      </c>
    </row>
    <row r="1519" spans="1:10" x14ac:dyDescent="0.3">
      <c r="A1519" s="2" t="s">
        <v>1429</v>
      </c>
      <c r="B1519" s="1" t="s">
        <v>2152</v>
      </c>
      <c r="C1519" s="6" t="s">
        <v>3582</v>
      </c>
      <c r="D1519" s="6" t="s">
        <v>5740</v>
      </c>
      <c r="E1519" s="20">
        <f t="shared" si="119"/>
        <v>0</v>
      </c>
      <c r="F1519" s="20"/>
      <c r="G1519" s="24" t="s">
        <v>7974</v>
      </c>
      <c r="H1519" s="20">
        <f t="shared" si="120"/>
        <v>0</v>
      </c>
      <c r="I1519" s="21">
        <f t="shared" si="118"/>
        <v>0</v>
      </c>
      <c r="J1519" s="21">
        <f t="shared" si="118"/>
        <v>0</v>
      </c>
    </row>
    <row r="1520" spans="1:10" x14ac:dyDescent="0.3">
      <c r="A1520" s="2" t="s">
        <v>1430</v>
      </c>
      <c r="B1520" s="1" t="s">
        <v>2152</v>
      </c>
      <c r="C1520" s="6" t="s">
        <v>3583</v>
      </c>
      <c r="D1520" s="6" t="s">
        <v>5741</v>
      </c>
      <c r="E1520" s="20">
        <f t="shared" si="119"/>
        <v>0</v>
      </c>
      <c r="F1520" s="20"/>
      <c r="G1520" s="24" t="s">
        <v>7975</v>
      </c>
      <c r="H1520" s="20">
        <f t="shared" si="120"/>
        <v>0</v>
      </c>
      <c r="I1520" s="21">
        <f t="shared" si="118"/>
        <v>0</v>
      </c>
      <c r="J1520" s="21">
        <f t="shared" si="118"/>
        <v>0</v>
      </c>
    </row>
    <row r="1521" spans="1:10" x14ac:dyDescent="0.3">
      <c r="A1521" s="2" t="s">
        <v>1431</v>
      </c>
      <c r="B1521" s="1" t="s">
        <v>2152</v>
      </c>
      <c r="C1521" s="6" t="s">
        <v>3584</v>
      </c>
      <c r="D1521" s="6" t="s">
        <v>5742</v>
      </c>
      <c r="E1521" s="20">
        <f t="shared" si="119"/>
        <v>0</v>
      </c>
      <c r="F1521" s="20"/>
      <c r="G1521" s="24" t="s">
        <v>7976</v>
      </c>
      <c r="H1521" s="20">
        <f t="shared" si="120"/>
        <v>0</v>
      </c>
      <c r="I1521" s="21">
        <f t="shared" si="118"/>
        <v>0</v>
      </c>
      <c r="J1521" s="21">
        <f t="shared" si="118"/>
        <v>0</v>
      </c>
    </row>
    <row r="1522" spans="1:10" x14ac:dyDescent="0.3">
      <c r="A1522" s="2" t="s">
        <v>1432</v>
      </c>
      <c r="B1522" s="1" t="s">
        <v>2152</v>
      </c>
      <c r="C1522" s="6" t="s">
        <v>3585</v>
      </c>
      <c r="D1522" s="6" t="s">
        <v>5743</v>
      </c>
      <c r="E1522" s="20">
        <f t="shared" si="119"/>
        <v>0</v>
      </c>
      <c r="F1522" s="20"/>
      <c r="G1522" s="24" t="s">
        <v>7977</v>
      </c>
      <c r="H1522" s="20">
        <f t="shared" si="120"/>
        <v>0</v>
      </c>
      <c r="I1522" s="21">
        <f t="shared" si="118"/>
        <v>0</v>
      </c>
      <c r="J1522" s="21">
        <f t="shared" si="118"/>
        <v>0</v>
      </c>
    </row>
    <row r="1523" spans="1:10" x14ac:dyDescent="0.3">
      <c r="A1523" s="2" t="s">
        <v>1433</v>
      </c>
      <c r="B1523" s="1" t="s">
        <v>2152</v>
      </c>
      <c r="C1523" s="6" t="s">
        <v>3586</v>
      </c>
      <c r="D1523" s="6" t="s">
        <v>5744</v>
      </c>
      <c r="E1523" s="20">
        <f t="shared" si="119"/>
        <v>0</v>
      </c>
      <c r="F1523" s="20"/>
      <c r="G1523" s="24" t="s">
        <v>7978</v>
      </c>
      <c r="H1523" s="20">
        <f t="shared" si="120"/>
        <v>0</v>
      </c>
      <c r="I1523" s="21">
        <f t="shared" si="118"/>
        <v>0</v>
      </c>
      <c r="J1523" s="21">
        <f t="shared" si="118"/>
        <v>0</v>
      </c>
    </row>
    <row r="1524" spans="1:10" x14ac:dyDescent="0.3">
      <c r="A1524" s="2" t="s">
        <v>1434</v>
      </c>
      <c r="B1524" s="1" t="s">
        <v>2152</v>
      </c>
      <c r="C1524" s="6" t="s">
        <v>3587</v>
      </c>
      <c r="D1524" s="6" t="s">
        <v>5745</v>
      </c>
      <c r="E1524" s="20">
        <f t="shared" si="119"/>
        <v>0</v>
      </c>
      <c r="F1524" s="20"/>
      <c r="G1524" s="24" t="s">
        <v>7979</v>
      </c>
      <c r="H1524" s="20">
        <f t="shared" si="120"/>
        <v>0</v>
      </c>
      <c r="I1524" s="21">
        <f t="shared" si="118"/>
        <v>0</v>
      </c>
      <c r="J1524" s="21">
        <f t="shared" si="118"/>
        <v>0</v>
      </c>
    </row>
    <row r="1525" spans="1:10" x14ac:dyDescent="0.3">
      <c r="A1525" s="2" t="s">
        <v>1435</v>
      </c>
      <c r="B1525" s="1" t="s">
        <v>2152</v>
      </c>
      <c r="C1525" s="6" t="s">
        <v>3588</v>
      </c>
      <c r="D1525" s="6" t="s">
        <v>5746</v>
      </c>
      <c r="E1525" s="20">
        <f t="shared" si="119"/>
        <v>0</v>
      </c>
      <c r="F1525" s="20"/>
      <c r="G1525" s="24" t="s">
        <v>7980</v>
      </c>
      <c r="H1525" s="20">
        <f t="shared" si="120"/>
        <v>0</v>
      </c>
      <c r="I1525" s="21">
        <f t="shared" si="118"/>
        <v>0</v>
      </c>
      <c r="J1525" s="21">
        <f t="shared" si="118"/>
        <v>0</v>
      </c>
    </row>
    <row r="1526" spans="1:10" x14ac:dyDescent="0.3">
      <c r="A1526" s="2" t="s">
        <v>1436</v>
      </c>
      <c r="B1526" s="1" t="s">
        <v>2152</v>
      </c>
      <c r="C1526" s="6" t="s">
        <v>3589</v>
      </c>
      <c r="D1526" s="6" t="s">
        <v>5747</v>
      </c>
      <c r="E1526" s="20">
        <f t="shared" si="119"/>
        <v>0</v>
      </c>
      <c r="F1526" s="20">
        <v>35</v>
      </c>
      <c r="G1526" s="24" t="s">
        <v>7981</v>
      </c>
      <c r="H1526" s="20">
        <f t="shared" si="120"/>
        <v>0</v>
      </c>
      <c r="I1526" s="21">
        <f t="shared" si="118"/>
        <v>0</v>
      </c>
      <c r="J1526" s="21">
        <f t="shared" si="118"/>
        <v>0</v>
      </c>
    </row>
    <row r="1527" spans="1:10" x14ac:dyDescent="0.3">
      <c r="A1527" s="2" t="s">
        <v>1437</v>
      </c>
      <c r="B1527" s="1" t="s">
        <v>2152</v>
      </c>
      <c r="C1527" s="6" t="s">
        <v>3590</v>
      </c>
      <c r="D1527" s="6" t="s">
        <v>5748</v>
      </c>
      <c r="E1527" s="20">
        <f t="shared" si="119"/>
        <v>0</v>
      </c>
      <c r="F1527" s="20"/>
      <c r="G1527" s="24" t="s">
        <v>7982</v>
      </c>
      <c r="H1527" s="20">
        <f t="shared" si="120"/>
        <v>0</v>
      </c>
      <c r="I1527" s="21">
        <f t="shared" si="118"/>
        <v>0</v>
      </c>
      <c r="J1527" s="21">
        <f t="shared" si="118"/>
        <v>0</v>
      </c>
    </row>
    <row r="1528" spans="1:10" x14ac:dyDescent="0.3">
      <c r="A1528" s="2" t="s">
        <v>1438</v>
      </c>
      <c r="B1528" s="1" t="s">
        <v>2152</v>
      </c>
      <c r="C1528" s="6" t="s">
        <v>3591</v>
      </c>
      <c r="D1528" s="6" t="s">
        <v>5749</v>
      </c>
      <c r="E1528" s="20">
        <f t="shared" si="119"/>
        <v>0</v>
      </c>
      <c r="F1528" s="20"/>
      <c r="G1528" s="24" t="s">
        <v>7983</v>
      </c>
      <c r="H1528" s="20">
        <f t="shared" si="120"/>
        <v>0</v>
      </c>
      <c r="I1528" s="21">
        <f t="shared" si="118"/>
        <v>0</v>
      </c>
      <c r="J1528" s="21">
        <f t="shared" si="118"/>
        <v>0</v>
      </c>
    </row>
    <row r="1529" spans="1:10" x14ac:dyDescent="0.3">
      <c r="A1529" s="2" t="s">
        <v>1439</v>
      </c>
      <c r="B1529" s="1" t="s">
        <v>2152</v>
      </c>
      <c r="C1529" s="6" t="s">
        <v>3592</v>
      </c>
      <c r="D1529" s="6" t="s">
        <v>5750</v>
      </c>
      <c r="E1529" s="20">
        <f t="shared" si="119"/>
        <v>0</v>
      </c>
      <c r="F1529" s="20"/>
      <c r="G1529" s="24" t="s">
        <v>7984</v>
      </c>
      <c r="H1529" s="20">
        <f t="shared" si="120"/>
        <v>0</v>
      </c>
      <c r="I1529" s="21">
        <f t="shared" si="118"/>
        <v>0</v>
      </c>
      <c r="J1529" s="21">
        <f t="shared" si="118"/>
        <v>0</v>
      </c>
    </row>
    <row r="1530" spans="1:10" x14ac:dyDescent="0.3">
      <c r="A1530" s="2" t="s">
        <v>1440</v>
      </c>
      <c r="B1530" s="1" t="s">
        <v>2152</v>
      </c>
      <c r="C1530" s="6" t="s">
        <v>3593</v>
      </c>
      <c r="D1530" s="6" t="s">
        <v>5751</v>
      </c>
      <c r="E1530" s="20">
        <f t="shared" si="119"/>
        <v>0</v>
      </c>
      <c r="F1530" s="20"/>
      <c r="G1530" s="24" t="s">
        <v>7985</v>
      </c>
      <c r="H1530" s="20">
        <f t="shared" si="120"/>
        <v>0</v>
      </c>
      <c r="I1530" s="21">
        <f t="shared" si="118"/>
        <v>0</v>
      </c>
      <c r="J1530" s="21">
        <f t="shared" si="118"/>
        <v>0</v>
      </c>
    </row>
    <row r="1531" spans="1:10" x14ac:dyDescent="0.3">
      <c r="A1531" s="2" t="s">
        <v>1441</v>
      </c>
      <c r="B1531" s="1" t="s">
        <v>2152</v>
      </c>
      <c r="C1531" s="6" t="s">
        <v>3594</v>
      </c>
      <c r="D1531" s="6" t="s">
        <v>5752</v>
      </c>
      <c r="E1531" s="20">
        <f t="shared" si="119"/>
        <v>0</v>
      </c>
      <c r="F1531" s="20"/>
      <c r="G1531" s="24" t="s">
        <v>7986</v>
      </c>
      <c r="H1531" s="20">
        <f t="shared" si="120"/>
        <v>0</v>
      </c>
      <c r="I1531" s="21">
        <f t="shared" si="118"/>
        <v>0</v>
      </c>
      <c r="J1531" s="21">
        <f t="shared" si="118"/>
        <v>0</v>
      </c>
    </row>
    <row r="1532" spans="1:10" x14ac:dyDescent="0.3">
      <c r="A1532" s="2" t="s">
        <v>1442</v>
      </c>
      <c r="B1532" s="1" t="s">
        <v>2152</v>
      </c>
      <c r="C1532" s="6" t="s">
        <v>3595</v>
      </c>
      <c r="D1532" s="6" t="s">
        <v>5753</v>
      </c>
      <c r="E1532" s="20">
        <f t="shared" si="119"/>
        <v>0</v>
      </c>
      <c r="F1532" s="20"/>
      <c r="G1532" s="24" t="s">
        <v>7987</v>
      </c>
      <c r="H1532" s="20">
        <f t="shared" si="120"/>
        <v>0</v>
      </c>
      <c r="I1532" s="21">
        <f t="shared" si="118"/>
        <v>0</v>
      </c>
      <c r="J1532" s="21">
        <f t="shared" si="118"/>
        <v>0</v>
      </c>
    </row>
    <row r="1533" spans="1:10" x14ac:dyDescent="0.3">
      <c r="A1533" s="2" t="s">
        <v>1443</v>
      </c>
      <c r="B1533" s="1" t="s">
        <v>2152</v>
      </c>
      <c r="C1533" s="6" t="s">
        <v>3596</v>
      </c>
      <c r="D1533" s="6" t="s">
        <v>5754</v>
      </c>
      <c r="E1533" s="20">
        <f t="shared" si="119"/>
        <v>0</v>
      </c>
      <c r="F1533" s="20"/>
      <c r="G1533" s="24" t="s">
        <v>7988</v>
      </c>
      <c r="H1533" s="20">
        <f t="shared" si="120"/>
        <v>0</v>
      </c>
      <c r="I1533" s="21">
        <f t="shared" si="118"/>
        <v>0</v>
      </c>
      <c r="J1533" s="21">
        <f t="shared" si="118"/>
        <v>0</v>
      </c>
    </row>
    <row r="1534" spans="1:10" x14ac:dyDescent="0.3">
      <c r="A1534" s="2" t="s">
        <v>1444</v>
      </c>
      <c r="B1534" s="1" t="s">
        <v>2152</v>
      </c>
      <c r="C1534" s="6" t="s">
        <v>3597</v>
      </c>
      <c r="D1534" s="6" t="s">
        <v>5755</v>
      </c>
      <c r="E1534" s="20">
        <f t="shared" si="119"/>
        <v>0</v>
      </c>
      <c r="F1534" s="20"/>
      <c r="G1534" s="24" t="s">
        <v>7989</v>
      </c>
      <c r="H1534" s="20">
        <f t="shared" si="120"/>
        <v>0</v>
      </c>
      <c r="I1534" s="21">
        <f t="shared" si="118"/>
        <v>0</v>
      </c>
      <c r="J1534" s="21">
        <f t="shared" si="118"/>
        <v>0</v>
      </c>
    </row>
    <row r="1535" spans="1:10" x14ac:dyDescent="0.3">
      <c r="A1535" s="2" t="s">
        <v>1445</v>
      </c>
      <c r="B1535" s="1" t="s">
        <v>2152</v>
      </c>
      <c r="C1535" s="6" t="s">
        <v>3598</v>
      </c>
      <c r="D1535" s="6" t="s">
        <v>5756</v>
      </c>
      <c r="E1535" s="20">
        <f t="shared" si="119"/>
        <v>0</v>
      </c>
      <c r="F1535" s="20"/>
      <c r="G1535" s="24" t="s">
        <v>7990</v>
      </c>
      <c r="H1535" s="20">
        <f t="shared" si="120"/>
        <v>0</v>
      </c>
      <c r="I1535" s="21">
        <f t="shared" ref="I1535:J1544" si="121">W1535</f>
        <v>0</v>
      </c>
      <c r="J1535" s="21">
        <f t="shared" si="121"/>
        <v>0</v>
      </c>
    </row>
    <row r="1536" spans="1:10" x14ac:dyDescent="0.3">
      <c r="A1536" s="2" t="s">
        <v>1446</v>
      </c>
      <c r="B1536" s="1" t="s">
        <v>2152</v>
      </c>
      <c r="C1536" s="6" t="s">
        <v>3599</v>
      </c>
      <c r="D1536" s="6" t="s">
        <v>5757</v>
      </c>
      <c r="E1536" s="20">
        <f t="shared" si="119"/>
        <v>0</v>
      </c>
      <c r="F1536" s="20"/>
      <c r="G1536" s="24" t="s">
        <v>7991</v>
      </c>
      <c r="H1536" s="20">
        <f t="shared" si="120"/>
        <v>0</v>
      </c>
      <c r="I1536" s="21">
        <f t="shared" si="121"/>
        <v>0</v>
      </c>
      <c r="J1536" s="21">
        <f t="shared" si="121"/>
        <v>0</v>
      </c>
    </row>
    <row r="1537" spans="1:10" x14ac:dyDescent="0.3">
      <c r="A1537" s="2" t="s">
        <v>1447</v>
      </c>
      <c r="B1537" s="1" t="s">
        <v>2152</v>
      </c>
      <c r="C1537" s="6" t="s">
        <v>3600</v>
      </c>
      <c r="D1537" s="6" t="s">
        <v>5758</v>
      </c>
      <c r="E1537" s="20">
        <f t="shared" si="119"/>
        <v>0</v>
      </c>
      <c r="F1537" s="20">
        <v>44</v>
      </c>
      <c r="G1537" s="24" t="s">
        <v>7992</v>
      </c>
      <c r="H1537" s="20">
        <f t="shared" si="120"/>
        <v>0</v>
      </c>
      <c r="I1537" s="21">
        <f t="shared" si="121"/>
        <v>0</v>
      </c>
      <c r="J1537" s="21">
        <f t="shared" si="121"/>
        <v>0</v>
      </c>
    </row>
    <row r="1538" spans="1:10" x14ac:dyDescent="0.3">
      <c r="A1538" s="2" t="s">
        <v>1448</v>
      </c>
      <c r="B1538" s="1" t="s">
        <v>2152</v>
      </c>
      <c r="C1538" s="6" t="s">
        <v>3601</v>
      </c>
      <c r="D1538" s="6" t="s">
        <v>5759</v>
      </c>
      <c r="E1538" s="20">
        <f t="shared" si="119"/>
        <v>0</v>
      </c>
      <c r="F1538" s="20"/>
      <c r="G1538" s="24" t="s">
        <v>7993</v>
      </c>
      <c r="H1538" s="20">
        <f t="shared" si="120"/>
        <v>0</v>
      </c>
      <c r="I1538" s="21">
        <f t="shared" si="121"/>
        <v>0</v>
      </c>
      <c r="J1538" s="21">
        <f t="shared" si="121"/>
        <v>0</v>
      </c>
    </row>
    <row r="1539" spans="1:10" x14ac:dyDescent="0.3">
      <c r="A1539" s="2" t="s">
        <v>1449</v>
      </c>
      <c r="B1539" s="1" t="s">
        <v>2152</v>
      </c>
      <c r="C1539" s="6" t="s">
        <v>3602</v>
      </c>
      <c r="D1539" s="6" t="s">
        <v>5760</v>
      </c>
      <c r="E1539" s="20">
        <f t="shared" si="119"/>
        <v>0</v>
      </c>
      <c r="F1539" s="20"/>
      <c r="G1539" s="24" t="s">
        <v>7994</v>
      </c>
      <c r="H1539" s="20">
        <f t="shared" si="120"/>
        <v>0</v>
      </c>
      <c r="I1539" s="21">
        <f t="shared" si="121"/>
        <v>0</v>
      </c>
      <c r="J1539" s="21">
        <f t="shared" si="121"/>
        <v>0</v>
      </c>
    </row>
    <row r="1540" spans="1:10" x14ac:dyDescent="0.3">
      <c r="A1540" s="2" t="s">
        <v>1450</v>
      </c>
      <c r="B1540" s="1" t="s">
        <v>2152</v>
      </c>
      <c r="C1540" s="6" t="s">
        <v>3603</v>
      </c>
      <c r="D1540" s="6" t="s">
        <v>5761</v>
      </c>
      <c r="E1540" s="20">
        <f t="shared" si="119"/>
        <v>0</v>
      </c>
      <c r="F1540" s="20"/>
      <c r="G1540" s="24" t="s">
        <v>7995</v>
      </c>
      <c r="H1540" s="20">
        <f t="shared" si="120"/>
        <v>0</v>
      </c>
      <c r="I1540" s="21">
        <f t="shared" si="121"/>
        <v>0</v>
      </c>
      <c r="J1540" s="21">
        <f t="shared" si="121"/>
        <v>0</v>
      </c>
    </row>
    <row r="1541" spans="1:10" x14ac:dyDescent="0.3">
      <c r="A1541" s="2" t="s">
        <v>1451</v>
      </c>
      <c r="B1541" s="1" t="s">
        <v>2152</v>
      </c>
      <c r="C1541" s="6" t="s">
        <v>3604</v>
      </c>
      <c r="D1541" s="6" t="s">
        <v>5762</v>
      </c>
      <c r="E1541" s="20">
        <f t="shared" si="119"/>
        <v>0</v>
      </c>
      <c r="F1541" s="20"/>
      <c r="G1541" s="24" t="s">
        <v>7996</v>
      </c>
      <c r="H1541" s="20">
        <f t="shared" si="120"/>
        <v>0</v>
      </c>
      <c r="I1541" s="21">
        <f t="shared" si="121"/>
        <v>0</v>
      </c>
      <c r="J1541" s="21">
        <f t="shared" si="121"/>
        <v>0</v>
      </c>
    </row>
    <row r="1542" spans="1:10" x14ac:dyDescent="0.3">
      <c r="A1542" s="2" t="s">
        <v>1452</v>
      </c>
      <c r="B1542" s="1" t="s">
        <v>2152</v>
      </c>
      <c r="C1542" s="6" t="s">
        <v>3605</v>
      </c>
      <c r="D1542" s="6" t="s">
        <v>5763</v>
      </c>
      <c r="E1542" s="20">
        <f t="shared" si="119"/>
        <v>0</v>
      </c>
      <c r="F1542" s="20"/>
      <c r="G1542" s="24" t="s">
        <v>7997</v>
      </c>
      <c r="H1542" s="20">
        <f t="shared" si="120"/>
        <v>0</v>
      </c>
      <c r="I1542" s="21">
        <f t="shared" si="121"/>
        <v>0</v>
      </c>
      <c r="J1542" s="21">
        <f t="shared" si="121"/>
        <v>0</v>
      </c>
    </row>
    <row r="1543" spans="1:10" x14ac:dyDescent="0.3">
      <c r="A1543" s="2" t="s">
        <v>1453</v>
      </c>
      <c r="B1543" s="1" t="s">
        <v>2152</v>
      </c>
      <c r="C1543" s="6" t="s">
        <v>3606</v>
      </c>
      <c r="D1543" s="6" t="s">
        <v>5764</v>
      </c>
      <c r="E1543" s="20">
        <f t="shared" si="119"/>
        <v>0</v>
      </c>
      <c r="F1543" s="20"/>
      <c r="G1543" s="24" t="s">
        <v>7998</v>
      </c>
      <c r="H1543" s="20">
        <f t="shared" si="120"/>
        <v>0</v>
      </c>
      <c r="I1543" s="21">
        <f t="shared" si="121"/>
        <v>0</v>
      </c>
      <c r="J1543" s="21">
        <f>X1543</f>
        <v>0</v>
      </c>
    </row>
    <row r="1544" spans="1:10" x14ac:dyDescent="0.3">
      <c r="A1544" s="2" t="s">
        <v>1454</v>
      </c>
      <c r="B1544" s="1" t="s">
        <v>2152</v>
      </c>
      <c r="C1544" s="6" t="s">
        <v>3607</v>
      </c>
      <c r="D1544" s="6" t="s">
        <v>5765</v>
      </c>
      <c r="E1544" s="20">
        <f t="shared" si="119"/>
        <v>0</v>
      </c>
      <c r="F1544" s="20"/>
      <c r="G1544" s="24" t="s">
        <v>7999</v>
      </c>
      <c r="H1544" s="20">
        <f t="shared" si="120"/>
        <v>0</v>
      </c>
      <c r="I1544" s="21">
        <f t="shared" si="121"/>
        <v>0</v>
      </c>
      <c r="J1544" s="21">
        <f>X1544</f>
        <v>0</v>
      </c>
    </row>
    <row r="1545" spans="1:10" ht="110.4" x14ac:dyDescent="0.3">
      <c r="A1545" s="2" t="s">
        <v>1455</v>
      </c>
      <c r="B1545" s="1" t="s">
        <v>2152</v>
      </c>
      <c r="C1545" s="6" t="s">
        <v>3608</v>
      </c>
      <c r="D1545" s="6" t="s">
        <v>5766</v>
      </c>
      <c r="E1545" s="20">
        <f t="shared" ref="E1545:E1608" si="122">H1545*1.8*1.4</f>
        <v>0</v>
      </c>
      <c r="F1545" s="20">
        <f>'[95]Direk kesme'!$L$2</f>
        <v>87606</v>
      </c>
      <c r="G1545" s="24" t="s">
        <v>8000</v>
      </c>
      <c r="H1545" s="20">
        <f t="shared" ref="H1545:H1608" si="123">K1545*1.8*1.4</f>
        <v>0</v>
      </c>
      <c r="I1545" s="21">
        <f>W1545</f>
        <v>0</v>
      </c>
      <c r="J1545" s="21">
        <f>X1545</f>
        <v>0</v>
      </c>
    </row>
    <row r="1546" spans="1:10" ht="27.6" x14ac:dyDescent="0.3">
      <c r="A1546" s="2" t="s">
        <v>1456</v>
      </c>
      <c r="B1546" s="1" t="s">
        <v>2152</v>
      </c>
      <c r="C1546" s="6" t="s">
        <v>3609</v>
      </c>
      <c r="D1546" s="6" t="s">
        <v>5767</v>
      </c>
      <c r="E1546" s="20">
        <f t="shared" si="122"/>
        <v>0</v>
      </c>
      <c r="F1546" s="20"/>
      <c r="G1546" s="24" t="s">
        <v>8001</v>
      </c>
      <c r="H1546" s="20">
        <f t="shared" si="123"/>
        <v>0</v>
      </c>
      <c r="I1546" s="21">
        <f>W1546</f>
        <v>0</v>
      </c>
      <c r="J1546" s="21">
        <f>X1546</f>
        <v>0</v>
      </c>
    </row>
    <row r="1547" spans="1:10" ht="27.6" x14ac:dyDescent="0.3">
      <c r="A1547" s="2" t="s">
        <v>1457</v>
      </c>
      <c r="B1547" s="1" t="s">
        <v>2152</v>
      </c>
      <c r="C1547" s="6" t="s">
        <v>3610</v>
      </c>
      <c r="D1547" s="6" t="s">
        <v>5768</v>
      </c>
      <c r="E1547" s="20">
        <f t="shared" si="122"/>
        <v>0</v>
      </c>
      <c r="F1547" s="20"/>
      <c r="G1547" s="24" t="s">
        <v>8002</v>
      </c>
      <c r="H1547" s="20">
        <f t="shared" si="123"/>
        <v>0</v>
      </c>
      <c r="I1547" s="21">
        <f t="shared" ref="I1547:J1590" si="124">W1547</f>
        <v>0</v>
      </c>
      <c r="J1547" s="21">
        <f t="shared" si="124"/>
        <v>0</v>
      </c>
    </row>
    <row r="1548" spans="1:10" x14ac:dyDescent="0.3">
      <c r="A1548" s="2" t="s">
        <v>1458</v>
      </c>
      <c r="B1548" s="1" t="s">
        <v>2152</v>
      </c>
      <c r="C1548" s="6" t="s">
        <v>3611</v>
      </c>
      <c r="D1548" s="6" t="s">
        <v>5769</v>
      </c>
      <c r="E1548" s="20">
        <f t="shared" si="122"/>
        <v>0</v>
      </c>
      <c r="F1548" s="20"/>
      <c r="G1548" s="24" t="s">
        <v>8003</v>
      </c>
      <c r="H1548" s="20">
        <f t="shared" si="123"/>
        <v>0</v>
      </c>
      <c r="I1548" s="21">
        <f t="shared" si="124"/>
        <v>0</v>
      </c>
      <c r="J1548" s="21">
        <f t="shared" si="124"/>
        <v>0</v>
      </c>
    </row>
    <row r="1549" spans="1:10" x14ac:dyDescent="0.3">
      <c r="A1549" s="2" t="s">
        <v>1459</v>
      </c>
      <c r="B1549" s="1" t="s">
        <v>2152</v>
      </c>
      <c r="C1549" s="6" t="s">
        <v>3612</v>
      </c>
      <c r="D1549" s="6" t="s">
        <v>5770</v>
      </c>
      <c r="E1549" s="20">
        <f t="shared" si="122"/>
        <v>0</v>
      </c>
      <c r="F1549" s="20"/>
      <c r="G1549" s="24" t="s">
        <v>8004</v>
      </c>
      <c r="H1549" s="20">
        <f t="shared" si="123"/>
        <v>0</v>
      </c>
      <c r="I1549" s="21">
        <f t="shared" si="124"/>
        <v>0</v>
      </c>
      <c r="J1549" s="21">
        <f t="shared" si="124"/>
        <v>0</v>
      </c>
    </row>
    <row r="1550" spans="1:10" x14ac:dyDescent="0.3">
      <c r="A1550" s="2" t="s">
        <v>1460</v>
      </c>
      <c r="B1550" s="1" t="s">
        <v>2152</v>
      </c>
      <c r="C1550" s="6" t="s">
        <v>3613</v>
      </c>
      <c r="D1550" s="6" t="s">
        <v>5771</v>
      </c>
      <c r="E1550" s="20">
        <f t="shared" si="122"/>
        <v>0</v>
      </c>
      <c r="F1550" s="20"/>
      <c r="G1550" s="24" t="s">
        <v>8005</v>
      </c>
      <c r="H1550" s="20">
        <f t="shared" si="123"/>
        <v>0</v>
      </c>
      <c r="I1550" s="21">
        <f t="shared" si="124"/>
        <v>0</v>
      </c>
      <c r="J1550" s="21">
        <f t="shared" si="124"/>
        <v>0</v>
      </c>
    </row>
    <row r="1551" spans="1:10" x14ac:dyDescent="0.3">
      <c r="A1551" s="2" t="s">
        <v>1461</v>
      </c>
      <c r="B1551" s="1" t="s">
        <v>2152</v>
      </c>
      <c r="C1551" s="6" t="s">
        <v>3614</v>
      </c>
      <c r="D1551" s="6" t="s">
        <v>5772</v>
      </c>
      <c r="E1551" s="20">
        <f t="shared" si="122"/>
        <v>0</v>
      </c>
      <c r="F1551" s="20"/>
      <c r="G1551" s="24" t="s">
        <v>8006</v>
      </c>
      <c r="H1551" s="20">
        <f t="shared" si="123"/>
        <v>0</v>
      </c>
      <c r="I1551" s="21">
        <f t="shared" si="124"/>
        <v>0</v>
      </c>
      <c r="J1551" s="21">
        <f t="shared" si="124"/>
        <v>0</v>
      </c>
    </row>
    <row r="1552" spans="1:10" x14ac:dyDescent="0.3">
      <c r="A1552" s="2" t="s">
        <v>1462</v>
      </c>
      <c r="B1552" s="1" t="s">
        <v>2152</v>
      </c>
      <c r="C1552" s="6" t="s">
        <v>3615</v>
      </c>
      <c r="D1552" s="6" t="s">
        <v>5773</v>
      </c>
      <c r="E1552" s="20">
        <f t="shared" si="122"/>
        <v>0</v>
      </c>
      <c r="F1552" s="20"/>
      <c r="G1552" s="24" t="s">
        <v>8007</v>
      </c>
      <c r="H1552" s="20">
        <f t="shared" si="123"/>
        <v>0</v>
      </c>
      <c r="I1552" s="21">
        <f t="shared" si="124"/>
        <v>0</v>
      </c>
      <c r="J1552" s="21">
        <f t="shared" si="124"/>
        <v>0</v>
      </c>
    </row>
    <row r="1553" spans="1:10" x14ac:dyDescent="0.3">
      <c r="A1553" s="2" t="s">
        <v>1463</v>
      </c>
      <c r="B1553" s="1" t="s">
        <v>2152</v>
      </c>
      <c r="C1553" s="6" t="s">
        <v>3616</v>
      </c>
      <c r="D1553" s="6" t="s">
        <v>5774</v>
      </c>
      <c r="E1553" s="20">
        <f t="shared" si="122"/>
        <v>0</v>
      </c>
      <c r="F1553" s="20"/>
      <c r="G1553" s="24" t="s">
        <v>8008</v>
      </c>
      <c r="H1553" s="20">
        <f t="shared" si="123"/>
        <v>0</v>
      </c>
      <c r="I1553" s="21">
        <f t="shared" si="124"/>
        <v>0</v>
      </c>
      <c r="J1553" s="21">
        <f t="shared" si="124"/>
        <v>0</v>
      </c>
    </row>
    <row r="1554" spans="1:10" x14ac:dyDescent="0.3">
      <c r="A1554" s="2" t="s">
        <v>1464</v>
      </c>
      <c r="B1554" s="1" t="s">
        <v>2152</v>
      </c>
      <c r="C1554" s="6" t="s">
        <v>3617</v>
      </c>
      <c r="D1554" s="6" t="s">
        <v>5775</v>
      </c>
      <c r="E1554" s="20">
        <f t="shared" si="122"/>
        <v>0</v>
      </c>
      <c r="F1554" s="20"/>
      <c r="G1554" s="24" t="s">
        <v>8009</v>
      </c>
      <c r="H1554" s="20">
        <f t="shared" si="123"/>
        <v>0</v>
      </c>
      <c r="I1554" s="21">
        <f t="shared" si="124"/>
        <v>0</v>
      </c>
      <c r="J1554" s="21">
        <f t="shared" si="124"/>
        <v>0</v>
      </c>
    </row>
    <row r="1555" spans="1:10" x14ac:dyDescent="0.3">
      <c r="A1555" s="2" t="s">
        <v>1465</v>
      </c>
      <c r="B1555" s="1" t="s">
        <v>2152</v>
      </c>
      <c r="C1555" s="6" t="s">
        <v>3618</v>
      </c>
      <c r="D1555" s="6" t="s">
        <v>5776</v>
      </c>
      <c r="E1555" s="20">
        <f t="shared" si="122"/>
        <v>0</v>
      </c>
      <c r="F1555" s="20"/>
      <c r="G1555" s="24" t="s">
        <v>8010</v>
      </c>
      <c r="H1555" s="20">
        <f t="shared" si="123"/>
        <v>0</v>
      </c>
      <c r="I1555" s="21">
        <f t="shared" si="124"/>
        <v>0</v>
      </c>
      <c r="J1555" s="21">
        <f t="shared" si="124"/>
        <v>0</v>
      </c>
    </row>
    <row r="1556" spans="1:10" ht="27.6" x14ac:dyDescent="0.3">
      <c r="A1556" s="2" t="s">
        <v>1466</v>
      </c>
      <c r="B1556" s="1" t="s">
        <v>2152</v>
      </c>
      <c r="C1556" s="6" t="s">
        <v>3619</v>
      </c>
      <c r="D1556" s="6" t="s">
        <v>5777</v>
      </c>
      <c r="E1556" s="20">
        <f t="shared" si="122"/>
        <v>0</v>
      </c>
      <c r="F1556" s="20"/>
      <c r="G1556" s="24" t="s">
        <v>8011</v>
      </c>
      <c r="H1556" s="20">
        <f t="shared" si="123"/>
        <v>0</v>
      </c>
      <c r="I1556" s="21">
        <f t="shared" si="124"/>
        <v>0</v>
      </c>
      <c r="J1556" s="21">
        <f t="shared" si="124"/>
        <v>0</v>
      </c>
    </row>
    <row r="1557" spans="1:10" x14ac:dyDescent="0.3">
      <c r="A1557" s="2" t="s">
        <v>1467</v>
      </c>
      <c r="B1557" s="1" t="s">
        <v>2152</v>
      </c>
      <c r="C1557" s="6" t="s">
        <v>3620</v>
      </c>
      <c r="D1557" s="6" t="s">
        <v>5778</v>
      </c>
      <c r="E1557" s="20">
        <f t="shared" si="122"/>
        <v>0</v>
      </c>
      <c r="F1557" s="20"/>
      <c r="G1557" s="24" t="s">
        <v>8012</v>
      </c>
      <c r="H1557" s="20">
        <f t="shared" si="123"/>
        <v>0</v>
      </c>
      <c r="I1557" s="21">
        <f t="shared" si="124"/>
        <v>0</v>
      </c>
      <c r="J1557" s="21">
        <f t="shared" si="124"/>
        <v>0</v>
      </c>
    </row>
    <row r="1558" spans="1:10" x14ac:dyDescent="0.3">
      <c r="A1558" s="2" t="s">
        <v>1468</v>
      </c>
      <c r="B1558" s="1" t="s">
        <v>2152</v>
      </c>
      <c r="C1558" s="6" t="s">
        <v>3621</v>
      </c>
      <c r="D1558" s="6" t="s">
        <v>5779</v>
      </c>
      <c r="E1558" s="20">
        <f t="shared" si="122"/>
        <v>0</v>
      </c>
      <c r="F1558" s="20"/>
      <c r="G1558" s="24" t="s">
        <v>8013</v>
      </c>
      <c r="H1558" s="20">
        <f t="shared" si="123"/>
        <v>0</v>
      </c>
      <c r="I1558" s="21">
        <f t="shared" si="124"/>
        <v>0</v>
      </c>
      <c r="J1558" s="21">
        <f t="shared" si="124"/>
        <v>0</v>
      </c>
    </row>
    <row r="1559" spans="1:10" x14ac:dyDescent="0.3">
      <c r="A1559" s="2" t="s">
        <v>1469</v>
      </c>
      <c r="B1559" s="1" t="s">
        <v>2152</v>
      </c>
      <c r="C1559" s="6" t="s">
        <v>3622</v>
      </c>
      <c r="D1559" s="6" t="s">
        <v>5780</v>
      </c>
      <c r="E1559" s="20">
        <f t="shared" si="122"/>
        <v>0</v>
      </c>
      <c r="F1559" s="20"/>
      <c r="G1559" s="24" t="s">
        <v>8014</v>
      </c>
      <c r="H1559" s="20">
        <f t="shared" si="123"/>
        <v>0</v>
      </c>
      <c r="I1559" s="21">
        <f t="shared" si="124"/>
        <v>0</v>
      </c>
      <c r="J1559" s="21">
        <f t="shared" si="124"/>
        <v>0</v>
      </c>
    </row>
    <row r="1560" spans="1:10" x14ac:dyDescent="0.3">
      <c r="A1560" s="2" t="s">
        <v>1470</v>
      </c>
      <c r="B1560" s="1" t="s">
        <v>2152</v>
      </c>
      <c r="C1560" s="6" t="s">
        <v>3623</v>
      </c>
      <c r="D1560" s="6" t="s">
        <v>5781</v>
      </c>
      <c r="E1560" s="20">
        <f t="shared" si="122"/>
        <v>0</v>
      </c>
      <c r="F1560" s="20"/>
      <c r="G1560" s="24" t="s">
        <v>8015</v>
      </c>
      <c r="H1560" s="20">
        <f t="shared" si="123"/>
        <v>0</v>
      </c>
      <c r="I1560" s="21">
        <f t="shared" si="124"/>
        <v>0</v>
      </c>
      <c r="J1560" s="21">
        <f t="shared" si="124"/>
        <v>0</v>
      </c>
    </row>
    <row r="1561" spans="1:10" x14ac:dyDescent="0.3">
      <c r="A1561" s="2" t="s">
        <v>1471</v>
      </c>
      <c r="B1561" s="1" t="s">
        <v>2152</v>
      </c>
      <c r="C1561" s="6" t="s">
        <v>3624</v>
      </c>
      <c r="D1561" s="6" t="s">
        <v>5782</v>
      </c>
      <c r="E1561" s="20">
        <f t="shared" si="122"/>
        <v>0</v>
      </c>
      <c r="F1561" s="20"/>
      <c r="G1561" s="24" t="s">
        <v>8016</v>
      </c>
      <c r="H1561" s="20">
        <f t="shared" si="123"/>
        <v>0</v>
      </c>
      <c r="I1561" s="21">
        <f t="shared" si="124"/>
        <v>0</v>
      </c>
      <c r="J1561" s="21">
        <f t="shared" si="124"/>
        <v>0</v>
      </c>
    </row>
    <row r="1562" spans="1:10" x14ac:dyDescent="0.3">
      <c r="A1562" s="2" t="s">
        <v>1472</v>
      </c>
      <c r="B1562" s="1" t="s">
        <v>2152</v>
      </c>
      <c r="C1562" s="6" t="s">
        <v>3625</v>
      </c>
      <c r="D1562" s="6" t="s">
        <v>5783</v>
      </c>
      <c r="E1562" s="20">
        <f t="shared" si="122"/>
        <v>0</v>
      </c>
      <c r="F1562" s="20"/>
      <c r="G1562" s="24" t="s">
        <v>8017</v>
      </c>
      <c r="H1562" s="20">
        <f t="shared" si="123"/>
        <v>0</v>
      </c>
      <c r="I1562" s="21">
        <f t="shared" si="124"/>
        <v>0</v>
      </c>
      <c r="J1562" s="21">
        <f t="shared" si="124"/>
        <v>0</v>
      </c>
    </row>
    <row r="1563" spans="1:10" x14ac:dyDescent="0.3">
      <c r="A1563" s="2" t="s">
        <v>1473</v>
      </c>
      <c r="B1563" s="1" t="s">
        <v>2152</v>
      </c>
      <c r="C1563" s="6" t="s">
        <v>3626</v>
      </c>
      <c r="D1563" s="6" t="s">
        <v>5784</v>
      </c>
      <c r="E1563" s="20">
        <f t="shared" si="122"/>
        <v>0</v>
      </c>
      <c r="F1563" s="20"/>
      <c r="G1563" s="24" t="s">
        <v>8018</v>
      </c>
      <c r="H1563" s="20">
        <f t="shared" si="123"/>
        <v>0</v>
      </c>
      <c r="I1563" s="21">
        <f t="shared" si="124"/>
        <v>0</v>
      </c>
      <c r="J1563" s="21">
        <f t="shared" si="124"/>
        <v>0</v>
      </c>
    </row>
    <row r="1564" spans="1:10" x14ac:dyDescent="0.3">
      <c r="A1564" s="2" t="s">
        <v>1474</v>
      </c>
      <c r="B1564" s="1" t="s">
        <v>2152</v>
      </c>
      <c r="C1564" s="6" t="s">
        <v>3627</v>
      </c>
      <c r="D1564" s="6" t="s">
        <v>5785</v>
      </c>
      <c r="E1564" s="20">
        <f t="shared" si="122"/>
        <v>0</v>
      </c>
      <c r="F1564" s="20"/>
      <c r="G1564" s="24" t="s">
        <v>8019</v>
      </c>
      <c r="H1564" s="20">
        <f t="shared" si="123"/>
        <v>0</v>
      </c>
      <c r="I1564" s="21">
        <f t="shared" si="124"/>
        <v>0</v>
      </c>
      <c r="J1564" s="21">
        <f t="shared" si="124"/>
        <v>0</v>
      </c>
    </row>
    <row r="1565" spans="1:10" ht="27.6" x14ac:dyDescent="0.3">
      <c r="A1565" s="2" t="s">
        <v>1475</v>
      </c>
      <c r="B1565" s="1" t="s">
        <v>2152</v>
      </c>
      <c r="C1565" s="6" t="s">
        <v>3628</v>
      </c>
      <c r="D1565" s="6" t="s">
        <v>5786</v>
      </c>
      <c r="E1565" s="20">
        <f t="shared" si="122"/>
        <v>0</v>
      </c>
      <c r="F1565" s="20"/>
      <c r="G1565" s="24" t="s">
        <v>8020</v>
      </c>
      <c r="H1565" s="20">
        <f t="shared" si="123"/>
        <v>0</v>
      </c>
      <c r="I1565" s="21">
        <f t="shared" si="124"/>
        <v>0</v>
      </c>
      <c r="J1565" s="21">
        <f t="shared" si="124"/>
        <v>0</v>
      </c>
    </row>
    <row r="1566" spans="1:10" x14ac:dyDescent="0.3">
      <c r="A1566" s="2" t="s">
        <v>1476</v>
      </c>
      <c r="B1566" s="1" t="s">
        <v>2152</v>
      </c>
      <c r="C1566" s="6" t="s">
        <v>3629</v>
      </c>
      <c r="D1566" s="6" t="s">
        <v>5787</v>
      </c>
      <c r="E1566" s="20">
        <f t="shared" si="122"/>
        <v>0</v>
      </c>
      <c r="F1566" s="20"/>
      <c r="G1566" s="24" t="s">
        <v>8021</v>
      </c>
      <c r="H1566" s="20">
        <f t="shared" si="123"/>
        <v>0</v>
      </c>
      <c r="I1566" s="21">
        <f t="shared" si="124"/>
        <v>0</v>
      </c>
      <c r="J1566" s="21">
        <f t="shared" si="124"/>
        <v>0</v>
      </c>
    </row>
    <row r="1567" spans="1:10" x14ac:dyDescent="0.3">
      <c r="A1567" s="2" t="s">
        <v>1477</v>
      </c>
      <c r="B1567" s="1" t="s">
        <v>2152</v>
      </c>
      <c r="C1567" s="6" t="s">
        <v>3630</v>
      </c>
      <c r="D1567" s="6" t="s">
        <v>5788</v>
      </c>
      <c r="E1567" s="20">
        <f t="shared" si="122"/>
        <v>0</v>
      </c>
      <c r="F1567" s="20"/>
      <c r="G1567" s="24" t="s">
        <v>8022</v>
      </c>
      <c r="H1567" s="20">
        <f t="shared" si="123"/>
        <v>0</v>
      </c>
      <c r="I1567" s="21">
        <f t="shared" si="124"/>
        <v>0</v>
      </c>
      <c r="J1567" s="21">
        <f t="shared" si="124"/>
        <v>0</v>
      </c>
    </row>
    <row r="1568" spans="1:10" x14ac:dyDescent="0.3">
      <c r="A1568" s="2" t="s">
        <v>1478</v>
      </c>
      <c r="B1568" s="1" t="s">
        <v>2152</v>
      </c>
      <c r="C1568" s="6" t="s">
        <v>3631</v>
      </c>
      <c r="D1568" s="6" t="s">
        <v>5789</v>
      </c>
      <c r="E1568" s="20">
        <f t="shared" si="122"/>
        <v>0</v>
      </c>
      <c r="F1568" s="20"/>
      <c r="G1568" s="24" t="s">
        <v>8023</v>
      </c>
      <c r="H1568" s="20">
        <f t="shared" si="123"/>
        <v>0</v>
      </c>
      <c r="I1568" s="21">
        <f t="shared" si="124"/>
        <v>0</v>
      </c>
      <c r="J1568" s="21">
        <f t="shared" si="124"/>
        <v>0</v>
      </c>
    </row>
    <row r="1569" spans="1:10" x14ac:dyDescent="0.3">
      <c r="A1569" s="2" t="s">
        <v>1479</v>
      </c>
      <c r="B1569" s="1" t="s">
        <v>2152</v>
      </c>
      <c r="C1569" s="6" t="s">
        <v>3632</v>
      </c>
      <c r="D1569" s="6" t="s">
        <v>5790</v>
      </c>
      <c r="E1569" s="20">
        <f t="shared" si="122"/>
        <v>0</v>
      </c>
      <c r="F1569" s="20"/>
      <c r="G1569" s="24" t="s">
        <v>8024</v>
      </c>
      <c r="H1569" s="20">
        <f t="shared" si="123"/>
        <v>0</v>
      </c>
      <c r="I1569" s="21">
        <f t="shared" si="124"/>
        <v>0</v>
      </c>
      <c r="J1569" s="21">
        <f t="shared" si="124"/>
        <v>0</v>
      </c>
    </row>
    <row r="1570" spans="1:10" x14ac:dyDescent="0.3">
      <c r="A1570" s="2" t="s">
        <v>1480</v>
      </c>
      <c r="B1570" s="1" t="s">
        <v>2152</v>
      </c>
      <c r="C1570" s="6" t="s">
        <v>3633</v>
      </c>
      <c r="D1570" s="6" t="s">
        <v>5791</v>
      </c>
      <c r="E1570" s="20">
        <f t="shared" si="122"/>
        <v>0</v>
      </c>
      <c r="F1570" s="20"/>
      <c r="G1570" s="24" t="s">
        <v>8025</v>
      </c>
      <c r="H1570" s="20">
        <f t="shared" si="123"/>
        <v>0</v>
      </c>
      <c r="I1570" s="21">
        <f t="shared" si="124"/>
        <v>0</v>
      </c>
      <c r="J1570" s="21">
        <f t="shared" si="124"/>
        <v>0</v>
      </c>
    </row>
    <row r="1571" spans="1:10" x14ac:dyDescent="0.3">
      <c r="A1571" s="2" t="s">
        <v>1481</v>
      </c>
      <c r="B1571" s="1" t="s">
        <v>2152</v>
      </c>
      <c r="C1571" s="6" t="s">
        <v>3634</v>
      </c>
      <c r="D1571" s="6" t="s">
        <v>5792</v>
      </c>
      <c r="E1571" s="20">
        <f t="shared" si="122"/>
        <v>0</v>
      </c>
      <c r="F1571" s="20"/>
      <c r="G1571" s="24" t="s">
        <v>8026</v>
      </c>
      <c r="H1571" s="20">
        <f t="shared" si="123"/>
        <v>0</v>
      </c>
      <c r="I1571" s="21">
        <f t="shared" si="124"/>
        <v>0</v>
      </c>
      <c r="J1571" s="21">
        <f t="shared" si="124"/>
        <v>0</v>
      </c>
    </row>
    <row r="1572" spans="1:10" x14ac:dyDescent="0.3">
      <c r="A1572" s="2" t="s">
        <v>1482</v>
      </c>
      <c r="B1572" s="1" t="s">
        <v>2152</v>
      </c>
      <c r="C1572" s="6" t="s">
        <v>3635</v>
      </c>
      <c r="D1572" s="6" t="s">
        <v>5793</v>
      </c>
      <c r="E1572" s="20">
        <f t="shared" si="122"/>
        <v>0</v>
      </c>
      <c r="F1572" s="20"/>
      <c r="G1572" s="24" t="s">
        <v>8027</v>
      </c>
      <c r="H1572" s="20">
        <f t="shared" si="123"/>
        <v>0</v>
      </c>
      <c r="I1572" s="21">
        <f t="shared" si="124"/>
        <v>0</v>
      </c>
      <c r="J1572" s="21">
        <f t="shared" si="124"/>
        <v>0</v>
      </c>
    </row>
    <row r="1573" spans="1:10" x14ac:dyDescent="0.3">
      <c r="A1573" s="2" t="s">
        <v>1483</v>
      </c>
      <c r="B1573" s="1" t="s">
        <v>2152</v>
      </c>
      <c r="C1573" s="6" t="s">
        <v>3636</v>
      </c>
      <c r="D1573" s="6" t="s">
        <v>5794</v>
      </c>
      <c r="E1573" s="20">
        <f t="shared" si="122"/>
        <v>0</v>
      </c>
      <c r="F1573" s="20"/>
      <c r="G1573" s="24" t="s">
        <v>8028</v>
      </c>
      <c r="H1573" s="20">
        <f t="shared" si="123"/>
        <v>0</v>
      </c>
      <c r="I1573" s="21">
        <f t="shared" si="124"/>
        <v>0</v>
      </c>
      <c r="J1573" s="21">
        <f t="shared" si="124"/>
        <v>0</v>
      </c>
    </row>
    <row r="1574" spans="1:10" ht="27.6" x14ac:dyDescent="0.3">
      <c r="A1574" s="2" t="s">
        <v>1484</v>
      </c>
      <c r="B1574" s="1" t="s">
        <v>2152</v>
      </c>
      <c r="C1574" s="6" t="s">
        <v>3637</v>
      </c>
      <c r="D1574" s="6" t="s">
        <v>5795</v>
      </c>
      <c r="E1574" s="20">
        <f t="shared" si="122"/>
        <v>0</v>
      </c>
      <c r="F1574" s="20"/>
      <c r="G1574" s="24" t="s">
        <v>8029</v>
      </c>
      <c r="H1574" s="20">
        <f t="shared" si="123"/>
        <v>0</v>
      </c>
      <c r="I1574" s="21">
        <f t="shared" si="124"/>
        <v>0</v>
      </c>
      <c r="J1574" s="21">
        <f t="shared" si="124"/>
        <v>0</v>
      </c>
    </row>
    <row r="1575" spans="1:10" x14ac:dyDescent="0.3">
      <c r="A1575" s="2" t="s">
        <v>1485</v>
      </c>
      <c r="B1575" s="1" t="s">
        <v>2152</v>
      </c>
      <c r="C1575" s="6" t="s">
        <v>3638</v>
      </c>
      <c r="D1575" s="6" t="s">
        <v>5796</v>
      </c>
      <c r="E1575" s="20">
        <f t="shared" si="122"/>
        <v>0</v>
      </c>
      <c r="F1575" s="20"/>
      <c r="G1575" s="24" t="s">
        <v>8030</v>
      </c>
      <c r="H1575" s="20">
        <f t="shared" si="123"/>
        <v>0</v>
      </c>
      <c r="I1575" s="21">
        <f t="shared" si="124"/>
        <v>0</v>
      </c>
      <c r="J1575" s="21">
        <f t="shared" si="124"/>
        <v>0</v>
      </c>
    </row>
    <row r="1576" spans="1:10" x14ac:dyDescent="0.3">
      <c r="A1576" s="2" t="s">
        <v>1486</v>
      </c>
      <c r="B1576" s="1" t="s">
        <v>2152</v>
      </c>
      <c r="C1576" s="6" t="s">
        <v>3639</v>
      </c>
      <c r="D1576" s="6" t="s">
        <v>5797</v>
      </c>
      <c r="E1576" s="20">
        <f t="shared" si="122"/>
        <v>0</v>
      </c>
      <c r="F1576" s="20"/>
      <c r="G1576" s="24" t="s">
        <v>8031</v>
      </c>
      <c r="H1576" s="20">
        <f t="shared" si="123"/>
        <v>0</v>
      </c>
      <c r="I1576" s="21">
        <f t="shared" si="124"/>
        <v>0</v>
      </c>
      <c r="J1576" s="21">
        <f t="shared" si="124"/>
        <v>0</v>
      </c>
    </row>
    <row r="1577" spans="1:10" x14ac:dyDescent="0.3">
      <c r="A1577" s="2" t="s">
        <v>1487</v>
      </c>
      <c r="B1577" s="1" t="s">
        <v>2152</v>
      </c>
      <c r="C1577" s="6" t="s">
        <v>3640</v>
      </c>
      <c r="D1577" s="6" t="s">
        <v>5798</v>
      </c>
      <c r="E1577" s="20">
        <f t="shared" si="122"/>
        <v>0</v>
      </c>
      <c r="F1577" s="20"/>
      <c r="G1577" s="24" t="s">
        <v>8032</v>
      </c>
      <c r="H1577" s="20">
        <f t="shared" si="123"/>
        <v>0</v>
      </c>
      <c r="I1577" s="21">
        <f t="shared" si="124"/>
        <v>0</v>
      </c>
      <c r="J1577" s="21">
        <f t="shared" si="124"/>
        <v>0</v>
      </c>
    </row>
    <row r="1578" spans="1:10" x14ac:dyDescent="0.3">
      <c r="A1578" s="2" t="s">
        <v>1488</v>
      </c>
      <c r="B1578" s="1" t="s">
        <v>2152</v>
      </c>
      <c r="C1578" s="6" t="s">
        <v>3641</v>
      </c>
      <c r="D1578" s="6" t="s">
        <v>5799</v>
      </c>
      <c r="E1578" s="20">
        <f t="shared" si="122"/>
        <v>0</v>
      </c>
      <c r="F1578" s="20"/>
      <c r="G1578" s="24" t="s">
        <v>8033</v>
      </c>
      <c r="H1578" s="20">
        <f t="shared" si="123"/>
        <v>0</v>
      </c>
      <c r="I1578" s="21">
        <f t="shared" si="124"/>
        <v>0</v>
      </c>
      <c r="J1578" s="21">
        <f t="shared" si="124"/>
        <v>0</v>
      </c>
    </row>
    <row r="1579" spans="1:10" x14ac:dyDescent="0.3">
      <c r="A1579" s="2" t="s">
        <v>1489</v>
      </c>
      <c r="B1579" s="1" t="s">
        <v>2152</v>
      </c>
      <c r="C1579" s="6" t="s">
        <v>3642</v>
      </c>
      <c r="D1579" s="6" t="s">
        <v>5800</v>
      </c>
      <c r="E1579" s="20">
        <f t="shared" si="122"/>
        <v>0</v>
      </c>
      <c r="F1579" s="20"/>
      <c r="G1579" s="24" t="s">
        <v>8034</v>
      </c>
      <c r="H1579" s="20">
        <f t="shared" si="123"/>
        <v>0</v>
      </c>
      <c r="I1579" s="21">
        <f t="shared" si="124"/>
        <v>0</v>
      </c>
      <c r="J1579" s="21">
        <f t="shared" si="124"/>
        <v>0</v>
      </c>
    </row>
    <row r="1580" spans="1:10" x14ac:dyDescent="0.3">
      <c r="A1580" s="2" t="s">
        <v>1490</v>
      </c>
      <c r="B1580" s="1" t="s">
        <v>2152</v>
      </c>
      <c r="C1580" s="6" t="s">
        <v>3643</v>
      </c>
      <c r="D1580" s="6" t="s">
        <v>5801</v>
      </c>
      <c r="E1580" s="20">
        <f t="shared" si="122"/>
        <v>0</v>
      </c>
      <c r="F1580" s="20"/>
      <c r="G1580" s="24" t="s">
        <v>8035</v>
      </c>
      <c r="H1580" s="20">
        <f t="shared" si="123"/>
        <v>0</v>
      </c>
      <c r="I1580" s="21">
        <f t="shared" si="124"/>
        <v>0</v>
      </c>
      <c r="J1580" s="21">
        <f t="shared" si="124"/>
        <v>0</v>
      </c>
    </row>
    <row r="1581" spans="1:10" x14ac:dyDescent="0.3">
      <c r="A1581" s="2" t="s">
        <v>1491</v>
      </c>
      <c r="B1581" s="1" t="s">
        <v>2152</v>
      </c>
      <c r="C1581" s="6" t="s">
        <v>3644</v>
      </c>
      <c r="D1581" s="6" t="s">
        <v>5802</v>
      </c>
      <c r="E1581" s="20">
        <f t="shared" si="122"/>
        <v>0</v>
      </c>
      <c r="F1581" s="20"/>
      <c r="G1581" s="24" t="s">
        <v>8036</v>
      </c>
      <c r="H1581" s="20">
        <f t="shared" si="123"/>
        <v>0</v>
      </c>
      <c r="I1581" s="21">
        <f t="shared" si="124"/>
        <v>0</v>
      </c>
      <c r="J1581" s="21">
        <f t="shared" si="124"/>
        <v>0</v>
      </c>
    </row>
    <row r="1582" spans="1:10" x14ac:dyDescent="0.3">
      <c r="A1582" s="2" t="s">
        <v>1492</v>
      </c>
      <c r="B1582" s="1" t="s">
        <v>2152</v>
      </c>
      <c r="C1582" s="6" t="s">
        <v>3645</v>
      </c>
      <c r="D1582" s="6" t="s">
        <v>5803</v>
      </c>
      <c r="E1582" s="20">
        <f t="shared" si="122"/>
        <v>0</v>
      </c>
      <c r="F1582" s="20"/>
      <c r="G1582" s="24" t="s">
        <v>8037</v>
      </c>
      <c r="H1582" s="20">
        <f t="shared" si="123"/>
        <v>0</v>
      </c>
      <c r="I1582" s="21">
        <f t="shared" si="124"/>
        <v>0</v>
      </c>
      <c r="J1582" s="21">
        <f t="shared" si="124"/>
        <v>0</v>
      </c>
    </row>
    <row r="1583" spans="1:10" ht="27.6" x14ac:dyDescent="0.3">
      <c r="A1583" s="2" t="s">
        <v>1493</v>
      </c>
      <c r="B1583" s="1" t="s">
        <v>2152</v>
      </c>
      <c r="C1583" s="6" t="s">
        <v>3646</v>
      </c>
      <c r="D1583" s="6" t="s">
        <v>5804</v>
      </c>
      <c r="E1583" s="20">
        <f t="shared" si="122"/>
        <v>0</v>
      </c>
      <c r="F1583" s="20"/>
      <c r="G1583" s="24" t="s">
        <v>8038</v>
      </c>
      <c r="H1583" s="20">
        <f t="shared" si="123"/>
        <v>0</v>
      </c>
      <c r="I1583" s="21">
        <f t="shared" si="124"/>
        <v>0</v>
      </c>
      <c r="J1583" s="21">
        <f t="shared" si="124"/>
        <v>0</v>
      </c>
    </row>
    <row r="1584" spans="1:10" x14ac:dyDescent="0.3">
      <c r="A1584" s="2" t="s">
        <v>1494</v>
      </c>
      <c r="B1584" s="1" t="s">
        <v>2152</v>
      </c>
      <c r="C1584" s="6" t="s">
        <v>3647</v>
      </c>
      <c r="D1584" s="6" t="s">
        <v>5805</v>
      </c>
      <c r="E1584" s="20">
        <f t="shared" si="122"/>
        <v>0</v>
      </c>
      <c r="F1584" s="20"/>
      <c r="G1584" s="24" t="s">
        <v>8039</v>
      </c>
      <c r="H1584" s="20">
        <f t="shared" si="123"/>
        <v>0</v>
      </c>
      <c r="I1584" s="21">
        <f t="shared" si="124"/>
        <v>0</v>
      </c>
      <c r="J1584" s="21">
        <f t="shared" si="124"/>
        <v>0</v>
      </c>
    </row>
    <row r="1585" spans="1:10" x14ac:dyDescent="0.3">
      <c r="A1585" s="2" t="s">
        <v>1495</v>
      </c>
      <c r="B1585" s="1" t="s">
        <v>2152</v>
      </c>
      <c r="C1585" s="6" t="s">
        <v>3648</v>
      </c>
      <c r="D1585" s="6" t="s">
        <v>5806</v>
      </c>
      <c r="E1585" s="20">
        <f t="shared" si="122"/>
        <v>0</v>
      </c>
      <c r="F1585" s="20"/>
      <c r="G1585" s="24" t="s">
        <v>8040</v>
      </c>
      <c r="H1585" s="20">
        <f t="shared" si="123"/>
        <v>0</v>
      </c>
      <c r="I1585" s="21">
        <f t="shared" si="124"/>
        <v>0</v>
      </c>
      <c r="J1585" s="21">
        <f t="shared" si="124"/>
        <v>0</v>
      </c>
    </row>
    <row r="1586" spans="1:10" x14ac:dyDescent="0.3">
      <c r="A1586" s="2" t="s">
        <v>1496</v>
      </c>
      <c r="B1586" s="1" t="s">
        <v>2152</v>
      </c>
      <c r="C1586" s="6" t="s">
        <v>3649</v>
      </c>
      <c r="D1586" s="6" t="s">
        <v>5807</v>
      </c>
      <c r="E1586" s="20">
        <f t="shared" si="122"/>
        <v>0</v>
      </c>
      <c r="F1586" s="20"/>
      <c r="G1586" s="24" t="s">
        <v>8041</v>
      </c>
      <c r="H1586" s="20">
        <f t="shared" si="123"/>
        <v>0</v>
      </c>
      <c r="I1586" s="21">
        <f t="shared" si="124"/>
        <v>0</v>
      </c>
      <c r="J1586" s="21">
        <f t="shared" si="124"/>
        <v>0</v>
      </c>
    </row>
    <row r="1587" spans="1:10" x14ac:dyDescent="0.3">
      <c r="A1587" s="2" t="s">
        <v>1497</v>
      </c>
      <c r="B1587" s="1" t="s">
        <v>2152</v>
      </c>
      <c r="C1587" s="6" t="s">
        <v>3650</v>
      </c>
      <c r="D1587" s="6" t="s">
        <v>5808</v>
      </c>
      <c r="E1587" s="20">
        <f t="shared" si="122"/>
        <v>0</v>
      </c>
      <c r="F1587" s="20"/>
      <c r="G1587" s="24" t="s">
        <v>8042</v>
      </c>
      <c r="H1587" s="20">
        <f t="shared" si="123"/>
        <v>0</v>
      </c>
      <c r="I1587" s="21">
        <f t="shared" si="124"/>
        <v>0</v>
      </c>
      <c r="J1587" s="21">
        <f t="shared" si="124"/>
        <v>0</v>
      </c>
    </row>
    <row r="1588" spans="1:10" x14ac:dyDescent="0.3">
      <c r="A1588" s="2" t="s">
        <v>1498</v>
      </c>
      <c r="B1588" s="1" t="s">
        <v>2152</v>
      </c>
      <c r="C1588" s="6" t="s">
        <v>3651</v>
      </c>
      <c r="D1588" s="6" t="s">
        <v>5809</v>
      </c>
      <c r="E1588" s="20">
        <f t="shared" si="122"/>
        <v>0</v>
      </c>
      <c r="F1588" s="20"/>
      <c r="G1588" s="24" t="s">
        <v>8043</v>
      </c>
      <c r="H1588" s="20">
        <f t="shared" si="123"/>
        <v>0</v>
      </c>
      <c r="I1588" s="21">
        <f t="shared" si="124"/>
        <v>0</v>
      </c>
      <c r="J1588" s="21">
        <f t="shared" si="124"/>
        <v>0</v>
      </c>
    </row>
    <row r="1589" spans="1:10" x14ac:dyDescent="0.3">
      <c r="A1589" s="2" t="s">
        <v>1499</v>
      </c>
      <c r="B1589" s="1" t="s">
        <v>2152</v>
      </c>
      <c r="C1589" s="6" t="s">
        <v>3652</v>
      </c>
      <c r="D1589" s="6" t="s">
        <v>5810</v>
      </c>
      <c r="E1589" s="20">
        <f t="shared" si="122"/>
        <v>0</v>
      </c>
      <c r="F1589" s="20"/>
      <c r="G1589" s="24" t="s">
        <v>8044</v>
      </c>
      <c r="H1589" s="20">
        <f t="shared" si="123"/>
        <v>0</v>
      </c>
      <c r="I1589" s="21">
        <f t="shared" si="124"/>
        <v>0</v>
      </c>
      <c r="J1589" s="21">
        <f t="shared" si="124"/>
        <v>0</v>
      </c>
    </row>
    <row r="1590" spans="1:10" x14ac:dyDescent="0.3">
      <c r="A1590" s="2" t="s">
        <v>1500</v>
      </c>
      <c r="B1590" s="1" t="s">
        <v>2152</v>
      </c>
      <c r="C1590" s="6" t="s">
        <v>3653</v>
      </c>
      <c r="D1590" s="6" t="s">
        <v>5811</v>
      </c>
      <c r="E1590" s="20">
        <f t="shared" si="122"/>
        <v>0</v>
      </c>
      <c r="F1590" s="20"/>
      <c r="G1590" s="24" t="s">
        <v>8045</v>
      </c>
      <c r="H1590" s="20">
        <f t="shared" si="123"/>
        <v>0</v>
      </c>
      <c r="I1590" s="21">
        <f t="shared" si="124"/>
        <v>0</v>
      </c>
      <c r="J1590" s="21">
        <f t="shared" si="124"/>
        <v>0</v>
      </c>
    </row>
    <row r="1591" spans="1:10" x14ac:dyDescent="0.3">
      <c r="A1591" s="2" t="s">
        <v>1501</v>
      </c>
      <c r="B1591" s="1" t="s">
        <v>2152</v>
      </c>
      <c r="C1591" s="6" t="s">
        <v>3654</v>
      </c>
      <c r="D1591" s="6" t="s">
        <v>5812</v>
      </c>
      <c r="E1591" s="20">
        <f t="shared" si="122"/>
        <v>0</v>
      </c>
      <c r="F1591" s="20"/>
      <c r="G1591" s="24" t="s">
        <v>8046</v>
      </c>
      <c r="H1591" s="20">
        <f t="shared" si="123"/>
        <v>0</v>
      </c>
      <c r="I1591" s="21">
        <f>W1591</f>
        <v>0</v>
      </c>
      <c r="J1591" s="21">
        <f>X1591</f>
        <v>0</v>
      </c>
    </row>
    <row r="1592" spans="1:10" ht="27.6" x14ac:dyDescent="0.3">
      <c r="A1592" s="2" t="s">
        <v>1502</v>
      </c>
      <c r="B1592" s="1" t="s">
        <v>2152</v>
      </c>
      <c r="C1592" s="6" t="s">
        <v>3655</v>
      </c>
      <c r="E1592" s="20">
        <f t="shared" si="122"/>
        <v>0</v>
      </c>
      <c r="F1592" s="20"/>
      <c r="G1592" s="24" t="s">
        <v>8047</v>
      </c>
      <c r="H1592" s="20">
        <f t="shared" si="123"/>
        <v>0</v>
      </c>
    </row>
    <row r="1593" spans="1:10" ht="124.2" x14ac:dyDescent="0.3">
      <c r="A1593" s="2" t="s">
        <v>1503</v>
      </c>
      <c r="B1593" s="1" t="s">
        <v>2152</v>
      </c>
      <c r="C1593" s="6" t="s">
        <v>3656</v>
      </c>
      <c r="D1593" s="6" t="s">
        <v>5813</v>
      </c>
      <c r="E1593" s="20">
        <f>H1593*1.8*1.4</f>
        <v>0</v>
      </c>
      <c r="F1593" s="20">
        <f>'[96]Direk kesme'!$L$2</f>
        <v>164595</v>
      </c>
      <c r="G1593" s="24" t="s">
        <v>8048</v>
      </c>
      <c r="H1593" s="20">
        <f>K1593*1.8*1.4</f>
        <v>0</v>
      </c>
    </row>
    <row r="1594" spans="1:10" ht="69" x14ac:dyDescent="0.3">
      <c r="A1594" s="2" t="s">
        <v>1504</v>
      </c>
      <c r="B1594" s="1" t="s">
        <v>2152</v>
      </c>
      <c r="C1594" s="6" t="s">
        <v>3657</v>
      </c>
      <c r="D1594" s="6" t="s">
        <v>5814</v>
      </c>
      <c r="E1594" s="20">
        <f t="shared" si="122"/>
        <v>0</v>
      </c>
      <c r="F1594" s="20"/>
      <c r="G1594" s="24" t="s">
        <v>8049</v>
      </c>
      <c r="H1594" s="20">
        <f t="shared" si="123"/>
        <v>0</v>
      </c>
      <c r="I1594" s="21">
        <f>W1594</f>
        <v>0</v>
      </c>
      <c r="J1594" s="21">
        <f>X1594</f>
        <v>0</v>
      </c>
    </row>
    <row r="1595" spans="1:10" ht="27.6" x14ac:dyDescent="0.3">
      <c r="A1595" s="2" t="s">
        <v>1505</v>
      </c>
      <c r="B1595" s="1" t="s">
        <v>2152</v>
      </c>
      <c r="C1595" s="6" t="s">
        <v>3658</v>
      </c>
      <c r="D1595" s="6" t="s">
        <v>5815</v>
      </c>
      <c r="E1595" s="20">
        <f t="shared" si="122"/>
        <v>0</v>
      </c>
      <c r="F1595" s="20"/>
      <c r="G1595" s="24" t="s">
        <v>8050</v>
      </c>
      <c r="H1595" s="20">
        <f t="shared" si="123"/>
        <v>0</v>
      </c>
      <c r="I1595" s="21">
        <f>W1595</f>
        <v>0</v>
      </c>
      <c r="J1595" s="21">
        <f>X1595</f>
        <v>0</v>
      </c>
    </row>
    <row r="1596" spans="1:10" x14ac:dyDescent="0.3">
      <c r="A1596" s="2" t="s">
        <v>1506</v>
      </c>
      <c r="B1596" s="1" t="s">
        <v>2152</v>
      </c>
      <c r="C1596" s="6" t="s">
        <v>3659</v>
      </c>
      <c r="D1596" s="6" t="s">
        <v>5816</v>
      </c>
      <c r="E1596" s="20">
        <f t="shared" si="122"/>
        <v>0</v>
      </c>
      <c r="F1596" s="20"/>
      <c r="G1596" s="24" t="s">
        <v>8051</v>
      </c>
      <c r="H1596" s="20">
        <f t="shared" si="123"/>
        <v>0</v>
      </c>
    </row>
    <row r="1597" spans="1:10" ht="55.2" x14ac:dyDescent="0.3">
      <c r="A1597" s="2" t="s">
        <v>1507</v>
      </c>
      <c r="B1597" s="1" t="s">
        <v>2152</v>
      </c>
      <c r="C1597" s="6" t="s">
        <v>3660</v>
      </c>
      <c r="D1597" s="6" t="s">
        <v>5817</v>
      </c>
      <c r="E1597" s="20">
        <f t="shared" si="122"/>
        <v>0</v>
      </c>
      <c r="F1597" s="20">
        <f>[97]Sayfa1!$L$2</f>
        <v>36540</v>
      </c>
      <c r="G1597" s="24" t="s">
        <v>8052</v>
      </c>
      <c r="H1597" s="20">
        <f t="shared" si="123"/>
        <v>0</v>
      </c>
    </row>
    <row r="1598" spans="1:10" x14ac:dyDescent="0.3">
      <c r="A1598" s="2" t="s">
        <v>1508</v>
      </c>
      <c r="B1598" s="1" t="s">
        <v>2152</v>
      </c>
      <c r="C1598" s="6" t="s">
        <v>3661</v>
      </c>
      <c r="D1598" s="6" t="s">
        <v>5818</v>
      </c>
      <c r="E1598" s="20"/>
      <c r="F1598" s="20"/>
      <c r="G1598" s="24" t="s">
        <v>8053</v>
      </c>
      <c r="H1598" s="20"/>
    </row>
    <row r="1599" spans="1:10" ht="41.4" x14ac:dyDescent="0.3">
      <c r="A1599" s="2" t="s">
        <v>1509</v>
      </c>
      <c r="B1599" s="1" t="s">
        <v>2152</v>
      </c>
      <c r="C1599" s="6" t="s">
        <v>3662</v>
      </c>
      <c r="D1599" s="6" t="s">
        <v>5819</v>
      </c>
      <c r="E1599" s="20"/>
      <c r="F1599" s="20"/>
      <c r="G1599" s="24" t="s">
        <v>8054</v>
      </c>
      <c r="H1599" s="20"/>
    </row>
    <row r="1600" spans="1:10" ht="41.4" x14ac:dyDescent="0.3">
      <c r="A1600" s="2" t="s">
        <v>1510</v>
      </c>
      <c r="B1600" s="1" t="s">
        <v>2152</v>
      </c>
      <c r="C1600" s="6" t="s">
        <v>3663</v>
      </c>
      <c r="D1600" s="6" t="s">
        <v>5819</v>
      </c>
      <c r="E1600" s="20"/>
      <c r="F1600" s="20"/>
      <c r="G1600" s="24" t="s">
        <v>8055</v>
      </c>
      <c r="H1600" s="20"/>
    </row>
    <row r="1601" spans="1:10" ht="69" x14ac:dyDescent="0.3">
      <c r="A1601" s="2" t="s">
        <v>1511</v>
      </c>
      <c r="B1601" s="1" t="s">
        <v>2152</v>
      </c>
      <c r="C1601" s="6" t="s">
        <v>3664</v>
      </c>
      <c r="D1601" s="6" t="s">
        <v>5820</v>
      </c>
      <c r="E1601" s="20"/>
      <c r="F1601" s="20"/>
      <c r="G1601" s="24" t="s">
        <v>8056</v>
      </c>
      <c r="H1601" s="20"/>
    </row>
    <row r="1602" spans="1:10" ht="27.6" x14ac:dyDescent="0.3">
      <c r="A1602" s="2" t="s">
        <v>1512</v>
      </c>
      <c r="B1602" s="1" t="s">
        <v>2152</v>
      </c>
      <c r="C1602" s="6" t="s">
        <v>3665</v>
      </c>
      <c r="D1602" s="6" t="s">
        <v>5821</v>
      </c>
      <c r="E1602" s="20">
        <f t="shared" si="122"/>
        <v>0</v>
      </c>
      <c r="F1602" s="20"/>
      <c r="G1602" s="24" t="s">
        <v>8057</v>
      </c>
      <c r="H1602" s="20">
        <f t="shared" si="123"/>
        <v>0</v>
      </c>
      <c r="I1602" s="21">
        <f t="shared" ref="I1602:J1628" si="125">W1602</f>
        <v>0</v>
      </c>
      <c r="J1602" s="21">
        <f t="shared" si="125"/>
        <v>0</v>
      </c>
    </row>
    <row r="1603" spans="1:10" ht="27.6" x14ac:dyDescent="0.3">
      <c r="A1603" s="2" t="s">
        <v>1513</v>
      </c>
      <c r="B1603" s="1" t="s">
        <v>2152</v>
      </c>
      <c r="C1603" s="6" t="s">
        <v>3666</v>
      </c>
      <c r="D1603" s="6" t="s">
        <v>5822</v>
      </c>
      <c r="E1603" s="20">
        <f t="shared" si="122"/>
        <v>0</v>
      </c>
      <c r="F1603" s="20"/>
      <c r="G1603" s="24" t="s">
        <v>8058</v>
      </c>
      <c r="H1603" s="20">
        <f t="shared" si="123"/>
        <v>0</v>
      </c>
      <c r="I1603" s="21">
        <f t="shared" si="125"/>
        <v>0</v>
      </c>
      <c r="J1603" s="21">
        <f t="shared" si="125"/>
        <v>0</v>
      </c>
    </row>
    <row r="1604" spans="1:10" ht="27.6" x14ac:dyDescent="0.3">
      <c r="A1604" s="2" t="s">
        <v>1514</v>
      </c>
      <c r="B1604" s="1" t="s">
        <v>2152</v>
      </c>
      <c r="C1604" s="6" t="s">
        <v>3667</v>
      </c>
      <c r="D1604" s="6" t="s">
        <v>5823</v>
      </c>
      <c r="E1604" s="20">
        <f t="shared" si="122"/>
        <v>0</v>
      </c>
      <c r="F1604" s="20"/>
      <c r="G1604" s="24" t="s">
        <v>8059</v>
      </c>
      <c r="H1604" s="20">
        <f t="shared" si="123"/>
        <v>0</v>
      </c>
      <c r="I1604" s="21">
        <f t="shared" si="125"/>
        <v>0</v>
      </c>
      <c r="J1604" s="21">
        <f t="shared" si="125"/>
        <v>0</v>
      </c>
    </row>
    <row r="1605" spans="1:10" ht="27.6" x14ac:dyDescent="0.3">
      <c r="A1605" s="2" t="s">
        <v>1515</v>
      </c>
      <c r="B1605" s="1" t="s">
        <v>2152</v>
      </c>
      <c r="C1605" s="6" t="s">
        <v>3668</v>
      </c>
      <c r="D1605" s="6" t="s">
        <v>5824</v>
      </c>
      <c r="E1605" s="20">
        <f t="shared" si="122"/>
        <v>0</v>
      </c>
      <c r="F1605" s="20"/>
      <c r="G1605" s="24" t="s">
        <v>8060</v>
      </c>
      <c r="H1605" s="20">
        <f t="shared" si="123"/>
        <v>0</v>
      </c>
      <c r="I1605" s="21">
        <f t="shared" si="125"/>
        <v>0</v>
      </c>
      <c r="J1605" s="21">
        <f t="shared" si="125"/>
        <v>0</v>
      </c>
    </row>
    <row r="1606" spans="1:10" ht="27.6" x14ac:dyDescent="0.3">
      <c r="A1606" s="2" t="s">
        <v>1516</v>
      </c>
      <c r="B1606" s="1" t="s">
        <v>2152</v>
      </c>
      <c r="C1606" s="6" t="s">
        <v>3669</v>
      </c>
      <c r="D1606" s="6" t="s">
        <v>5825</v>
      </c>
      <c r="E1606" s="20">
        <f t="shared" si="122"/>
        <v>0</v>
      </c>
      <c r="F1606" s="20"/>
      <c r="G1606" s="24" t="s">
        <v>8061</v>
      </c>
      <c r="H1606" s="20">
        <f t="shared" si="123"/>
        <v>0</v>
      </c>
      <c r="I1606" s="21">
        <f t="shared" si="125"/>
        <v>0</v>
      </c>
      <c r="J1606" s="21">
        <f t="shared" si="125"/>
        <v>0</v>
      </c>
    </row>
    <row r="1607" spans="1:10" ht="27.6" x14ac:dyDescent="0.3">
      <c r="A1607" s="2" t="s">
        <v>1517</v>
      </c>
      <c r="B1607" s="1" t="s">
        <v>2152</v>
      </c>
      <c r="C1607" s="6" t="s">
        <v>3670</v>
      </c>
      <c r="D1607" s="6" t="s">
        <v>5826</v>
      </c>
      <c r="E1607" s="20">
        <f t="shared" si="122"/>
        <v>0</v>
      </c>
      <c r="F1607" s="20"/>
      <c r="G1607" s="24" t="s">
        <v>8062</v>
      </c>
      <c r="H1607" s="20">
        <f t="shared" si="123"/>
        <v>0</v>
      </c>
      <c r="I1607" s="21">
        <f t="shared" si="125"/>
        <v>0</v>
      </c>
      <c r="J1607" s="21">
        <f t="shared" si="125"/>
        <v>0</v>
      </c>
    </row>
    <row r="1608" spans="1:10" ht="27.6" x14ac:dyDescent="0.3">
      <c r="A1608" s="2" t="s">
        <v>1518</v>
      </c>
      <c r="B1608" s="1" t="s">
        <v>2152</v>
      </c>
      <c r="C1608" s="6" t="s">
        <v>3671</v>
      </c>
      <c r="D1608" s="6" t="s">
        <v>5826</v>
      </c>
      <c r="E1608" s="20">
        <f t="shared" si="122"/>
        <v>0</v>
      </c>
      <c r="F1608" s="20"/>
      <c r="G1608" s="24" t="s">
        <v>8063</v>
      </c>
      <c r="H1608" s="20">
        <f t="shared" si="123"/>
        <v>0</v>
      </c>
      <c r="I1608" s="21">
        <f t="shared" si="125"/>
        <v>0</v>
      </c>
      <c r="J1608" s="21">
        <f t="shared" si="125"/>
        <v>0</v>
      </c>
    </row>
    <row r="1609" spans="1:10" ht="27.6" x14ac:dyDescent="0.3">
      <c r="A1609" s="2" t="s">
        <v>1519</v>
      </c>
      <c r="B1609" s="1" t="s">
        <v>2152</v>
      </c>
      <c r="C1609" s="6" t="s">
        <v>3672</v>
      </c>
      <c r="D1609" s="6" t="s">
        <v>5827</v>
      </c>
      <c r="E1609" s="20">
        <f t="shared" ref="E1609:E1672" si="126">H1609*1.8*1.4</f>
        <v>0</v>
      </c>
      <c r="F1609" s="20"/>
      <c r="G1609" s="24" t="s">
        <v>8064</v>
      </c>
      <c r="H1609" s="20">
        <f t="shared" ref="H1609:H1672" si="127">K1609*1.8*1.4</f>
        <v>0</v>
      </c>
      <c r="I1609" s="21">
        <f t="shared" si="125"/>
        <v>0</v>
      </c>
      <c r="J1609" s="21">
        <f t="shared" si="125"/>
        <v>0</v>
      </c>
    </row>
    <row r="1610" spans="1:10" x14ac:dyDescent="0.3">
      <c r="A1610" s="2" t="s">
        <v>1520</v>
      </c>
      <c r="B1610" s="1" t="s">
        <v>2152</v>
      </c>
      <c r="C1610" s="6" t="s">
        <v>3673</v>
      </c>
      <c r="D1610" s="6" t="s">
        <v>5828</v>
      </c>
      <c r="E1610" s="20">
        <f t="shared" si="126"/>
        <v>0</v>
      </c>
      <c r="F1610" s="20"/>
      <c r="G1610" s="24" t="s">
        <v>8065</v>
      </c>
      <c r="H1610" s="20">
        <f t="shared" si="127"/>
        <v>0</v>
      </c>
      <c r="I1610" s="21">
        <f>W1610</f>
        <v>0</v>
      </c>
      <c r="J1610" s="21">
        <f t="shared" si="125"/>
        <v>0</v>
      </c>
    </row>
    <row r="1611" spans="1:10" ht="27.6" x14ac:dyDescent="0.3">
      <c r="A1611" s="2" t="s">
        <v>1521</v>
      </c>
      <c r="B1611" s="1" t="s">
        <v>2152</v>
      </c>
      <c r="C1611" s="6" t="s">
        <v>3674</v>
      </c>
      <c r="D1611" s="6" t="s">
        <v>5829</v>
      </c>
      <c r="E1611" s="20">
        <f t="shared" si="126"/>
        <v>0</v>
      </c>
      <c r="F1611" s="20"/>
      <c r="G1611" s="24" t="s">
        <v>8066</v>
      </c>
      <c r="H1611" s="20">
        <f t="shared" si="127"/>
        <v>0</v>
      </c>
      <c r="I1611" s="21">
        <f t="shared" si="125"/>
        <v>0</v>
      </c>
      <c r="J1611" s="21">
        <f t="shared" si="125"/>
        <v>0</v>
      </c>
    </row>
    <row r="1612" spans="1:10" ht="27.6" x14ac:dyDescent="0.3">
      <c r="A1612" s="2" t="s">
        <v>1522</v>
      </c>
      <c r="B1612" s="1" t="s">
        <v>2152</v>
      </c>
      <c r="C1612" s="6" t="s">
        <v>3675</v>
      </c>
      <c r="D1612" s="6" t="s">
        <v>5830</v>
      </c>
      <c r="E1612" s="20">
        <f t="shared" si="126"/>
        <v>0</v>
      </c>
      <c r="F1612" s="20"/>
      <c r="G1612" s="24" t="s">
        <v>8067</v>
      </c>
      <c r="H1612" s="20">
        <f t="shared" si="127"/>
        <v>0</v>
      </c>
      <c r="I1612" s="21">
        <f t="shared" si="125"/>
        <v>0</v>
      </c>
      <c r="J1612" s="21">
        <f t="shared" si="125"/>
        <v>0</v>
      </c>
    </row>
    <row r="1613" spans="1:10" ht="27.6" x14ac:dyDescent="0.3">
      <c r="A1613" s="2" t="s">
        <v>1523</v>
      </c>
      <c r="B1613" s="1" t="s">
        <v>2152</v>
      </c>
      <c r="C1613" s="6" t="s">
        <v>3676</v>
      </c>
      <c r="D1613" s="6" t="s">
        <v>5831</v>
      </c>
      <c r="E1613" s="20">
        <f t="shared" si="126"/>
        <v>0</v>
      </c>
      <c r="F1613" s="20"/>
      <c r="G1613" s="24" t="s">
        <v>8068</v>
      </c>
      <c r="H1613" s="20">
        <f t="shared" si="127"/>
        <v>0</v>
      </c>
      <c r="I1613" s="21">
        <f t="shared" si="125"/>
        <v>0</v>
      </c>
      <c r="J1613" s="21">
        <f t="shared" si="125"/>
        <v>0</v>
      </c>
    </row>
    <row r="1614" spans="1:10" x14ac:dyDescent="0.3">
      <c r="A1614" s="2" t="s">
        <v>1524</v>
      </c>
      <c r="B1614" s="1" t="s">
        <v>2152</v>
      </c>
      <c r="C1614" s="6" t="s">
        <v>3677</v>
      </c>
      <c r="D1614" s="6" t="s">
        <v>5832</v>
      </c>
      <c r="E1614" s="20">
        <f t="shared" si="126"/>
        <v>0</v>
      </c>
      <c r="F1614" s="20"/>
      <c r="G1614" s="24" t="s">
        <v>8069</v>
      </c>
      <c r="H1614" s="20">
        <f t="shared" si="127"/>
        <v>0</v>
      </c>
      <c r="I1614" s="21">
        <f>W1614</f>
        <v>0</v>
      </c>
      <c r="J1614" s="21">
        <f t="shared" si="125"/>
        <v>0</v>
      </c>
    </row>
    <row r="1615" spans="1:10" ht="41.4" x14ac:dyDescent="0.3">
      <c r="A1615" s="2" t="s">
        <v>1525</v>
      </c>
      <c r="B1615" s="1" t="s">
        <v>2152</v>
      </c>
      <c r="C1615" s="6" t="s">
        <v>3678</v>
      </c>
      <c r="D1615" s="6" t="s">
        <v>5833</v>
      </c>
      <c r="E1615" s="20">
        <f t="shared" si="126"/>
        <v>0</v>
      </c>
      <c r="F1615" s="20"/>
      <c r="G1615" s="24" t="s">
        <v>8070</v>
      </c>
      <c r="H1615" s="20">
        <f t="shared" si="127"/>
        <v>0</v>
      </c>
      <c r="I1615" s="21">
        <f t="shared" si="125"/>
        <v>0</v>
      </c>
      <c r="J1615" s="21">
        <f t="shared" si="125"/>
        <v>0</v>
      </c>
    </row>
    <row r="1616" spans="1:10" ht="27.6" x14ac:dyDescent="0.3">
      <c r="A1616" s="2" t="s">
        <v>1526</v>
      </c>
      <c r="B1616" s="1" t="s">
        <v>2152</v>
      </c>
      <c r="C1616" s="6" t="s">
        <v>3679</v>
      </c>
      <c r="D1616" s="6" t="s">
        <v>5834</v>
      </c>
      <c r="E1616" s="20">
        <f t="shared" si="126"/>
        <v>0</v>
      </c>
      <c r="F1616" s="20"/>
      <c r="G1616" s="24" t="s">
        <v>8071</v>
      </c>
      <c r="H1616" s="20">
        <f t="shared" si="127"/>
        <v>0</v>
      </c>
      <c r="I1616" s="21">
        <f>W1616</f>
        <v>0</v>
      </c>
      <c r="J1616" s="21">
        <f t="shared" si="125"/>
        <v>0</v>
      </c>
    </row>
    <row r="1617" spans="1:10" x14ac:dyDescent="0.3">
      <c r="A1617" s="2" t="s">
        <v>1527</v>
      </c>
      <c r="B1617" s="1" t="s">
        <v>2152</v>
      </c>
      <c r="C1617" s="6" t="s">
        <v>3680</v>
      </c>
      <c r="D1617" s="6" t="s">
        <v>5835</v>
      </c>
      <c r="E1617" s="20">
        <f t="shared" si="126"/>
        <v>0</v>
      </c>
      <c r="F1617" s="20"/>
      <c r="G1617" s="24" t="s">
        <v>8072</v>
      </c>
      <c r="H1617" s="20">
        <f t="shared" si="127"/>
        <v>0</v>
      </c>
      <c r="I1617" s="21">
        <f t="shared" si="125"/>
        <v>0</v>
      </c>
      <c r="J1617" s="21">
        <f t="shared" si="125"/>
        <v>0</v>
      </c>
    </row>
    <row r="1618" spans="1:10" x14ac:dyDescent="0.3">
      <c r="A1618" s="2" t="s">
        <v>1528</v>
      </c>
      <c r="B1618" s="1" t="s">
        <v>2152</v>
      </c>
      <c r="C1618" s="6" t="s">
        <v>3681</v>
      </c>
      <c r="D1618" s="6" t="s">
        <v>5836</v>
      </c>
      <c r="E1618" s="20">
        <f>H1618*1.8*1.4</f>
        <v>0</v>
      </c>
      <c r="F1618" s="20">
        <v>4900</v>
      </c>
      <c r="G1618" s="24" t="s">
        <v>8073</v>
      </c>
      <c r="H1618" s="20">
        <f>K1618*1.8*1.4</f>
        <v>0</v>
      </c>
      <c r="I1618" s="21">
        <f t="shared" si="125"/>
        <v>0</v>
      </c>
      <c r="J1618" s="21">
        <f t="shared" si="125"/>
        <v>0</v>
      </c>
    </row>
    <row r="1619" spans="1:10" ht="27.6" x14ac:dyDescent="0.3">
      <c r="A1619" s="2" t="s">
        <v>1529</v>
      </c>
      <c r="B1619" s="1" t="s">
        <v>2152</v>
      </c>
      <c r="C1619" s="6" t="s">
        <v>3682</v>
      </c>
      <c r="D1619" s="6" t="s">
        <v>5837</v>
      </c>
      <c r="E1619" s="20">
        <f t="shared" si="126"/>
        <v>0</v>
      </c>
      <c r="F1619" s="20"/>
      <c r="G1619" s="24" t="s">
        <v>8074</v>
      </c>
      <c r="H1619" s="20">
        <f t="shared" si="127"/>
        <v>0</v>
      </c>
      <c r="I1619" s="21">
        <f t="shared" si="125"/>
        <v>0</v>
      </c>
      <c r="J1619" s="21">
        <f t="shared" si="125"/>
        <v>0</v>
      </c>
    </row>
    <row r="1620" spans="1:10" x14ac:dyDescent="0.3">
      <c r="A1620" s="7" t="s">
        <v>1530</v>
      </c>
      <c r="B1620" s="1" t="s">
        <v>2152</v>
      </c>
      <c r="C1620" s="6" t="s">
        <v>3683</v>
      </c>
      <c r="D1620" s="6" t="s">
        <v>5838</v>
      </c>
      <c r="E1620" s="20">
        <f t="shared" si="126"/>
        <v>0</v>
      </c>
      <c r="F1620" s="20">
        <v>4500</v>
      </c>
      <c r="G1620" s="24" t="s">
        <v>8075</v>
      </c>
      <c r="H1620" s="20">
        <f t="shared" si="127"/>
        <v>0</v>
      </c>
      <c r="I1620" s="21">
        <f t="shared" si="125"/>
        <v>0</v>
      </c>
      <c r="J1620" s="21">
        <f t="shared" si="125"/>
        <v>0</v>
      </c>
    </row>
    <row r="1621" spans="1:10" x14ac:dyDescent="0.3">
      <c r="A1621" s="7" t="s">
        <v>1531</v>
      </c>
      <c r="B1621" s="1" t="s">
        <v>2152</v>
      </c>
      <c r="C1621" s="6" t="s">
        <v>3684</v>
      </c>
      <c r="D1621" s="6" t="s">
        <v>5839</v>
      </c>
      <c r="E1621" s="20">
        <f t="shared" si="126"/>
        <v>0</v>
      </c>
      <c r="F1621" s="20">
        <v>4900</v>
      </c>
      <c r="G1621" s="24" t="s">
        <v>8076</v>
      </c>
      <c r="H1621" s="20">
        <f t="shared" si="127"/>
        <v>0</v>
      </c>
      <c r="I1621" s="21">
        <f t="shared" si="125"/>
        <v>0</v>
      </c>
      <c r="J1621" s="21">
        <f t="shared" si="125"/>
        <v>0</v>
      </c>
    </row>
    <row r="1622" spans="1:10" ht="27.6" x14ac:dyDescent="0.3">
      <c r="A1622" s="2" t="s">
        <v>1532</v>
      </c>
      <c r="B1622" s="1" t="s">
        <v>2152</v>
      </c>
      <c r="C1622" s="6" t="s">
        <v>3685</v>
      </c>
      <c r="D1622" s="6" t="s">
        <v>5840</v>
      </c>
      <c r="E1622" s="20">
        <f t="shared" si="126"/>
        <v>0</v>
      </c>
      <c r="F1622" s="20">
        <v>9100</v>
      </c>
      <c r="G1622" s="24" t="s">
        <v>8077</v>
      </c>
      <c r="H1622" s="20">
        <f t="shared" si="127"/>
        <v>0</v>
      </c>
      <c r="I1622" s="21">
        <f t="shared" si="125"/>
        <v>0</v>
      </c>
      <c r="J1622" s="21">
        <f t="shared" si="125"/>
        <v>0</v>
      </c>
    </row>
    <row r="1623" spans="1:10" x14ac:dyDescent="0.3">
      <c r="A1623" s="2" t="s">
        <v>1533</v>
      </c>
      <c r="B1623" s="1" t="s">
        <v>2152</v>
      </c>
      <c r="C1623" s="6" t="s">
        <v>3686</v>
      </c>
      <c r="D1623" s="6" t="s">
        <v>5841</v>
      </c>
      <c r="E1623" s="20">
        <f t="shared" si="126"/>
        <v>0</v>
      </c>
      <c r="F1623" s="20"/>
      <c r="G1623" s="24" t="s">
        <v>8078</v>
      </c>
      <c r="H1623" s="20">
        <f t="shared" si="127"/>
        <v>0</v>
      </c>
      <c r="I1623" s="21">
        <f t="shared" si="125"/>
        <v>0</v>
      </c>
      <c r="J1623" s="21">
        <f t="shared" si="125"/>
        <v>0</v>
      </c>
    </row>
    <row r="1624" spans="1:10" x14ac:dyDescent="0.3">
      <c r="A1624" s="2" t="s">
        <v>1534</v>
      </c>
      <c r="B1624" s="1" t="s">
        <v>2152</v>
      </c>
      <c r="C1624" s="6" t="s">
        <v>3687</v>
      </c>
      <c r="D1624" s="6" t="s">
        <v>5842</v>
      </c>
      <c r="E1624" s="20">
        <f t="shared" si="126"/>
        <v>0</v>
      </c>
      <c r="F1624" s="20">
        <v>7500</v>
      </c>
      <c r="G1624" s="24" t="s">
        <v>8079</v>
      </c>
      <c r="H1624" s="20">
        <f t="shared" si="127"/>
        <v>0</v>
      </c>
      <c r="I1624" s="21">
        <f t="shared" si="125"/>
        <v>0</v>
      </c>
      <c r="J1624" s="21">
        <f t="shared" si="125"/>
        <v>0</v>
      </c>
    </row>
    <row r="1625" spans="1:10" x14ac:dyDescent="0.3">
      <c r="A1625" s="2" t="s">
        <v>1535</v>
      </c>
      <c r="B1625" s="1" t="s">
        <v>2152</v>
      </c>
      <c r="C1625" s="6" t="s">
        <v>3688</v>
      </c>
      <c r="D1625" s="6" t="s">
        <v>5843</v>
      </c>
      <c r="E1625" s="20">
        <f t="shared" si="126"/>
        <v>0</v>
      </c>
      <c r="F1625" s="20"/>
      <c r="G1625" s="24" t="s">
        <v>8080</v>
      </c>
      <c r="H1625" s="20">
        <f t="shared" si="127"/>
        <v>0</v>
      </c>
      <c r="I1625" s="21">
        <f>W1625</f>
        <v>0</v>
      </c>
      <c r="J1625" s="21">
        <f>X1625</f>
        <v>0</v>
      </c>
    </row>
    <row r="1626" spans="1:10" x14ac:dyDescent="0.3">
      <c r="A1626" s="2" t="s">
        <v>1536</v>
      </c>
      <c r="B1626" s="1" t="s">
        <v>2152</v>
      </c>
      <c r="C1626" s="6" t="s">
        <v>3689</v>
      </c>
      <c r="D1626" s="6" t="s">
        <v>5844</v>
      </c>
      <c r="E1626" s="20">
        <f t="shared" si="126"/>
        <v>0</v>
      </c>
      <c r="F1626" s="20"/>
      <c r="G1626" s="24" t="s">
        <v>8081</v>
      </c>
      <c r="H1626" s="20">
        <f t="shared" si="127"/>
        <v>0</v>
      </c>
      <c r="I1626" s="21">
        <f t="shared" si="125"/>
        <v>0</v>
      </c>
      <c r="J1626" s="21">
        <f>X1626</f>
        <v>0</v>
      </c>
    </row>
    <row r="1627" spans="1:10" x14ac:dyDescent="0.3">
      <c r="A1627" s="2" t="s">
        <v>1537</v>
      </c>
      <c r="B1627" s="1" t="s">
        <v>2152</v>
      </c>
      <c r="C1627" s="6" t="s">
        <v>3690</v>
      </c>
      <c r="D1627" s="6" t="s">
        <v>5845</v>
      </c>
      <c r="E1627" s="20">
        <f t="shared" si="126"/>
        <v>0</v>
      </c>
      <c r="F1627" s="20"/>
      <c r="G1627" s="24" t="s">
        <v>8082</v>
      </c>
      <c r="H1627" s="20">
        <f t="shared" si="127"/>
        <v>0</v>
      </c>
      <c r="I1627" s="21">
        <f t="shared" si="125"/>
        <v>0</v>
      </c>
      <c r="J1627" s="21">
        <f>X1627</f>
        <v>0</v>
      </c>
    </row>
    <row r="1628" spans="1:10" ht="27.6" x14ac:dyDescent="0.3">
      <c r="A1628" s="2" t="s">
        <v>1538</v>
      </c>
      <c r="B1628" s="1" t="s">
        <v>2152</v>
      </c>
      <c r="C1628" s="6" t="s">
        <v>3691</v>
      </c>
      <c r="D1628" s="6" t="s">
        <v>5846</v>
      </c>
      <c r="E1628" s="20">
        <f t="shared" si="126"/>
        <v>0</v>
      </c>
      <c r="F1628" s="20"/>
      <c r="G1628" s="24" t="s">
        <v>8083</v>
      </c>
      <c r="H1628" s="20">
        <f t="shared" si="127"/>
        <v>0</v>
      </c>
      <c r="I1628" s="21">
        <f t="shared" si="125"/>
        <v>0</v>
      </c>
      <c r="J1628" s="21">
        <f>X1628</f>
        <v>0</v>
      </c>
    </row>
    <row r="1629" spans="1:10" ht="27.6" x14ac:dyDescent="0.3">
      <c r="A1629" s="2" t="s">
        <v>1539</v>
      </c>
      <c r="B1629" s="1" t="s">
        <v>2152</v>
      </c>
      <c r="C1629" s="6" t="s">
        <v>3692</v>
      </c>
      <c r="D1629" s="6" t="s">
        <v>5847</v>
      </c>
      <c r="E1629" s="20">
        <f t="shared" si="126"/>
        <v>0</v>
      </c>
      <c r="F1629" s="20"/>
      <c r="G1629" s="24" t="s">
        <v>8084</v>
      </c>
      <c r="H1629" s="20">
        <f t="shared" si="127"/>
        <v>0</v>
      </c>
    </row>
    <row r="1630" spans="1:10" ht="41.4" x14ac:dyDescent="0.3">
      <c r="A1630" s="2" t="s">
        <v>1540</v>
      </c>
      <c r="B1630" s="1" t="s">
        <v>2152</v>
      </c>
      <c r="C1630" s="6" t="s">
        <v>3693</v>
      </c>
      <c r="D1630" s="6" t="s">
        <v>5848</v>
      </c>
      <c r="E1630" s="20">
        <f t="shared" si="126"/>
        <v>0</v>
      </c>
      <c r="F1630" s="20"/>
      <c r="G1630" s="24" t="s">
        <v>8085</v>
      </c>
      <c r="H1630" s="20">
        <f t="shared" si="127"/>
        <v>0</v>
      </c>
      <c r="I1630" s="21">
        <f>W1630</f>
        <v>0</v>
      </c>
      <c r="J1630" s="21">
        <f>X1630</f>
        <v>0</v>
      </c>
    </row>
    <row r="1631" spans="1:10" ht="27.6" x14ac:dyDescent="0.3">
      <c r="A1631" s="2" t="s">
        <v>1541</v>
      </c>
      <c r="B1631" s="1" t="s">
        <v>2152</v>
      </c>
      <c r="C1631" s="6" t="s">
        <v>3694</v>
      </c>
      <c r="D1631" s="6" t="s">
        <v>5849</v>
      </c>
      <c r="E1631" s="20">
        <f t="shared" si="126"/>
        <v>0</v>
      </c>
      <c r="F1631" s="20"/>
      <c r="G1631" s="24" t="s">
        <v>8086</v>
      </c>
      <c r="H1631" s="20">
        <f t="shared" si="127"/>
        <v>0</v>
      </c>
      <c r="I1631" s="21">
        <f t="shared" ref="I1631:J1694" si="128">W1631</f>
        <v>0</v>
      </c>
      <c r="J1631" s="21">
        <f t="shared" si="128"/>
        <v>0</v>
      </c>
    </row>
    <row r="1632" spans="1:10" ht="27.6" x14ac:dyDescent="0.3">
      <c r="A1632" s="2" t="s">
        <v>1542</v>
      </c>
      <c r="B1632" s="1" t="s">
        <v>2152</v>
      </c>
      <c r="C1632" s="6" t="s">
        <v>3695</v>
      </c>
      <c r="D1632" s="6" t="s">
        <v>5850</v>
      </c>
      <c r="E1632" s="20">
        <f t="shared" si="126"/>
        <v>0</v>
      </c>
      <c r="F1632" s="20"/>
      <c r="G1632" s="24" t="s">
        <v>8087</v>
      </c>
      <c r="H1632" s="20">
        <f t="shared" si="127"/>
        <v>0</v>
      </c>
      <c r="I1632" s="21">
        <f t="shared" si="128"/>
        <v>0</v>
      </c>
      <c r="J1632" s="21">
        <f t="shared" si="128"/>
        <v>0</v>
      </c>
    </row>
    <row r="1633" spans="1:10" ht="27.6" x14ac:dyDescent="0.3">
      <c r="A1633" s="2" t="s">
        <v>1543</v>
      </c>
      <c r="B1633" s="1" t="s">
        <v>2152</v>
      </c>
      <c r="C1633" s="6" t="s">
        <v>3696</v>
      </c>
      <c r="D1633" s="6" t="s">
        <v>5851</v>
      </c>
      <c r="E1633" s="20">
        <f t="shared" si="126"/>
        <v>0</v>
      </c>
      <c r="F1633" s="20"/>
      <c r="G1633" s="24" t="s">
        <v>8088</v>
      </c>
      <c r="H1633" s="20">
        <f t="shared" si="127"/>
        <v>0</v>
      </c>
      <c r="I1633" s="21">
        <f t="shared" si="128"/>
        <v>0</v>
      </c>
      <c r="J1633" s="21">
        <f t="shared" si="128"/>
        <v>0</v>
      </c>
    </row>
    <row r="1634" spans="1:10" ht="27.6" x14ac:dyDescent="0.3">
      <c r="A1634" s="2" t="s">
        <v>1544</v>
      </c>
      <c r="B1634" s="1" t="s">
        <v>2152</v>
      </c>
      <c r="C1634" s="6" t="s">
        <v>3697</v>
      </c>
      <c r="D1634" s="6" t="s">
        <v>5852</v>
      </c>
      <c r="E1634" s="20">
        <f t="shared" si="126"/>
        <v>0</v>
      </c>
      <c r="F1634" s="20"/>
      <c r="G1634" s="24" t="s">
        <v>8089</v>
      </c>
      <c r="H1634" s="20">
        <f t="shared" si="127"/>
        <v>0</v>
      </c>
      <c r="I1634" s="21">
        <f t="shared" si="128"/>
        <v>0</v>
      </c>
      <c r="J1634" s="21">
        <f t="shared" si="128"/>
        <v>0</v>
      </c>
    </row>
    <row r="1635" spans="1:10" ht="27.6" x14ac:dyDescent="0.3">
      <c r="A1635" s="2" t="s">
        <v>1545</v>
      </c>
      <c r="B1635" s="1" t="s">
        <v>2152</v>
      </c>
      <c r="C1635" s="6" t="s">
        <v>3698</v>
      </c>
      <c r="D1635" s="6" t="s">
        <v>5853</v>
      </c>
      <c r="E1635" s="20">
        <f t="shared" si="126"/>
        <v>0</v>
      </c>
      <c r="F1635" s="20"/>
      <c r="G1635" s="24" t="s">
        <v>8090</v>
      </c>
      <c r="H1635" s="20">
        <f t="shared" si="127"/>
        <v>0</v>
      </c>
      <c r="I1635" s="21">
        <f t="shared" si="128"/>
        <v>0</v>
      </c>
      <c r="J1635" s="21">
        <f t="shared" si="128"/>
        <v>0</v>
      </c>
    </row>
    <row r="1636" spans="1:10" ht="27.6" x14ac:dyDescent="0.3">
      <c r="A1636" s="2" t="s">
        <v>1546</v>
      </c>
      <c r="B1636" s="1" t="s">
        <v>2152</v>
      </c>
      <c r="C1636" s="6" t="s">
        <v>3699</v>
      </c>
      <c r="D1636" s="6" t="s">
        <v>5854</v>
      </c>
      <c r="E1636" s="20">
        <f t="shared" si="126"/>
        <v>0</v>
      </c>
      <c r="F1636" s="20"/>
      <c r="G1636" s="24" t="s">
        <v>8091</v>
      </c>
      <c r="H1636" s="20">
        <f t="shared" si="127"/>
        <v>0</v>
      </c>
      <c r="I1636" s="21">
        <f t="shared" si="128"/>
        <v>0</v>
      </c>
      <c r="J1636" s="21">
        <f t="shared" si="128"/>
        <v>0</v>
      </c>
    </row>
    <row r="1637" spans="1:10" ht="27.6" x14ac:dyDescent="0.3">
      <c r="A1637" s="2" t="s">
        <v>1547</v>
      </c>
      <c r="B1637" s="1" t="s">
        <v>2152</v>
      </c>
      <c r="C1637" s="6" t="s">
        <v>3700</v>
      </c>
      <c r="D1637" s="6" t="s">
        <v>5855</v>
      </c>
      <c r="E1637" s="20">
        <f t="shared" si="126"/>
        <v>0</v>
      </c>
      <c r="F1637" s="20"/>
      <c r="G1637" s="24" t="s">
        <v>8092</v>
      </c>
      <c r="H1637" s="20">
        <f t="shared" si="127"/>
        <v>0</v>
      </c>
      <c r="I1637" s="21">
        <f t="shared" si="128"/>
        <v>0</v>
      </c>
      <c r="J1637" s="21">
        <f t="shared" si="128"/>
        <v>0</v>
      </c>
    </row>
    <row r="1638" spans="1:10" x14ac:dyDescent="0.3">
      <c r="A1638" s="2" t="s">
        <v>1548</v>
      </c>
      <c r="B1638" s="1" t="s">
        <v>2152</v>
      </c>
      <c r="C1638" s="6" t="s">
        <v>3701</v>
      </c>
      <c r="D1638" s="6" t="s">
        <v>5856</v>
      </c>
      <c r="E1638" s="20">
        <f t="shared" si="126"/>
        <v>0</v>
      </c>
      <c r="F1638" s="20"/>
      <c r="G1638" s="24" t="s">
        <v>8093</v>
      </c>
      <c r="H1638" s="20">
        <f t="shared" si="127"/>
        <v>0</v>
      </c>
      <c r="I1638" s="21">
        <f t="shared" si="128"/>
        <v>0</v>
      </c>
      <c r="J1638" s="21">
        <f t="shared" si="128"/>
        <v>0</v>
      </c>
    </row>
    <row r="1639" spans="1:10" x14ac:dyDescent="0.3">
      <c r="A1639" s="2" t="s">
        <v>1549</v>
      </c>
      <c r="B1639" s="1" t="s">
        <v>2152</v>
      </c>
      <c r="C1639" s="6" t="s">
        <v>3702</v>
      </c>
      <c r="D1639" s="6" t="s">
        <v>5857</v>
      </c>
      <c r="E1639" s="20">
        <f t="shared" si="126"/>
        <v>0</v>
      </c>
      <c r="F1639" s="20"/>
      <c r="G1639" s="24" t="s">
        <v>8094</v>
      </c>
      <c r="H1639" s="20">
        <f t="shared" si="127"/>
        <v>0</v>
      </c>
      <c r="I1639" s="21">
        <f t="shared" si="128"/>
        <v>0</v>
      </c>
      <c r="J1639" s="21">
        <f t="shared" si="128"/>
        <v>0</v>
      </c>
    </row>
    <row r="1640" spans="1:10" x14ac:dyDescent="0.3">
      <c r="A1640" s="2" t="s">
        <v>1550</v>
      </c>
      <c r="B1640" s="1" t="s">
        <v>2152</v>
      </c>
      <c r="C1640" s="6" t="s">
        <v>3703</v>
      </c>
      <c r="D1640" s="6" t="s">
        <v>5858</v>
      </c>
      <c r="E1640" s="20">
        <f t="shared" si="126"/>
        <v>0</v>
      </c>
      <c r="F1640" s="20"/>
      <c r="G1640" s="24" t="s">
        <v>8095</v>
      </c>
      <c r="H1640" s="20">
        <f t="shared" si="127"/>
        <v>0</v>
      </c>
      <c r="I1640" s="21">
        <f t="shared" si="128"/>
        <v>0</v>
      </c>
      <c r="J1640" s="21">
        <f t="shared" si="128"/>
        <v>0</v>
      </c>
    </row>
    <row r="1641" spans="1:10" x14ac:dyDescent="0.3">
      <c r="A1641" s="2" t="s">
        <v>1551</v>
      </c>
      <c r="B1641" s="1" t="s">
        <v>2152</v>
      </c>
      <c r="C1641" s="6" t="s">
        <v>3704</v>
      </c>
      <c r="D1641" s="6" t="s">
        <v>5859</v>
      </c>
      <c r="E1641" s="20">
        <f t="shared" si="126"/>
        <v>0</v>
      </c>
      <c r="F1641" s="20"/>
      <c r="G1641" s="24" t="s">
        <v>8096</v>
      </c>
      <c r="H1641" s="20">
        <f t="shared" si="127"/>
        <v>0</v>
      </c>
      <c r="I1641" s="21">
        <f t="shared" si="128"/>
        <v>0</v>
      </c>
      <c r="J1641" s="21">
        <f t="shared" si="128"/>
        <v>0</v>
      </c>
    </row>
    <row r="1642" spans="1:10" x14ac:dyDescent="0.3">
      <c r="A1642" s="2" t="s">
        <v>1552</v>
      </c>
      <c r="B1642" s="1" t="s">
        <v>2152</v>
      </c>
      <c r="C1642" s="6" t="s">
        <v>3705</v>
      </c>
      <c r="D1642" s="6" t="s">
        <v>5860</v>
      </c>
      <c r="E1642" s="20">
        <f t="shared" si="126"/>
        <v>0</v>
      </c>
      <c r="F1642" s="20"/>
      <c r="G1642" s="24" t="s">
        <v>8097</v>
      </c>
      <c r="H1642" s="20">
        <f t="shared" si="127"/>
        <v>0</v>
      </c>
      <c r="I1642" s="21">
        <f t="shared" si="128"/>
        <v>0</v>
      </c>
      <c r="J1642" s="21">
        <f t="shared" si="128"/>
        <v>0</v>
      </c>
    </row>
    <row r="1643" spans="1:10" x14ac:dyDescent="0.3">
      <c r="A1643" s="2" t="s">
        <v>1553</v>
      </c>
      <c r="B1643" s="1" t="s">
        <v>2152</v>
      </c>
      <c r="C1643" s="6" t="s">
        <v>3706</v>
      </c>
      <c r="D1643" s="6" t="s">
        <v>5861</v>
      </c>
      <c r="E1643" s="20">
        <f t="shared" si="126"/>
        <v>0</v>
      </c>
      <c r="F1643" s="20"/>
      <c r="G1643" s="24" t="s">
        <v>8098</v>
      </c>
      <c r="H1643" s="20">
        <f t="shared" si="127"/>
        <v>0</v>
      </c>
      <c r="I1643" s="21">
        <f t="shared" si="128"/>
        <v>0</v>
      </c>
      <c r="J1643" s="21">
        <f t="shared" si="128"/>
        <v>0</v>
      </c>
    </row>
    <row r="1644" spans="1:10" x14ac:dyDescent="0.3">
      <c r="A1644" s="2" t="s">
        <v>1554</v>
      </c>
      <c r="B1644" s="1" t="s">
        <v>2152</v>
      </c>
      <c r="C1644" s="6" t="s">
        <v>3707</v>
      </c>
      <c r="D1644" s="6" t="s">
        <v>5862</v>
      </c>
      <c r="E1644" s="20">
        <f t="shared" si="126"/>
        <v>0</v>
      </c>
      <c r="F1644" s="20"/>
      <c r="G1644" s="24" t="s">
        <v>8099</v>
      </c>
      <c r="H1644" s="20">
        <f t="shared" si="127"/>
        <v>0</v>
      </c>
      <c r="I1644" s="21">
        <f t="shared" si="128"/>
        <v>0</v>
      </c>
      <c r="J1644" s="21">
        <f t="shared" si="128"/>
        <v>0</v>
      </c>
    </row>
    <row r="1645" spans="1:10" x14ac:dyDescent="0.3">
      <c r="A1645" s="2" t="s">
        <v>1555</v>
      </c>
      <c r="B1645" s="1" t="s">
        <v>2152</v>
      </c>
      <c r="C1645" s="6" t="s">
        <v>3708</v>
      </c>
      <c r="D1645" s="6" t="s">
        <v>5863</v>
      </c>
      <c r="E1645" s="20">
        <f t="shared" si="126"/>
        <v>0</v>
      </c>
      <c r="F1645" s="20"/>
      <c r="G1645" s="24" t="s">
        <v>8100</v>
      </c>
      <c r="H1645" s="20">
        <f t="shared" si="127"/>
        <v>0</v>
      </c>
      <c r="I1645" s="21">
        <f t="shared" si="128"/>
        <v>0</v>
      </c>
      <c r="J1645" s="21">
        <f t="shared" si="128"/>
        <v>0</v>
      </c>
    </row>
    <row r="1646" spans="1:10" x14ac:dyDescent="0.3">
      <c r="A1646" s="2" t="s">
        <v>1556</v>
      </c>
      <c r="B1646" s="1" t="s">
        <v>2152</v>
      </c>
      <c r="C1646" s="6" t="s">
        <v>3709</v>
      </c>
      <c r="D1646" s="6" t="s">
        <v>5864</v>
      </c>
      <c r="E1646" s="20">
        <f t="shared" si="126"/>
        <v>0</v>
      </c>
      <c r="F1646" s="20"/>
      <c r="G1646" s="24" t="s">
        <v>8101</v>
      </c>
      <c r="H1646" s="20">
        <f t="shared" si="127"/>
        <v>0</v>
      </c>
      <c r="I1646" s="21">
        <f t="shared" si="128"/>
        <v>0</v>
      </c>
      <c r="J1646" s="21">
        <f t="shared" si="128"/>
        <v>0</v>
      </c>
    </row>
    <row r="1647" spans="1:10" x14ac:dyDescent="0.3">
      <c r="A1647" s="2" t="s">
        <v>1557</v>
      </c>
      <c r="B1647" s="1" t="s">
        <v>2152</v>
      </c>
      <c r="C1647" s="6" t="s">
        <v>3710</v>
      </c>
      <c r="D1647" s="6" t="s">
        <v>5865</v>
      </c>
      <c r="E1647" s="20">
        <f t="shared" si="126"/>
        <v>0</v>
      </c>
      <c r="F1647" s="20"/>
      <c r="G1647" s="24" t="s">
        <v>8102</v>
      </c>
      <c r="H1647" s="20">
        <f t="shared" si="127"/>
        <v>0</v>
      </c>
      <c r="I1647" s="21">
        <f t="shared" si="128"/>
        <v>0</v>
      </c>
      <c r="J1647" s="21">
        <f t="shared" si="128"/>
        <v>0</v>
      </c>
    </row>
    <row r="1648" spans="1:10" x14ac:dyDescent="0.3">
      <c r="A1648" s="2" t="s">
        <v>1558</v>
      </c>
      <c r="B1648" s="1" t="s">
        <v>2152</v>
      </c>
      <c r="C1648" s="6" t="s">
        <v>3711</v>
      </c>
      <c r="D1648" s="6" t="s">
        <v>5866</v>
      </c>
      <c r="E1648" s="20">
        <f t="shared" si="126"/>
        <v>0</v>
      </c>
      <c r="F1648" s="20"/>
      <c r="G1648" s="24" t="s">
        <v>8103</v>
      </c>
      <c r="H1648" s="20">
        <f t="shared" si="127"/>
        <v>0</v>
      </c>
      <c r="I1648" s="21">
        <f t="shared" si="128"/>
        <v>0</v>
      </c>
      <c r="J1648" s="21">
        <f t="shared" si="128"/>
        <v>0</v>
      </c>
    </row>
    <row r="1649" spans="1:10" x14ac:dyDescent="0.3">
      <c r="A1649" s="2" t="s">
        <v>1559</v>
      </c>
      <c r="B1649" s="1" t="s">
        <v>2152</v>
      </c>
      <c r="C1649" s="6" t="s">
        <v>3712</v>
      </c>
      <c r="D1649" s="6" t="s">
        <v>5867</v>
      </c>
      <c r="E1649" s="20">
        <f t="shared" si="126"/>
        <v>0</v>
      </c>
      <c r="F1649" s="20"/>
      <c r="G1649" s="24" t="s">
        <v>8104</v>
      </c>
      <c r="H1649" s="20">
        <f t="shared" si="127"/>
        <v>0</v>
      </c>
      <c r="I1649" s="21">
        <f t="shared" si="128"/>
        <v>0</v>
      </c>
      <c r="J1649" s="21">
        <f t="shared" si="128"/>
        <v>0</v>
      </c>
    </row>
    <row r="1650" spans="1:10" x14ac:dyDescent="0.3">
      <c r="A1650" s="2" t="s">
        <v>1560</v>
      </c>
      <c r="B1650" s="1" t="s">
        <v>2152</v>
      </c>
      <c r="C1650" s="6" t="s">
        <v>3713</v>
      </c>
      <c r="D1650" s="6" t="s">
        <v>5868</v>
      </c>
      <c r="E1650" s="20">
        <f t="shared" si="126"/>
        <v>0</v>
      </c>
      <c r="F1650" s="20"/>
      <c r="G1650" s="24" t="s">
        <v>8105</v>
      </c>
      <c r="H1650" s="20">
        <f t="shared" si="127"/>
        <v>0</v>
      </c>
      <c r="I1650" s="21">
        <f t="shared" si="128"/>
        <v>0</v>
      </c>
      <c r="J1650" s="21">
        <f t="shared" si="128"/>
        <v>0</v>
      </c>
    </row>
    <row r="1651" spans="1:10" x14ac:dyDescent="0.3">
      <c r="A1651" s="2" t="s">
        <v>1561</v>
      </c>
      <c r="B1651" s="1" t="s">
        <v>2152</v>
      </c>
      <c r="C1651" s="6" t="s">
        <v>3714</v>
      </c>
      <c r="D1651" s="6" t="s">
        <v>5869</v>
      </c>
      <c r="E1651" s="20">
        <f t="shared" si="126"/>
        <v>0</v>
      </c>
      <c r="F1651" s="20"/>
      <c r="G1651" s="24" t="s">
        <v>8106</v>
      </c>
      <c r="H1651" s="20">
        <f t="shared" si="127"/>
        <v>0</v>
      </c>
      <c r="I1651" s="21">
        <f t="shared" si="128"/>
        <v>0</v>
      </c>
      <c r="J1651" s="21">
        <f t="shared" si="128"/>
        <v>0</v>
      </c>
    </row>
    <row r="1652" spans="1:10" x14ac:dyDescent="0.3">
      <c r="A1652" s="2" t="s">
        <v>1562</v>
      </c>
      <c r="B1652" s="1" t="s">
        <v>2152</v>
      </c>
      <c r="C1652" s="6" t="s">
        <v>3715</v>
      </c>
      <c r="D1652" s="6" t="s">
        <v>5870</v>
      </c>
      <c r="E1652" s="20">
        <f t="shared" si="126"/>
        <v>0</v>
      </c>
      <c r="F1652" s="20"/>
      <c r="G1652" s="24" t="s">
        <v>8107</v>
      </c>
      <c r="H1652" s="20">
        <f t="shared" si="127"/>
        <v>0</v>
      </c>
      <c r="I1652" s="21">
        <f t="shared" si="128"/>
        <v>0</v>
      </c>
      <c r="J1652" s="21">
        <f t="shared" si="128"/>
        <v>0</v>
      </c>
    </row>
    <row r="1653" spans="1:10" x14ac:dyDescent="0.3">
      <c r="A1653" s="2" t="s">
        <v>1563</v>
      </c>
      <c r="B1653" s="1" t="s">
        <v>2152</v>
      </c>
      <c r="C1653" s="6" t="s">
        <v>3716</v>
      </c>
      <c r="D1653" s="6" t="s">
        <v>5871</v>
      </c>
      <c r="E1653" s="20">
        <f t="shared" si="126"/>
        <v>0</v>
      </c>
      <c r="F1653" s="20"/>
      <c r="G1653" s="24" t="s">
        <v>8108</v>
      </c>
      <c r="H1653" s="20">
        <f t="shared" si="127"/>
        <v>0</v>
      </c>
      <c r="I1653" s="21">
        <f t="shared" si="128"/>
        <v>0</v>
      </c>
      <c r="J1653" s="21">
        <f t="shared" si="128"/>
        <v>0</v>
      </c>
    </row>
    <row r="1654" spans="1:10" x14ac:dyDescent="0.3">
      <c r="A1654" s="2" t="s">
        <v>1564</v>
      </c>
      <c r="B1654" s="1" t="s">
        <v>2152</v>
      </c>
      <c r="C1654" s="6" t="s">
        <v>3717</v>
      </c>
      <c r="D1654" s="6" t="s">
        <v>5872</v>
      </c>
      <c r="E1654" s="20">
        <f t="shared" si="126"/>
        <v>0</v>
      </c>
      <c r="F1654" s="20"/>
      <c r="G1654" s="24" t="s">
        <v>8109</v>
      </c>
      <c r="H1654" s="20">
        <f t="shared" si="127"/>
        <v>0</v>
      </c>
      <c r="I1654" s="21">
        <f t="shared" si="128"/>
        <v>0</v>
      </c>
      <c r="J1654" s="21">
        <f t="shared" si="128"/>
        <v>0</v>
      </c>
    </row>
    <row r="1655" spans="1:10" x14ac:dyDescent="0.3">
      <c r="A1655" s="2" t="s">
        <v>1565</v>
      </c>
      <c r="B1655" s="1" t="s">
        <v>2152</v>
      </c>
      <c r="C1655" s="6" t="s">
        <v>3718</v>
      </c>
      <c r="D1655" s="6" t="s">
        <v>5873</v>
      </c>
      <c r="E1655" s="20">
        <f t="shared" si="126"/>
        <v>0</v>
      </c>
      <c r="F1655" s="20"/>
      <c r="G1655" s="24" t="s">
        <v>8110</v>
      </c>
      <c r="H1655" s="20">
        <f t="shared" si="127"/>
        <v>0</v>
      </c>
      <c r="I1655" s="21">
        <f t="shared" si="128"/>
        <v>0</v>
      </c>
      <c r="J1655" s="21">
        <f t="shared" si="128"/>
        <v>0</v>
      </c>
    </row>
    <row r="1656" spans="1:10" x14ac:dyDescent="0.3">
      <c r="A1656" s="2" t="s">
        <v>1566</v>
      </c>
      <c r="B1656" s="1" t="s">
        <v>2152</v>
      </c>
      <c r="C1656" s="6" t="s">
        <v>3719</v>
      </c>
      <c r="D1656" s="6" t="s">
        <v>5874</v>
      </c>
      <c r="E1656" s="20">
        <f t="shared" si="126"/>
        <v>0</v>
      </c>
      <c r="F1656" s="20"/>
      <c r="G1656" s="24" t="s">
        <v>8111</v>
      </c>
      <c r="H1656" s="20">
        <f t="shared" si="127"/>
        <v>0</v>
      </c>
      <c r="I1656" s="21">
        <f t="shared" si="128"/>
        <v>0</v>
      </c>
      <c r="J1656" s="21">
        <f t="shared" si="128"/>
        <v>0</v>
      </c>
    </row>
    <row r="1657" spans="1:10" x14ac:dyDescent="0.3">
      <c r="A1657" s="2" t="s">
        <v>1567</v>
      </c>
      <c r="B1657" s="1" t="s">
        <v>2152</v>
      </c>
      <c r="C1657" s="6" t="s">
        <v>3720</v>
      </c>
      <c r="D1657" s="6" t="s">
        <v>5875</v>
      </c>
      <c r="E1657" s="20">
        <f t="shared" si="126"/>
        <v>0</v>
      </c>
      <c r="F1657" s="20"/>
      <c r="G1657" s="24" t="s">
        <v>8112</v>
      </c>
      <c r="H1657" s="20">
        <f t="shared" si="127"/>
        <v>0</v>
      </c>
      <c r="I1657" s="21">
        <f>W1657</f>
        <v>0</v>
      </c>
      <c r="J1657" s="21">
        <f t="shared" si="128"/>
        <v>0</v>
      </c>
    </row>
    <row r="1658" spans="1:10" x14ac:dyDescent="0.3">
      <c r="A1658" s="2" t="s">
        <v>1568</v>
      </c>
      <c r="B1658" s="1" t="s">
        <v>2152</v>
      </c>
      <c r="C1658" s="6" t="s">
        <v>3721</v>
      </c>
      <c r="D1658" s="6" t="s">
        <v>5876</v>
      </c>
      <c r="E1658" s="20">
        <f t="shared" si="126"/>
        <v>0</v>
      </c>
      <c r="F1658" s="20"/>
      <c r="G1658" s="24" t="s">
        <v>8113</v>
      </c>
      <c r="H1658" s="20">
        <f t="shared" si="127"/>
        <v>0</v>
      </c>
      <c r="I1658" s="21">
        <f t="shared" si="128"/>
        <v>0</v>
      </c>
      <c r="J1658" s="21">
        <f t="shared" si="128"/>
        <v>0</v>
      </c>
    </row>
    <row r="1659" spans="1:10" x14ac:dyDescent="0.3">
      <c r="A1659" s="2" t="s">
        <v>1569</v>
      </c>
      <c r="B1659" s="1" t="s">
        <v>2152</v>
      </c>
      <c r="C1659" s="6" t="s">
        <v>3722</v>
      </c>
      <c r="D1659" s="6" t="s">
        <v>5877</v>
      </c>
      <c r="E1659" s="20">
        <f t="shared" si="126"/>
        <v>0</v>
      </c>
      <c r="F1659" s="20"/>
      <c r="G1659" s="24" t="s">
        <v>8114</v>
      </c>
      <c r="H1659" s="20">
        <f t="shared" si="127"/>
        <v>0</v>
      </c>
      <c r="I1659" s="21">
        <f>W1659</f>
        <v>0</v>
      </c>
      <c r="J1659" s="21">
        <f t="shared" si="128"/>
        <v>0</v>
      </c>
    </row>
    <row r="1660" spans="1:10" x14ac:dyDescent="0.3">
      <c r="A1660" s="2" t="s">
        <v>1570</v>
      </c>
      <c r="B1660" s="1" t="s">
        <v>2152</v>
      </c>
      <c r="C1660" s="6" t="s">
        <v>3723</v>
      </c>
      <c r="D1660" s="6" t="s">
        <v>5878</v>
      </c>
      <c r="E1660" s="20">
        <f t="shared" si="126"/>
        <v>0</v>
      </c>
      <c r="F1660" s="20"/>
      <c r="G1660" s="24" t="s">
        <v>8115</v>
      </c>
      <c r="H1660" s="20">
        <f t="shared" si="127"/>
        <v>0</v>
      </c>
      <c r="I1660" s="21">
        <f t="shared" si="128"/>
        <v>0</v>
      </c>
      <c r="J1660" s="21">
        <f t="shared" si="128"/>
        <v>0</v>
      </c>
    </row>
    <row r="1661" spans="1:10" x14ac:dyDescent="0.3">
      <c r="A1661" s="2" t="s">
        <v>1571</v>
      </c>
      <c r="B1661" s="1" t="s">
        <v>2152</v>
      </c>
      <c r="C1661" s="6" t="s">
        <v>3724</v>
      </c>
      <c r="D1661" s="6" t="s">
        <v>5879</v>
      </c>
      <c r="E1661" s="20">
        <f t="shared" si="126"/>
        <v>0</v>
      </c>
      <c r="F1661" s="20"/>
      <c r="G1661" s="24" t="s">
        <v>8116</v>
      </c>
      <c r="H1661" s="20">
        <f t="shared" si="127"/>
        <v>0</v>
      </c>
      <c r="I1661" s="21">
        <f t="shared" si="128"/>
        <v>0</v>
      </c>
      <c r="J1661" s="21">
        <f t="shared" si="128"/>
        <v>0</v>
      </c>
    </row>
    <row r="1662" spans="1:10" x14ac:dyDescent="0.3">
      <c r="A1662" s="2" t="s">
        <v>1572</v>
      </c>
      <c r="B1662" s="1" t="s">
        <v>2152</v>
      </c>
      <c r="C1662" s="6" t="s">
        <v>3725</v>
      </c>
      <c r="D1662" s="6" t="s">
        <v>5880</v>
      </c>
      <c r="E1662" s="20">
        <f t="shared" si="126"/>
        <v>0</v>
      </c>
      <c r="F1662" s="20"/>
      <c r="G1662" s="24" t="s">
        <v>8117</v>
      </c>
      <c r="H1662" s="20">
        <f t="shared" si="127"/>
        <v>0</v>
      </c>
      <c r="I1662" s="21">
        <f>W1662</f>
        <v>0</v>
      </c>
      <c r="J1662" s="21">
        <f t="shared" si="128"/>
        <v>0</v>
      </c>
    </row>
    <row r="1663" spans="1:10" x14ac:dyDescent="0.3">
      <c r="A1663" s="2" t="s">
        <v>1573</v>
      </c>
      <c r="B1663" s="1" t="s">
        <v>2152</v>
      </c>
      <c r="C1663" s="6" t="s">
        <v>3726</v>
      </c>
      <c r="D1663" s="6" t="s">
        <v>5881</v>
      </c>
      <c r="E1663" s="20">
        <f t="shared" si="126"/>
        <v>0</v>
      </c>
      <c r="F1663" s="20">
        <v>850</v>
      </c>
      <c r="G1663" s="24" t="s">
        <v>8118</v>
      </c>
      <c r="H1663" s="20">
        <f t="shared" si="127"/>
        <v>0</v>
      </c>
      <c r="I1663" s="21">
        <f t="shared" si="128"/>
        <v>0</v>
      </c>
      <c r="J1663" s="21">
        <f t="shared" si="128"/>
        <v>0</v>
      </c>
    </row>
    <row r="1664" spans="1:10" x14ac:dyDescent="0.3">
      <c r="A1664" s="2" t="s">
        <v>1574</v>
      </c>
      <c r="B1664" s="1" t="s">
        <v>2152</v>
      </c>
      <c r="C1664" s="6" t="s">
        <v>3727</v>
      </c>
      <c r="D1664" s="6" t="s">
        <v>5882</v>
      </c>
      <c r="E1664" s="20">
        <f t="shared" si="126"/>
        <v>0</v>
      </c>
      <c r="F1664" s="20"/>
      <c r="G1664" s="24" t="s">
        <v>8119</v>
      </c>
      <c r="H1664" s="20">
        <f t="shared" si="127"/>
        <v>0</v>
      </c>
      <c r="I1664" s="21">
        <f t="shared" si="128"/>
        <v>0</v>
      </c>
      <c r="J1664" s="21">
        <f t="shared" si="128"/>
        <v>0</v>
      </c>
    </row>
    <row r="1665" spans="1:10" x14ac:dyDescent="0.3">
      <c r="A1665" s="2" t="s">
        <v>1575</v>
      </c>
      <c r="B1665" s="1" t="s">
        <v>2152</v>
      </c>
      <c r="C1665" s="6" t="s">
        <v>3728</v>
      </c>
      <c r="D1665" s="6" t="s">
        <v>5883</v>
      </c>
      <c r="E1665" s="20">
        <f t="shared" si="126"/>
        <v>0</v>
      </c>
      <c r="F1665" s="20"/>
      <c r="G1665" s="24" t="s">
        <v>8120</v>
      </c>
      <c r="H1665" s="20">
        <f t="shared" si="127"/>
        <v>0</v>
      </c>
      <c r="I1665" s="21">
        <f>W1665</f>
        <v>0</v>
      </c>
      <c r="J1665" s="21">
        <f t="shared" si="128"/>
        <v>0</v>
      </c>
    </row>
    <row r="1666" spans="1:10" x14ac:dyDescent="0.3">
      <c r="A1666" s="2" t="s">
        <v>1576</v>
      </c>
      <c r="B1666" s="1" t="s">
        <v>2152</v>
      </c>
      <c r="C1666" s="6" t="s">
        <v>3729</v>
      </c>
      <c r="D1666" s="6" t="s">
        <v>5884</v>
      </c>
      <c r="E1666" s="20">
        <f t="shared" si="126"/>
        <v>0</v>
      </c>
      <c r="F1666" s="20"/>
      <c r="G1666" s="24" t="s">
        <v>8121</v>
      </c>
      <c r="H1666" s="20">
        <f t="shared" si="127"/>
        <v>0</v>
      </c>
      <c r="I1666" s="21">
        <f t="shared" si="128"/>
        <v>0</v>
      </c>
      <c r="J1666" s="21">
        <f t="shared" si="128"/>
        <v>0</v>
      </c>
    </row>
    <row r="1667" spans="1:10" x14ac:dyDescent="0.3">
      <c r="A1667" s="2" t="s">
        <v>1577</v>
      </c>
      <c r="B1667" s="1" t="s">
        <v>2152</v>
      </c>
      <c r="C1667" s="6" t="s">
        <v>3730</v>
      </c>
      <c r="D1667" s="6" t="s">
        <v>5885</v>
      </c>
      <c r="E1667" s="20">
        <f t="shared" si="126"/>
        <v>0</v>
      </c>
      <c r="F1667" s="20"/>
      <c r="G1667" s="24" t="s">
        <v>8122</v>
      </c>
      <c r="H1667" s="20">
        <f t="shared" si="127"/>
        <v>0</v>
      </c>
      <c r="I1667" s="21">
        <f>W1667</f>
        <v>0</v>
      </c>
      <c r="J1667" s="21">
        <f t="shared" si="128"/>
        <v>0</v>
      </c>
    </row>
    <row r="1668" spans="1:10" x14ac:dyDescent="0.3">
      <c r="A1668" s="2" t="s">
        <v>1578</v>
      </c>
      <c r="B1668" s="1" t="s">
        <v>2152</v>
      </c>
      <c r="C1668" s="6" t="s">
        <v>3731</v>
      </c>
      <c r="D1668" s="6" t="s">
        <v>5886</v>
      </c>
      <c r="E1668" s="20">
        <f t="shared" si="126"/>
        <v>0</v>
      </c>
      <c r="F1668" s="20"/>
      <c r="G1668" s="24" t="s">
        <v>8123</v>
      </c>
      <c r="H1668" s="20">
        <f t="shared" si="127"/>
        <v>0</v>
      </c>
      <c r="I1668" s="21">
        <f t="shared" si="128"/>
        <v>0</v>
      </c>
      <c r="J1668" s="21">
        <f t="shared" si="128"/>
        <v>0</v>
      </c>
    </row>
    <row r="1669" spans="1:10" x14ac:dyDescent="0.3">
      <c r="A1669" s="2" t="s">
        <v>1579</v>
      </c>
      <c r="B1669" s="1" t="s">
        <v>2152</v>
      </c>
      <c r="C1669" s="6" t="s">
        <v>3732</v>
      </c>
      <c r="D1669" s="6" t="s">
        <v>5887</v>
      </c>
      <c r="E1669" s="20">
        <f t="shared" si="126"/>
        <v>0</v>
      </c>
      <c r="F1669" s="20"/>
      <c r="G1669" s="24" t="s">
        <v>8124</v>
      </c>
      <c r="H1669" s="20">
        <f t="shared" si="127"/>
        <v>0</v>
      </c>
      <c r="I1669" s="21">
        <f>W1669</f>
        <v>0</v>
      </c>
      <c r="J1669" s="21">
        <f t="shared" si="128"/>
        <v>0</v>
      </c>
    </row>
    <row r="1670" spans="1:10" x14ac:dyDescent="0.3">
      <c r="A1670" s="2" t="s">
        <v>1580</v>
      </c>
      <c r="B1670" s="1" t="s">
        <v>2152</v>
      </c>
      <c r="C1670" s="6" t="s">
        <v>3733</v>
      </c>
      <c r="D1670" s="6" t="s">
        <v>5888</v>
      </c>
      <c r="E1670" s="20">
        <f t="shared" si="126"/>
        <v>0</v>
      </c>
      <c r="F1670" s="20">
        <v>1450</v>
      </c>
      <c r="G1670" s="24" t="s">
        <v>8125</v>
      </c>
      <c r="H1670" s="20">
        <f t="shared" si="127"/>
        <v>0</v>
      </c>
      <c r="I1670" s="21">
        <f t="shared" si="128"/>
        <v>0</v>
      </c>
      <c r="J1670" s="21">
        <f t="shared" si="128"/>
        <v>0</v>
      </c>
    </row>
    <row r="1671" spans="1:10" x14ac:dyDescent="0.3">
      <c r="A1671" s="2" t="s">
        <v>1581</v>
      </c>
      <c r="B1671" s="1" t="s">
        <v>2152</v>
      </c>
      <c r="C1671" s="6" t="s">
        <v>3734</v>
      </c>
      <c r="D1671" s="6" t="s">
        <v>5889</v>
      </c>
      <c r="E1671" s="20">
        <f t="shared" si="126"/>
        <v>0</v>
      </c>
      <c r="F1671" s="20"/>
      <c r="G1671" s="24" t="s">
        <v>8126</v>
      </c>
      <c r="H1671" s="20">
        <f t="shared" si="127"/>
        <v>0</v>
      </c>
      <c r="I1671" s="21">
        <f>W1671</f>
        <v>0</v>
      </c>
      <c r="J1671" s="21">
        <f t="shared" si="128"/>
        <v>0</v>
      </c>
    </row>
    <row r="1672" spans="1:10" x14ac:dyDescent="0.3">
      <c r="A1672" s="2" t="s">
        <v>1582</v>
      </c>
      <c r="B1672" s="1" t="s">
        <v>2152</v>
      </c>
      <c r="C1672" s="6" t="s">
        <v>3735</v>
      </c>
      <c r="D1672" s="6" t="s">
        <v>5890</v>
      </c>
      <c r="E1672" s="20">
        <f t="shared" si="126"/>
        <v>0</v>
      </c>
      <c r="F1672" s="20"/>
      <c r="G1672" s="24" t="s">
        <v>8127</v>
      </c>
      <c r="H1672" s="20">
        <f t="shared" si="127"/>
        <v>0</v>
      </c>
      <c r="I1672" s="21">
        <f t="shared" si="128"/>
        <v>0</v>
      </c>
      <c r="J1672" s="21">
        <f t="shared" si="128"/>
        <v>0</v>
      </c>
    </row>
    <row r="1673" spans="1:10" x14ac:dyDescent="0.3">
      <c r="A1673" s="2" t="s">
        <v>1583</v>
      </c>
      <c r="B1673" s="1" t="s">
        <v>2152</v>
      </c>
      <c r="C1673" s="6" t="s">
        <v>3736</v>
      </c>
      <c r="D1673" s="6" t="s">
        <v>5891</v>
      </c>
      <c r="E1673" s="20">
        <f t="shared" ref="E1673:E1736" si="129">H1673*1.8*1.4</f>
        <v>0</v>
      </c>
      <c r="F1673" s="20"/>
      <c r="G1673" s="24" t="s">
        <v>8128</v>
      </c>
      <c r="H1673" s="20">
        <f t="shared" ref="H1673:H1736" si="130">K1673*1.8*1.4</f>
        <v>0</v>
      </c>
      <c r="I1673" s="21">
        <f>W1673</f>
        <v>0</v>
      </c>
      <c r="J1673" s="21">
        <f t="shared" si="128"/>
        <v>0</v>
      </c>
    </row>
    <row r="1674" spans="1:10" x14ac:dyDescent="0.3">
      <c r="A1674" s="2" t="s">
        <v>1584</v>
      </c>
      <c r="B1674" s="1" t="s">
        <v>2152</v>
      </c>
      <c r="C1674" s="6" t="s">
        <v>3737</v>
      </c>
      <c r="D1674" s="6" t="s">
        <v>5892</v>
      </c>
      <c r="E1674" s="20">
        <f t="shared" si="129"/>
        <v>0</v>
      </c>
      <c r="F1674" s="20">
        <v>2000</v>
      </c>
      <c r="G1674" s="24" t="s">
        <v>8129</v>
      </c>
      <c r="H1674" s="20">
        <f t="shared" si="130"/>
        <v>0</v>
      </c>
      <c r="I1674" s="21">
        <f t="shared" si="128"/>
        <v>0</v>
      </c>
      <c r="J1674" s="21">
        <f t="shared" si="128"/>
        <v>0</v>
      </c>
    </row>
    <row r="1675" spans="1:10" x14ac:dyDescent="0.3">
      <c r="A1675" s="2" t="s">
        <v>1585</v>
      </c>
      <c r="B1675" s="1" t="s">
        <v>2152</v>
      </c>
      <c r="C1675" s="6" t="s">
        <v>3738</v>
      </c>
      <c r="D1675" s="6" t="s">
        <v>5893</v>
      </c>
      <c r="E1675" s="20">
        <f t="shared" si="129"/>
        <v>0</v>
      </c>
      <c r="F1675" s="20"/>
      <c r="G1675" s="24" t="s">
        <v>8130</v>
      </c>
      <c r="H1675" s="20">
        <f t="shared" si="130"/>
        <v>0</v>
      </c>
      <c r="I1675" s="21">
        <f t="shared" si="128"/>
        <v>0</v>
      </c>
      <c r="J1675" s="21">
        <f t="shared" si="128"/>
        <v>0</v>
      </c>
    </row>
    <row r="1676" spans="1:10" x14ac:dyDescent="0.3">
      <c r="A1676" s="2" t="s">
        <v>1586</v>
      </c>
      <c r="B1676" s="1" t="s">
        <v>2152</v>
      </c>
      <c r="C1676" s="6" t="s">
        <v>3739</v>
      </c>
      <c r="D1676" s="6" t="s">
        <v>5894</v>
      </c>
      <c r="E1676" s="20">
        <f t="shared" si="129"/>
        <v>0</v>
      </c>
      <c r="F1676" s="20">
        <v>5250</v>
      </c>
      <c r="G1676" s="24" t="s">
        <v>8131</v>
      </c>
      <c r="H1676" s="20">
        <f t="shared" si="130"/>
        <v>0</v>
      </c>
      <c r="I1676" s="21">
        <f t="shared" si="128"/>
        <v>0</v>
      </c>
      <c r="J1676" s="21">
        <f t="shared" si="128"/>
        <v>0</v>
      </c>
    </row>
    <row r="1677" spans="1:10" x14ac:dyDescent="0.3">
      <c r="A1677" s="2" t="s">
        <v>1587</v>
      </c>
      <c r="B1677" s="1" t="s">
        <v>2152</v>
      </c>
      <c r="C1677" s="6" t="s">
        <v>3740</v>
      </c>
      <c r="D1677" s="6" t="s">
        <v>5895</v>
      </c>
      <c r="E1677" s="20">
        <f t="shared" si="129"/>
        <v>0</v>
      </c>
      <c r="F1677" s="20"/>
      <c r="G1677" s="24" t="s">
        <v>8132</v>
      </c>
      <c r="H1677" s="20">
        <f t="shared" si="130"/>
        <v>0</v>
      </c>
      <c r="I1677" s="21">
        <f t="shared" si="128"/>
        <v>0</v>
      </c>
      <c r="J1677" s="21">
        <f t="shared" si="128"/>
        <v>0</v>
      </c>
    </row>
    <row r="1678" spans="1:10" x14ac:dyDescent="0.3">
      <c r="A1678" s="2" t="s">
        <v>1588</v>
      </c>
      <c r="B1678" s="1" t="s">
        <v>2152</v>
      </c>
      <c r="C1678" s="6" t="s">
        <v>3741</v>
      </c>
      <c r="D1678" s="6" t="s">
        <v>5896</v>
      </c>
      <c r="E1678" s="20">
        <f t="shared" si="129"/>
        <v>0</v>
      </c>
      <c r="F1678" s="20"/>
      <c r="G1678" s="24" t="s">
        <v>8133</v>
      </c>
      <c r="H1678" s="20">
        <f t="shared" si="130"/>
        <v>0</v>
      </c>
      <c r="I1678" s="21">
        <f t="shared" si="128"/>
        <v>0</v>
      </c>
      <c r="J1678" s="21">
        <f t="shared" si="128"/>
        <v>0</v>
      </c>
    </row>
    <row r="1679" spans="1:10" x14ac:dyDescent="0.3">
      <c r="A1679" s="2" t="s">
        <v>1589</v>
      </c>
      <c r="B1679" s="1" t="s">
        <v>2152</v>
      </c>
      <c r="C1679" s="6" t="s">
        <v>3742</v>
      </c>
      <c r="D1679" s="6" t="s">
        <v>5897</v>
      </c>
      <c r="E1679" s="20">
        <f t="shared" si="129"/>
        <v>0</v>
      </c>
      <c r="F1679" s="20"/>
      <c r="G1679" s="24" t="s">
        <v>8134</v>
      </c>
      <c r="H1679" s="20">
        <f t="shared" si="130"/>
        <v>0</v>
      </c>
      <c r="I1679" s="21">
        <f t="shared" si="128"/>
        <v>0</v>
      </c>
      <c r="J1679" s="21">
        <f t="shared" si="128"/>
        <v>0</v>
      </c>
    </row>
    <row r="1680" spans="1:10" x14ac:dyDescent="0.3">
      <c r="A1680" s="2" t="s">
        <v>1590</v>
      </c>
      <c r="B1680" s="1" t="s">
        <v>2152</v>
      </c>
      <c r="C1680" s="6" t="s">
        <v>3743</v>
      </c>
      <c r="D1680" s="6" t="s">
        <v>5898</v>
      </c>
      <c r="E1680" s="20">
        <f t="shared" si="129"/>
        <v>0</v>
      </c>
      <c r="F1680" s="20"/>
      <c r="G1680" s="24" t="s">
        <v>8135</v>
      </c>
      <c r="H1680" s="20">
        <f t="shared" si="130"/>
        <v>0</v>
      </c>
      <c r="I1680" s="21">
        <f t="shared" si="128"/>
        <v>0</v>
      </c>
      <c r="J1680" s="21">
        <f t="shared" si="128"/>
        <v>0</v>
      </c>
    </row>
    <row r="1681" spans="1:10" x14ac:dyDescent="0.3">
      <c r="A1681" s="2" t="s">
        <v>1591</v>
      </c>
      <c r="B1681" s="1" t="s">
        <v>2152</v>
      </c>
      <c r="C1681" s="6" t="s">
        <v>3744</v>
      </c>
      <c r="D1681" s="6" t="s">
        <v>5899</v>
      </c>
      <c r="E1681" s="20">
        <f t="shared" si="129"/>
        <v>0</v>
      </c>
      <c r="F1681" s="20"/>
      <c r="G1681" s="24" t="s">
        <v>8136</v>
      </c>
      <c r="H1681" s="20">
        <f t="shared" si="130"/>
        <v>0</v>
      </c>
      <c r="I1681" s="21">
        <f t="shared" ref="I1681:J1683" si="131">W1681</f>
        <v>0</v>
      </c>
      <c r="J1681" s="21">
        <f t="shared" si="131"/>
        <v>0</v>
      </c>
    </row>
    <row r="1682" spans="1:10" x14ac:dyDescent="0.3">
      <c r="A1682" s="2" t="s">
        <v>1592</v>
      </c>
      <c r="B1682" s="1" t="s">
        <v>2152</v>
      </c>
      <c r="C1682" s="6" t="s">
        <v>3745</v>
      </c>
      <c r="D1682" s="6" t="s">
        <v>5900</v>
      </c>
      <c r="E1682" s="20">
        <f t="shared" si="129"/>
        <v>0</v>
      </c>
      <c r="F1682" s="20"/>
      <c r="G1682" s="24" t="s">
        <v>8137</v>
      </c>
      <c r="H1682" s="20">
        <f t="shared" si="130"/>
        <v>0</v>
      </c>
      <c r="I1682" s="21">
        <f t="shared" si="131"/>
        <v>0</v>
      </c>
      <c r="J1682" s="21">
        <f t="shared" si="131"/>
        <v>0</v>
      </c>
    </row>
    <row r="1683" spans="1:10" x14ac:dyDescent="0.3">
      <c r="A1683" s="2" t="s">
        <v>1593</v>
      </c>
      <c r="B1683" s="1" t="s">
        <v>2152</v>
      </c>
      <c r="C1683" s="6" t="s">
        <v>3746</v>
      </c>
      <c r="D1683" s="6" t="s">
        <v>5901</v>
      </c>
      <c r="E1683" s="20">
        <f t="shared" si="129"/>
        <v>0</v>
      </c>
      <c r="F1683" s="20"/>
      <c r="G1683" s="24" t="s">
        <v>8138</v>
      </c>
      <c r="H1683" s="20">
        <f t="shared" si="130"/>
        <v>0</v>
      </c>
      <c r="I1683" s="21">
        <f t="shared" si="131"/>
        <v>0</v>
      </c>
      <c r="J1683" s="21">
        <f t="shared" si="131"/>
        <v>0</v>
      </c>
    </row>
    <row r="1684" spans="1:10" x14ac:dyDescent="0.3">
      <c r="A1684" s="2" t="s">
        <v>1594</v>
      </c>
      <c r="B1684" s="1" t="s">
        <v>2152</v>
      </c>
      <c r="C1684" s="6" t="s">
        <v>3747</v>
      </c>
      <c r="D1684" s="6" t="s">
        <v>5902</v>
      </c>
      <c r="E1684" s="20">
        <f t="shared" si="129"/>
        <v>0</v>
      </c>
      <c r="F1684" s="20"/>
      <c r="G1684" s="24" t="s">
        <v>8139</v>
      </c>
      <c r="H1684" s="20">
        <f t="shared" si="130"/>
        <v>0</v>
      </c>
      <c r="I1684" s="21">
        <f t="shared" si="128"/>
        <v>0</v>
      </c>
      <c r="J1684" s="21">
        <f t="shared" si="128"/>
        <v>0</v>
      </c>
    </row>
    <row r="1685" spans="1:10" x14ac:dyDescent="0.3">
      <c r="A1685" s="2" t="s">
        <v>1595</v>
      </c>
      <c r="B1685" s="1" t="s">
        <v>2152</v>
      </c>
      <c r="C1685" s="6" t="s">
        <v>3748</v>
      </c>
      <c r="D1685" s="6" t="s">
        <v>5903</v>
      </c>
      <c r="E1685" s="20">
        <f t="shared" si="129"/>
        <v>0</v>
      </c>
      <c r="F1685" s="20"/>
      <c r="G1685" s="24" t="s">
        <v>8140</v>
      </c>
      <c r="H1685" s="20">
        <f t="shared" si="130"/>
        <v>0</v>
      </c>
      <c r="I1685" s="21">
        <f t="shared" si="128"/>
        <v>0</v>
      </c>
      <c r="J1685" s="21">
        <f t="shared" si="128"/>
        <v>0</v>
      </c>
    </row>
    <row r="1686" spans="1:10" x14ac:dyDescent="0.3">
      <c r="A1686" s="2" t="s">
        <v>1596</v>
      </c>
      <c r="B1686" s="1" t="s">
        <v>2152</v>
      </c>
      <c r="C1686" s="6" t="s">
        <v>3749</v>
      </c>
      <c r="D1686" s="6" t="s">
        <v>5904</v>
      </c>
      <c r="E1686" s="20">
        <f t="shared" si="129"/>
        <v>0</v>
      </c>
      <c r="F1686" s="20"/>
      <c r="G1686" s="24" t="s">
        <v>8141</v>
      </c>
      <c r="H1686" s="20">
        <f t="shared" si="130"/>
        <v>0</v>
      </c>
      <c r="I1686" s="21">
        <f t="shared" si="128"/>
        <v>0</v>
      </c>
      <c r="J1686" s="21">
        <f t="shared" si="128"/>
        <v>0</v>
      </c>
    </row>
    <row r="1687" spans="1:10" x14ac:dyDescent="0.3">
      <c r="A1687" s="2" t="s">
        <v>1597</v>
      </c>
      <c r="B1687" s="1" t="s">
        <v>2152</v>
      </c>
      <c r="C1687" s="6" t="s">
        <v>3750</v>
      </c>
      <c r="D1687" s="6" t="s">
        <v>5905</v>
      </c>
      <c r="E1687" s="20">
        <f t="shared" si="129"/>
        <v>0</v>
      </c>
      <c r="F1687" s="20"/>
      <c r="G1687" s="24" t="s">
        <v>8142</v>
      </c>
      <c r="H1687" s="20">
        <f t="shared" si="130"/>
        <v>0</v>
      </c>
      <c r="I1687" s="21">
        <f t="shared" si="128"/>
        <v>0</v>
      </c>
      <c r="J1687" s="21">
        <f t="shared" si="128"/>
        <v>0</v>
      </c>
    </row>
    <row r="1688" spans="1:10" x14ac:dyDescent="0.3">
      <c r="A1688" s="2" t="s">
        <v>1598</v>
      </c>
      <c r="B1688" s="1" t="s">
        <v>2152</v>
      </c>
      <c r="C1688" s="6" t="s">
        <v>3751</v>
      </c>
      <c r="D1688" s="6" t="s">
        <v>5906</v>
      </c>
      <c r="E1688" s="20">
        <f t="shared" si="129"/>
        <v>0</v>
      </c>
      <c r="F1688" s="20"/>
      <c r="G1688" s="24" t="s">
        <v>8143</v>
      </c>
      <c r="H1688" s="20">
        <f t="shared" si="130"/>
        <v>0</v>
      </c>
      <c r="I1688" s="21">
        <f t="shared" si="128"/>
        <v>0</v>
      </c>
      <c r="J1688" s="21">
        <f t="shared" si="128"/>
        <v>0</v>
      </c>
    </row>
    <row r="1689" spans="1:10" x14ac:dyDescent="0.3">
      <c r="A1689" s="2" t="s">
        <v>1599</v>
      </c>
      <c r="B1689" s="1" t="s">
        <v>2152</v>
      </c>
      <c r="C1689" s="6" t="s">
        <v>3752</v>
      </c>
      <c r="D1689" s="6" t="s">
        <v>5907</v>
      </c>
      <c r="E1689" s="20">
        <f t="shared" si="129"/>
        <v>0</v>
      </c>
      <c r="F1689" s="20"/>
      <c r="G1689" s="24" t="s">
        <v>8144</v>
      </c>
      <c r="H1689" s="20">
        <f t="shared" si="130"/>
        <v>0</v>
      </c>
      <c r="I1689" s="21">
        <f t="shared" si="128"/>
        <v>0</v>
      </c>
      <c r="J1689" s="21">
        <f t="shared" si="128"/>
        <v>0</v>
      </c>
    </row>
    <row r="1690" spans="1:10" x14ac:dyDescent="0.3">
      <c r="A1690" s="2" t="s">
        <v>1600</v>
      </c>
      <c r="B1690" s="1" t="s">
        <v>2152</v>
      </c>
      <c r="C1690" s="6" t="s">
        <v>3753</v>
      </c>
      <c r="D1690" s="6" t="s">
        <v>5908</v>
      </c>
      <c r="E1690" s="20">
        <f t="shared" si="129"/>
        <v>0</v>
      </c>
      <c r="F1690" s="20"/>
      <c r="G1690" s="24" t="s">
        <v>8145</v>
      </c>
      <c r="H1690" s="20">
        <f t="shared" si="130"/>
        <v>0</v>
      </c>
      <c r="I1690" s="21">
        <f t="shared" si="128"/>
        <v>0</v>
      </c>
      <c r="J1690" s="21">
        <f t="shared" si="128"/>
        <v>0</v>
      </c>
    </row>
    <row r="1691" spans="1:10" x14ac:dyDescent="0.3">
      <c r="A1691" s="2" t="s">
        <v>1601</v>
      </c>
      <c r="B1691" s="1" t="s">
        <v>2152</v>
      </c>
      <c r="C1691" s="6" t="s">
        <v>3754</v>
      </c>
      <c r="D1691" s="6" t="s">
        <v>5909</v>
      </c>
      <c r="E1691" s="20">
        <f t="shared" si="129"/>
        <v>0</v>
      </c>
      <c r="F1691" s="20"/>
      <c r="G1691" s="24" t="s">
        <v>8146</v>
      </c>
      <c r="H1691" s="20">
        <f t="shared" si="130"/>
        <v>0</v>
      </c>
      <c r="I1691" s="21">
        <f t="shared" si="128"/>
        <v>0</v>
      </c>
      <c r="J1691" s="21">
        <f t="shared" si="128"/>
        <v>0</v>
      </c>
    </row>
    <row r="1692" spans="1:10" x14ac:dyDescent="0.3">
      <c r="A1692" s="2" t="s">
        <v>1602</v>
      </c>
      <c r="B1692" s="1" t="s">
        <v>2152</v>
      </c>
      <c r="C1692" s="6" t="s">
        <v>3755</v>
      </c>
      <c r="D1692" s="6" t="s">
        <v>5910</v>
      </c>
      <c r="E1692" s="20">
        <f t="shared" si="129"/>
        <v>0</v>
      </c>
      <c r="F1692" s="20"/>
      <c r="G1692" s="24" t="s">
        <v>8147</v>
      </c>
      <c r="H1692" s="20">
        <f t="shared" si="130"/>
        <v>0</v>
      </c>
      <c r="I1692" s="21">
        <f t="shared" si="128"/>
        <v>0</v>
      </c>
      <c r="J1692" s="21">
        <f t="shared" si="128"/>
        <v>0</v>
      </c>
    </row>
    <row r="1693" spans="1:10" x14ac:dyDescent="0.3">
      <c r="A1693" s="2" t="s">
        <v>1603</v>
      </c>
      <c r="B1693" s="1" t="s">
        <v>2152</v>
      </c>
      <c r="C1693" s="6" t="s">
        <v>3756</v>
      </c>
      <c r="D1693" s="6" t="s">
        <v>5911</v>
      </c>
      <c r="E1693" s="20">
        <f t="shared" si="129"/>
        <v>0</v>
      </c>
      <c r="F1693" s="20"/>
      <c r="G1693" s="24" t="s">
        <v>8148</v>
      </c>
      <c r="H1693" s="20">
        <f t="shared" si="130"/>
        <v>0</v>
      </c>
      <c r="I1693" s="21">
        <f t="shared" si="128"/>
        <v>0</v>
      </c>
      <c r="J1693" s="21">
        <f t="shared" si="128"/>
        <v>0</v>
      </c>
    </row>
    <row r="1694" spans="1:10" x14ac:dyDescent="0.3">
      <c r="A1694" s="2" t="s">
        <v>1604</v>
      </c>
      <c r="B1694" s="1" t="s">
        <v>2152</v>
      </c>
      <c r="C1694" s="6" t="s">
        <v>3757</v>
      </c>
      <c r="D1694" s="6" t="s">
        <v>5912</v>
      </c>
      <c r="E1694" s="20">
        <f t="shared" si="129"/>
        <v>0</v>
      </c>
      <c r="F1694" s="20"/>
      <c r="G1694" s="24" t="s">
        <v>8149</v>
      </c>
      <c r="H1694" s="20">
        <f t="shared" si="130"/>
        <v>0</v>
      </c>
      <c r="I1694" s="21">
        <f t="shared" si="128"/>
        <v>0</v>
      </c>
      <c r="J1694" s="21">
        <f t="shared" si="128"/>
        <v>0</v>
      </c>
    </row>
    <row r="1695" spans="1:10" x14ac:dyDescent="0.3">
      <c r="A1695" s="2" t="s">
        <v>1605</v>
      </c>
      <c r="B1695" s="1" t="s">
        <v>2152</v>
      </c>
      <c r="C1695" s="6" t="s">
        <v>3758</v>
      </c>
      <c r="D1695" s="6" t="s">
        <v>5913</v>
      </c>
      <c r="E1695" s="20">
        <f t="shared" si="129"/>
        <v>0</v>
      </c>
      <c r="F1695" s="20"/>
      <c r="G1695" s="24" t="s">
        <v>8150</v>
      </c>
      <c r="H1695" s="20">
        <f t="shared" si="130"/>
        <v>0</v>
      </c>
      <c r="I1695" s="21">
        <f t="shared" ref="I1695:J1780" si="132">W1695</f>
        <v>0</v>
      </c>
      <c r="J1695" s="21">
        <f t="shared" si="132"/>
        <v>0</v>
      </c>
    </row>
    <row r="1696" spans="1:10" x14ac:dyDescent="0.3">
      <c r="A1696" s="2" t="s">
        <v>1606</v>
      </c>
      <c r="B1696" s="1" t="s">
        <v>2152</v>
      </c>
      <c r="C1696" s="6" t="s">
        <v>3759</v>
      </c>
      <c r="D1696" s="6" t="s">
        <v>5914</v>
      </c>
      <c r="E1696" s="20">
        <f t="shared" si="129"/>
        <v>0</v>
      </c>
      <c r="F1696" s="20"/>
      <c r="G1696" s="24" t="s">
        <v>8151</v>
      </c>
      <c r="H1696" s="20">
        <f t="shared" si="130"/>
        <v>0</v>
      </c>
      <c r="I1696" s="21">
        <f t="shared" si="132"/>
        <v>0</v>
      </c>
      <c r="J1696" s="21">
        <f t="shared" si="132"/>
        <v>0</v>
      </c>
    </row>
    <row r="1697" spans="1:10" x14ac:dyDescent="0.3">
      <c r="A1697" s="2" t="s">
        <v>1607</v>
      </c>
      <c r="B1697" s="1" t="s">
        <v>2152</v>
      </c>
      <c r="C1697" s="6" t="s">
        <v>3760</v>
      </c>
      <c r="D1697" s="6" t="s">
        <v>5915</v>
      </c>
      <c r="E1697" s="20">
        <f t="shared" si="129"/>
        <v>0</v>
      </c>
      <c r="F1697" s="20"/>
      <c r="G1697" s="24" t="s">
        <v>8152</v>
      </c>
      <c r="H1697" s="20">
        <f t="shared" si="130"/>
        <v>0</v>
      </c>
      <c r="I1697" s="21">
        <f t="shared" si="132"/>
        <v>0</v>
      </c>
      <c r="J1697" s="21">
        <f t="shared" si="132"/>
        <v>0</v>
      </c>
    </row>
    <row r="1698" spans="1:10" x14ac:dyDescent="0.3">
      <c r="A1698" s="2" t="s">
        <v>1608</v>
      </c>
      <c r="B1698" s="1" t="s">
        <v>2152</v>
      </c>
      <c r="C1698" s="6" t="s">
        <v>3761</v>
      </c>
      <c r="D1698" s="6" t="s">
        <v>5916</v>
      </c>
      <c r="E1698" s="20">
        <f t="shared" si="129"/>
        <v>0</v>
      </c>
      <c r="F1698" s="20"/>
      <c r="G1698" s="24" t="s">
        <v>8153</v>
      </c>
      <c r="H1698" s="20">
        <f t="shared" si="130"/>
        <v>0</v>
      </c>
      <c r="I1698" s="21">
        <f t="shared" si="132"/>
        <v>0</v>
      </c>
      <c r="J1698" s="21">
        <f t="shared" si="132"/>
        <v>0</v>
      </c>
    </row>
    <row r="1699" spans="1:10" x14ac:dyDescent="0.3">
      <c r="A1699" s="2" t="s">
        <v>1609</v>
      </c>
      <c r="B1699" s="1" t="s">
        <v>2152</v>
      </c>
      <c r="C1699" s="6" t="s">
        <v>3762</v>
      </c>
      <c r="D1699" s="6" t="s">
        <v>5917</v>
      </c>
      <c r="E1699" s="20">
        <f t="shared" si="129"/>
        <v>0</v>
      </c>
      <c r="F1699" s="20"/>
      <c r="G1699" s="24" t="s">
        <v>8154</v>
      </c>
      <c r="H1699" s="20">
        <f t="shared" si="130"/>
        <v>0</v>
      </c>
      <c r="I1699" s="21">
        <f t="shared" si="132"/>
        <v>0</v>
      </c>
      <c r="J1699" s="21">
        <f t="shared" si="132"/>
        <v>0</v>
      </c>
    </row>
    <row r="1700" spans="1:10" x14ac:dyDescent="0.3">
      <c r="A1700" s="2" t="s">
        <v>1610</v>
      </c>
      <c r="B1700" s="1" t="s">
        <v>2152</v>
      </c>
      <c r="C1700" s="6" t="s">
        <v>3763</v>
      </c>
      <c r="D1700" s="6" t="s">
        <v>5918</v>
      </c>
      <c r="E1700" s="20">
        <f t="shared" si="129"/>
        <v>0</v>
      </c>
      <c r="F1700" s="20"/>
      <c r="G1700" s="24" t="s">
        <v>8155</v>
      </c>
      <c r="H1700" s="20">
        <f t="shared" si="130"/>
        <v>0</v>
      </c>
      <c r="I1700" s="21">
        <f t="shared" si="132"/>
        <v>0</v>
      </c>
      <c r="J1700" s="21">
        <f t="shared" si="132"/>
        <v>0</v>
      </c>
    </row>
    <row r="1701" spans="1:10" x14ac:dyDescent="0.3">
      <c r="A1701" s="2" t="s">
        <v>1611</v>
      </c>
      <c r="B1701" s="1" t="s">
        <v>2152</v>
      </c>
      <c r="C1701" s="6" t="s">
        <v>3764</v>
      </c>
      <c r="D1701" s="6" t="s">
        <v>5919</v>
      </c>
      <c r="E1701" s="20">
        <f t="shared" si="129"/>
        <v>0</v>
      </c>
      <c r="F1701" s="20"/>
      <c r="G1701" s="24" t="s">
        <v>8156</v>
      </c>
      <c r="H1701" s="20">
        <f t="shared" si="130"/>
        <v>0</v>
      </c>
      <c r="I1701" s="21">
        <f t="shared" si="132"/>
        <v>0</v>
      </c>
      <c r="J1701" s="21">
        <f t="shared" si="132"/>
        <v>0</v>
      </c>
    </row>
    <row r="1702" spans="1:10" x14ac:dyDescent="0.3">
      <c r="A1702" s="2" t="s">
        <v>1612</v>
      </c>
      <c r="B1702" s="1" t="s">
        <v>2152</v>
      </c>
      <c r="C1702" s="6" t="s">
        <v>3765</v>
      </c>
      <c r="D1702" s="6" t="s">
        <v>5920</v>
      </c>
      <c r="E1702" s="20">
        <f t="shared" si="129"/>
        <v>0</v>
      </c>
      <c r="F1702" s="20"/>
      <c r="G1702" s="24" t="s">
        <v>8157</v>
      </c>
      <c r="H1702" s="20">
        <f t="shared" si="130"/>
        <v>0</v>
      </c>
      <c r="I1702" s="21">
        <f t="shared" si="132"/>
        <v>0</v>
      </c>
      <c r="J1702" s="21">
        <f t="shared" si="132"/>
        <v>0</v>
      </c>
    </row>
    <row r="1703" spans="1:10" x14ac:dyDescent="0.3">
      <c r="A1703" s="2" t="s">
        <v>1613</v>
      </c>
      <c r="B1703" s="1" t="s">
        <v>2152</v>
      </c>
      <c r="C1703" s="6" t="s">
        <v>3766</v>
      </c>
      <c r="D1703" s="6" t="s">
        <v>5921</v>
      </c>
      <c r="E1703" s="20">
        <f t="shared" si="129"/>
        <v>0</v>
      </c>
      <c r="F1703" s="20"/>
      <c r="G1703" s="24" t="s">
        <v>8158</v>
      </c>
      <c r="H1703" s="20">
        <f t="shared" si="130"/>
        <v>0</v>
      </c>
      <c r="I1703" s="21">
        <f t="shared" si="132"/>
        <v>0</v>
      </c>
      <c r="J1703" s="21">
        <f t="shared" si="132"/>
        <v>0</v>
      </c>
    </row>
    <row r="1704" spans="1:10" x14ac:dyDescent="0.3">
      <c r="A1704" s="2" t="s">
        <v>1614</v>
      </c>
      <c r="B1704" s="1" t="s">
        <v>2152</v>
      </c>
      <c r="C1704" s="6" t="s">
        <v>3767</v>
      </c>
      <c r="D1704" s="6" t="s">
        <v>5922</v>
      </c>
      <c r="E1704" s="20">
        <f t="shared" si="129"/>
        <v>0</v>
      </c>
      <c r="F1704" s="20"/>
      <c r="G1704" s="24" t="s">
        <v>8159</v>
      </c>
      <c r="H1704" s="20">
        <f t="shared" si="130"/>
        <v>0</v>
      </c>
      <c r="I1704" s="21">
        <f t="shared" si="132"/>
        <v>0</v>
      </c>
      <c r="J1704" s="21">
        <f t="shared" si="132"/>
        <v>0</v>
      </c>
    </row>
    <row r="1705" spans="1:10" x14ac:dyDescent="0.3">
      <c r="A1705" s="2" t="s">
        <v>1615</v>
      </c>
      <c r="B1705" s="1" t="s">
        <v>2152</v>
      </c>
      <c r="C1705" s="6" t="s">
        <v>3768</v>
      </c>
      <c r="D1705" s="6" t="s">
        <v>5923</v>
      </c>
      <c r="E1705" s="20">
        <f t="shared" si="129"/>
        <v>0</v>
      </c>
      <c r="F1705" s="20"/>
      <c r="G1705" s="24" t="s">
        <v>8160</v>
      </c>
      <c r="H1705" s="20">
        <f t="shared" si="130"/>
        <v>0</v>
      </c>
      <c r="I1705" s="21">
        <f t="shared" si="132"/>
        <v>0</v>
      </c>
      <c r="J1705" s="21">
        <f t="shared" si="132"/>
        <v>0</v>
      </c>
    </row>
    <row r="1706" spans="1:10" x14ac:dyDescent="0.3">
      <c r="A1706" s="2" t="s">
        <v>1616</v>
      </c>
      <c r="B1706" s="1" t="s">
        <v>2152</v>
      </c>
      <c r="C1706" s="6" t="s">
        <v>3769</v>
      </c>
      <c r="D1706" s="6" t="s">
        <v>5924</v>
      </c>
      <c r="E1706" s="20">
        <f t="shared" si="129"/>
        <v>0</v>
      </c>
      <c r="F1706" s="20"/>
      <c r="G1706" s="24" t="s">
        <v>8161</v>
      </c>
      <c r="H1706" s="20">
        <f t="shared" si="130"/>
        <v>0</v>
      </c>
      <c r="I1706" s="21">
        <f t="shared" si="132"/>
        <v>0</v>
      </c>
      <c r="J1706" s="21">
        <f t="shared" si="132"/>
        <v>0</v>
      </c>
    </row>
    <row r="1707" spans="1:10" x14ac:dyDescent="0.3">
      <c r="A1707" s="2" t="s">
        <v>1617</v>
      </c>
      <c r="B1707" s="1" t="s">
        <v>2152</v>
      </c>
      <c r="C1707" s="6" t="s">
        <v>3770</v>
      </c>
      <c r="D1707" s="6" t="s">
        <v>5925</v>
      </c>
      <c r="E1707" s="20">
        <f t="shared" si="129"/>
        <v>0</v>
      </c>
      <c r="F1707" s="20"/>
      <c r="G1707" s="24" t="s">
        <v>8162</v>
      </c>
      <c r="H1707" s="20">
        <f t="shared" si="130"/>
        <v>0</v>
      </c>
      <c r="I1707" s="21">
        <f t="shared" si="132"/>
        <v>0</v>
      </c>
      <c r="J1707" s="21">
        <f t="shared" si="132"/>
        <v>0</v>
      </c>
    </row>
    <row r="1708" spans="1:10" ht="27.6" x14ac:dyDescent="0.3">
      <c r="A1708" s="2" t="s">
        <v>1618</v>
      </c>
      <c r="B1708" s="1" t="s">
        <v>2152</v>
      </c>
      <c r="C1708" s="6" t="s">
        <v>3771</v>
      </c>
      <c r="D1708" s="6" t="s">
        <v>5926</v>
      </c>
      <c r="E1708" s="20">
        <f t="shared" si="129"/>
        <v>0</v>
      </c>
      <c r="F1708" s="20"/>
      <c r="G1708" s="24" t="s">
        <v>8163</v>
      </c>
      <c r="H1708" s="20">
        <f t="shared" si="130"/>
        <v>0</v>
      </c>
      <c r="I1708" s="21">
        <f t="shared" si="132"/>
        <v>0</v>
      </c>
      <c r="J1708" s="21">
        <f t="shared" si="132"/>
        <v>0</v>
      </c>
    </row>
    <row r="1709" spans="1:10" x14ac:dyDescent="0.3">
      <c r="A1709" s="2" t="s">
        <v>1619</v>
      </c>
      <c r="B1709" s="1" t="s">
        <v>2152</v>
      </c>
      <c r="C1709" s="6" t="s">
        <v>3772</v>
      </c>
      <c r="D1709" s="6" t="s">
        <v>5927</v>
      </c>
      <c r="E1709" s="20">
        <f t="shared" si="129"/>
        <v>0</v>
      </c>
      <c r="F1709" s="20"/>
      <c r="G1709" s="24" t="s">
        <v>8164</v>
      </c>
      <c r="H1709" s="20">
        <f t="shared" si="130"/>
        <v>0</v>
      </c>
      <c r="I1709" s="21">
        <f t="shared" si="132"/>
        <v>0</v>
      </c>
      <c r="J1709" s="21">
        <f t="shared" si="132"/>
        <v>0</v>
      </c>
    </row>
    <row r="1710" spans="1:10" x14ac:dyDescent="0.3">
      <c r="A1710" s="2" t="s">
        <v>1620</v>
      </c>
      <c r="B1710" s="1" t="s">
        <v>2152</v>
      </c>
      <c r="C1710" s="6" t="s">
        <v>3773</v>
      </c>
      <c r="D1710" s="6" t="s">
        <v>5928</v>
      </c>
      <c r="E1710" s="20">
        <f t="shared" si="129"/>
        <v>0</v>
      </c>
      <c r="F1710" s="20"/>
      <c r="G1710" s="24" t="s">
        <v>8165</v>
      </c>
      <c r="H1710" s="20">
        <f t="shared" si="130"/>
        <v>0</v>
      </c>
      <c r="I1710" s="21">
        <f t="shared" si="132"/>
        <v>0</v>
      </c>
      <c r="J1710" s="21">
        <f t="shared" si="132"/>
        <v>0</v>
      </c>
    </row>
    <row r="1711" spans="1:10" x14ac:dyDescent="0.3">
      <c r="A1711" s="2" t="s">
        <v>1621</v>
      </c>
      <c r="B1711" s="1" t="s">
        <v>2152</v>
      </c>
      <c r="C1711" s="6" t="s">
        <v>3774</v>
      </c>
      <c r="D1711" s="6" t="s">
        <v>5929</v>
      </c>
      <c r="E1711" s="20">
        <f t="shared" si="129"/>
        <v>0</v>
      </c>
      <c r="F1711" s="20"/>
      <c r="G1711" s="24" t="s">
        <v>8166</v>
      </c>
      <c r="H1711" s="20">
        <f t="shared" si="130"/>
        <v>0</v>
      </c>
      <c r="I1711" s="21">
        <f t="shared" si="132"/>
        <v>0</v>
      </c>
      <c r="J1711" s="21">
        <f t="shared" si="132"/>
        <v>0</v>
      </c>
    </row>
    <row r="1712" spans="1:10" x14ac:dyDescent="0.3">
      <c r="A1712" s="2" t="s">
        <v>1622</v>
      </c>
      <c r="B1712" s="1" t="s">
        <v>2152</v>
      </c>
      <c r="C1712" s="6" t="s">
        <v>3775</v>
      </c>
      <c r="D1712" s="6" t="s">
        <v>5930</v>
      </c>
      <c r="E1712" s="20">
        <f t="shared" si="129"/>
        <v>0</v>
      </c>
      <c r="F1712" s="20"/>
      <c r="G1712" s="24" t="s">
        <v>8167</v>
      </c>
      <c r="H1712" s="20">
        <f t="shared" si="130"/>
        <v>0</v>
      </c>
      <c r="I1712" s="21">
        <f t="shared" si="132"/>
        <v>0</v>
      </c>
      <c r="J1712" s="21">
        <f t="shared" si="132"/>
        <v>0</v>
      </c>
    </row>
    <row r="1713" spans="1:10" x14ac:dyDescent="0.3">
      <c r="A1713" s="2" t="s">
        <v>1623</v>
      </c>
      <c r="B1713" s="1" t="s">
        <v>2152</v>
      </c>
      <c r="C1713" s="6" t="s">
        <v>3776</v>
      </c>
      <c r="D1713" s="6" t="s">
        <v>5931</v>
      </c>
      <c r="E1713" s="20">
        <f t="shared" si="129"/>
        <v>0</v>
      </c>
      <c r="F1713" s="20"/>
      <c r="G1713" s="24" t="s">
        <v>8168</v>
      </c>
      <c r="H1713" s="20">
        <f t="shared" si="130"/>
        <v>0</v>
      </c>
      <c r="I1713" s="21">
        <f t="shared" si="132"/>
        <v>0</v>
      </c>
      <c r="J1713" s="21">
        <f t="shared" si="132"/>
        <v>0</v>
      </c>
    </row>
    <row r="1714" spans="1:10" x14ac:dyDescent="0.3">
      <c r="A1714" s="2" t="s">
        <v>1624</v>
      </c>
      <c r="B1714" s="1" t="s">
        <v>2152</v>
      </c>
      <c r="C1714" s="6" t="s">
        <v>3777</v>
      </c>
      <c r="D1714" s="6" t="s">
        <v>5932</v>
      </c>
      <c r="E1714" s="20">
        <f t="shared" si="129"/>
        <v>0</v>
      </c>
      <c r="F1714" s="20"/>
      <c r="G1714" s="24" t="s">
        <v>8169</v>
      </c>
      <c r="H1714" s="20">
        <f t="shared" si="130"/>
        <v>0</v>
      </c>
      <c r="I1714" s="21">
        <f t="shared" si="132"/>
        <v>0</v>
      </c>
      <c r="J1714" s="21">
        <f t="shared" si="132"/>
        <v>0</v>
      </c>
    </row>
    <row r="1715" spans="1:10" x14ac:dyDescent="0.3">
      <c r="A1715" s="2" t="s">
        <v>1625</v>
      </c>
      <c r="B1715" s="1" t="s">
        <v>2152</v>
      </c>
      <c r="C1715" s="6" t="s">
        <v>3778</v>
      </c>
      <c r="D1715" s="6" t="s">
        <v>5933</v>
      </c>
      <c r="E1715" s="20">
        <f t="shared" si="129"/>
        <v>0</v>
      </c>
      <c r="F1715" s="20"/>
      <c r="G1715" s="24" t="s">
        <v>8170</v>
      </c>
      <c r="H1715" s="20">
        <f t="shared" si="130"/>
        <v>0</v>
      </c>
      <c r="I1715" s="21">
        <f t="shared" si="132"/>
        <v>0</v>
      </c>
      <c r="J1715" s="21">
        <f t="shared" si="132"/>
        <v>0</v>
      </c>
    </row>
    <row r="1716" spans="1:10" x14ac:dyDescent="0.3">
      <c r="A1716" s="2" t="s">
        <v>1626</v>
      </c>
      <c r="B1716" s="1" t="s">
        <v>2152</v>
      </c>
      <c r="C1716" s="6" t="s">
        <v>3779</v>
      </c>
      <c r="D1716" s="6" t="s">
        <v>5934</v>
      </c>
      <c r="E1716" s="20">
        <f t="shared" si="129"/>
        <v>0</v>
      </c>
      <c r="F1716" s="20"/>
      <c r="G1716" s="24" t="s">
        <v>8171</v>
      </c>
      <c r="H1716" s="20">
        <f t="shared" si="130"/>
        <v>0</v>
      </c>
      <c r="I1716" s="21">
        <f t="shared" si="132"/>
        <v>0</v>
      </c>
      <c r="J1716" s="21">
        <f t="shared" si="132"/>
        <v>0</v>
      </c>
    </row>
    <row r="1717" spans="1:10" x14ac:dyDescent="0.3">
      <c r="A1717" s="2" t="s">
        <v>1627</v>
      </c>
      <c r="B1717" s="1" t="s">
        <v>2152</v>
      </c>
      <c r="C1717" s="6" t="s">
        <v>3746</v>
      </c>
      <c r="D1717" s="6" t="s">
        <v>5901</v>
      </c>
      <c r="E1717" s="20">
        <f t="shared" si="129"/>
        <v>0</v>
      </c>
      <c r="F1717" s="20"/>
      <c r="G1717" s="24" t="s">
        <v>8172</v>
      </c>
      <c r="H1717" s="20">
        <f t="shared" si="130"/>
        <v>0</v>
      </c>
      <c r="I1717" s="21">
        <f t="shared" si="132"/>
        <v>0</v>
      </c>
      <c r="J1717" s="21">
        <f t="shared" si="132"/>
        <v>0</v>
      </c>
    </row>
    <row r="1718" spans="1:10" x14ac:dyDescent="0.3">
      <c r="A1718" s="2" t="s">
        <v>1628</v>
      </c>
      <c r="B1718" s="1" t="s">
        <v>2152</v>
      </c>
      <c r="C1718" s="6" t="s">
        <v>3780</v>
      </c>
      <c r="D1718" s="6" t="s">
        <v>5935</v>
      </c>
      <c r="E1718" s="20">
        <f t="shared" si="129"/>
        <v>0</v>
      </c>
      <c r="F1718" s="20"/>
      <c r="G1718" s="24" t="s">
        <v>8173</v>
      </c>
      <c r="H1718" s="20">
        <f t="shared" si="130"/>
        <v>0</v>
      </c>
      <c r="I1718" s="21">
        <f t="shared" si="132"/>
        <v>0</v>
      </c>
      <c r="J1718" s="21">
        <f t="shared" si="132"/>
        <v>0</v>
      </c>
    </row>
    <row r="1719" spans="1:10" x14ac:dyDescent="0.3">
      <c r="A1719" s="2" t="s">
        <v>1629</v>
      </c>
      <c r="B1719" s="1" t="s">
        <v>2152</v>
      </c>
      <c r="C1719" s="6" t="s">
        <v>3781</v>
      </c>
      <c r="D1719" s="6" t="s">
        <v>5936</v>
      </c>
      <c r="E1719" s="20">
        <f t="shared" si="129"/>
        <v>0</v>
      </c>
      <c r="F1719" s="20"/>
      <c r="G1719" s="24" t="s">
        <v>8174</v>
      </c>
      <c r="H1719" s="20">
        <f t="shared" si="130"/>
        <v>0</v>
      </c>
      <c r="I1719" s="21">
        <f t="shared" si="132"/>
        <v>0</v>
      </c>
      <c r="J1719" s="21">
        <f t="shared" si="132"/>
        <v>0</v>
      </c>
    </row>
    <row r="1720" spans="1:10" x14ac:dyDescent="0.3">
      <c r="A1720" s="2" t="s">
        <v>1630</v>
      </c>
      <c r="B1720" s="1" t="s">
        <v>2152</v>
      </c>
      <c r="C1720" s="6" t="s">
        <v>3782</v>
      </c>
      <c r="D1720" s="6" t="s">
        <v>5937</v>
      </c>
      <c r="E1720" s="20">
        <f t="shared" si="129"/>
        <v>0</v>
      </c>
      <c r="F1720" s="20"/>
      <c r="G1720" s="24" t="s">
        <v>8175</v>
      </c>
      <c r="H1720" s="20">
        <f t="shared" si="130"/>
        <v>0</v>
      </c>
      <c r="I1720" s="21">
        <f t="shared" si="132"/>
        <v>0</v>
      </c>
      <c r="J1720" s="21">
        <f t="shared" si="132"/>
        <v>0</v>
      </c>
    </row>
    <row r="1721" spans="1:10" x14ac:dyDescent="0.3">
      <c r="A1721" s="2" t="s">
        <v>1631</v>
      </c>
      <c r="B1721" s="1" t="s">
        <v>2152</v>
      </c>
      <c r="C1721" s="6" t="s">
        <v>3783</v>
      </c>
      <c r="D1721" s="6" t="s">
        <v>5938</v>
      </c>
      <c r="E1721" s="20">
        <f t="shared" si="129"/>
        <v>0</v>
      </c>
      <c r="F1721" s="20"/>
      <c r="G1721" s="24" t="s">
        <v>8176</v>
      </c>
      <c r="H1721" s="20">
        <f t="shared" si="130"/>
        <v>0</v>
      </c>
      <c r="I1721" s="21">
        <f t="shared" si="132"/>
        <v>0</v>
      </c>
      <c r="J1721" s="21">
        <f t="shared" si="132"/>
        <v>0</v>
      </c>
    </row>
    <row r="1722" spans="1:10" x14ac:dyDescent="0.3">
      <c r="A1722" s="2" t="s">
        <v>1632</v>
      </c>
      <c r="B1722" s="1" t="s">
        <v>2152</v>
      </c>
      <c r="C1722" s="6" t="s">
        <v>3784</v>
      </c>
      <c r="D1722" s="6" t="s">
        <v>5939</v>
      </c>
      <c r="E1722" s="20">
        <f t="shared" si="129"/>
        <v>0</v>
      </c>
      <c r="F1722" s="20"/>
      <c r="G1722" s="24" t="s">
        <v>8177</v>
      </c>
      <c r="H1722" s="20">
        <f t="shared" si="130"/>
        <v>0</v>
      </c>
      <c r="I1722" s="21">
        <f t="shared" si="132"/>
        <v>0</v>
      </c>
      <c r="J1722" s="21">
        <f t="shared" si="132"/>
        <v>0</v>
      </c>
    </row>
    <row r="1723" spans="1:10" x14ac:dyDescent="0.3">
      <c r="A1723" s="2" t="s">
        <v>1633</v>
      </c>
      <c r="B1723" s="1" t="s">
        <v>2152</v>
      </c>
      <c r="C1723" s="6" t="s">
        <v>3785</v>
      </c>
      <c r="D1723" s="6" t="s">
        <v>5940</v>
      </c>
      <c r="E1723" s="20">
        <f t="shared" si="129"/>
        <v>0</v>
      </c>
      <c r="F1723" s="20"/>
      <c r="G1723" s="24" t="s">
        <v>8178</v>
      </c>
      <c r="H1723" s="20">
        <f t="shared" si="130"/>
        <v>0</v>
      </c>
      <c r="I1723" s="21">
        <f t="shared" si="132"/>
        <v>0</v>
      </c>
      <c r="J1723" s="21">
        <f t="shared" si="132"/>
        <v>0</v>
      </c>
    </row>
    <row r="1724" spans="1:10" x14ac:dyDescent="0.3">
      <c r="A1724" s="2" t="s">
        <v>1634</v>
      </c>
      <c r="B1724" s="1" t="s">
        <v>2152</v>
      </c>
      <c r="C1724" s="6" t="s">
        <v>3786</v>
      </c>
      <c r="D1724" s="6" t="s">
        <v>5941</v>
      </c>
      <c r="E1724" s="20">
        <f t="shared" si="129"/>
        <v>0</v>
      </c>
      <c r="F1724" s="20"/>
      <c r="G1724" s="24" t="s">
        <v>8179</v>
      </c>
      <c r="H1724" s="20">
        <f t="shared" si="130"/>
        <v>0</v>
      </c>
      <c r="I1724" s="21">
        <f t="shared" si="132"/>
        <v>0</v>
      </c>
      <c r="J1724" s="21">
        <f t="shared" si="132"/>
        <v>0</v>
      </c>
    </row>
    <row r="1725" spans="1:10" x14ac:dyDescent="0.3">
      <c r="A1725" s="2" t="s">
        <v>1635</v>
      </c>
      <c r="B1725" s="1" t="s">
        <v>2152</v>
      </c>
      <c r="C1725" s="6" t="s">
        <v>3787</v>
      </c>
      <c r="D1725" s="6" t="s">
        <v>5942</v>
      </c>
      <c r="E1725" s="20">
        <f t="shared" si="129"/>
        <v>0</v>
      </c>
      <c r="F1725" s="20"/>
      <c r="G1725" s="24" t="s">
        <v>8180</v>
      </c>
      <c r="H1725" s="20">
        <f t="shared" si="130"/>
        <v>0</v>
      </c>
      <c r="I1725" s="21">
        <f t="shared" si="132"/>
        <v>0</v>
      </c>
      <c r="J1725" s="21">
        <f t="shared" si="132"/>
        <v>0</v>
      </c>
    </row>
    <row r="1726" spans="1:10" x14ac:dyDescent="0.3">
      <c r="A1726" s="2" t="s">
        <v>1636</v>
      </c>
      <c r="B1726" s="1" t="s">
        <v>2152</v>
      </c>
      <c r="C1726" s="6" t="s">
        <v>3788</v>
      </c>
      <c r="D1726" s="6" t="s">
        <v>5943</v>
      </c>
      <c r="E1726" s="20">
        <f t="shared" si="129"/>
        <v>0</v>
      </c>
      <c r="F1726" s="20"/>
      <c r="G1726" s="24" t="s">
        <v>8181</v>
      </c>
      <c r="H1726" s="20">
        <f t="shared" si="130"/>
        <v>0</v>
      </c>
      <c r="I1726" s="21">
        <f t="shared" si="132"/>
        <v>0</v>
      </c>
      <c r="J1726" s="21">
        <f t="shared" si="132"/>
        <v>0</v>
      </c>
    </row>
    <row r="1727" spans="1:10" x14ac:dyDescent="0.3">
      <c r="A1727" s="2" t="s">
        <v>1637</v>
      </c>
      <c r="B1727" s="1" t="s">
        <v>2152</v>
      </c>
      <c r="C1727" s="6" t="s">
        <v>3789</v>
      </c>
      <c r="D1727" s="6" t="s">
        <v>5944</v>
      </c>
      <c r="E1727" s="20">
        <f t="shared" si="129"/>
        <v>0</v>
      </c>
      <c r="F1727" s="20"/>
      <c r="G1727" s="24" t="s">
        <v>8182</v>
      </c>
      <c r="H1727" s="20">
        <f t="shared" si="130"/>
        <v>0</v>
      </c>
      <c r="I1727" s="21">
        <f t="shared" si="132"/>
        <v>0</v>
      </c>
      <c r="J1727" s="21">
        <f t="shared" si="132"/>
        <v>0</v>
      </c>
    </row>
    <row r="1728" spans="1:10" x14ac:dyDescent="0.3">
      <c r="A1728" s="2" t="s">
        <v>1638</v>
      </c>
      <c r="B1728" s="1" t="s">
        <v>2152</v>
      </c>
      <c r="C1728" s="6" t="s">
        <v>3790</v>
      </c>
      <c r="D1728" s="6" t="s">
        <v>5945</v>
      </c>
      <c r="E1728" s="20">
        <f t="shared" si="129"/>
        <v>0</v>
      </c>
      <c r="F1728" s="20"/>
      <c r="G1728" s="24" t="s">
        <v>8183</v>
      </c>
      <c r="H1728" s="20">
        <f t="shared" si="130"/>
        <v>0</v>
      </c>
      <c r="I1728" s="21">
        <f t="shared" si="132"/>
        <v>0</v>
      </c>
      <c r="J1728" s="21">
        <f t="shared" si="132"/>
        <v>0</v>
      </c>
    </row>
    <row r="1729" spans="1:10" x14ac:dyDescent="0.3">
      <c r="A1729" s="2" t="s">
        <v>1639</v>
      </c>
      <c r="B1729" s="1" t="s">
        <v>2152</v>
      </c>
      <c r="C1729" s="6" t="s">
        <v>3791</v>
      </c>
      <c r="D1729" s="6" t="s">
        <v>5946</v>
      </c>
      <c r="E1729" s="20">
        <f t="shared" si="129"/>
        <v>0</v>
      </c>
      <c r="F1729" s="20"/>
      <c r="G1729" s="24" t="s">
        <v>8184</v>
      </c>
      <c r="H1729" s="20">
        <f t="shared" si="130"/>
        <v>0</v>
      </c>
      <c r="I1729" s="21">
        <f t="shared" si="132"/>
        <v>0</v>
      </c>
      <c r="J1729" s="21">
        <f t="shared" si="132"/>
        <v>0</v>
      </c>
    </row>
    <row r="1730" spans="1:10" x14ac:dyDescent="0.3">
      <c r="A1730" s="2" t="s">
        <v>1640</v>
      </c>
      <c r="B1730" s="1" t="s">
        <v>2152</v>
      </c>
      <c r="C1730" s="6" t="s">
        <v>3792</v>
      </c>
      <c r="D1730" s="6" t="s">
        <v>5947</v>
      </c>
      <c r="E1730" s="20">
        <f t="shared" si="129"/>
        <v>0</v>
      </c>
      <c r="F1730" s="20"/>
      <c r="G1730" s="24" t="s">
        <v>8185</v>
      </c>
      <c r="H1730" s="20">
        <f t="shared" si="130"/>
        <v>0</v>
      </c>
      <c r="I1730" s="21">
        <f t="shared" si="132"/>
        <v>0</v>
      </c>
      <c r="J1730" s="21">
        <f t="shared" si="132"/>
        <v>0</v>
      </c>
    </row>
    <row r="1731" spans="1:10" x14ac:dyDescent="0.3">
      <c r="A1731" s="2" t="s">
        <v>1641</v>
      </c>
      <c r="B1731" s="1" t="s">
        <v>2152</v>
      </c>
      <c r="C1731" s="6" t="s">
        <v>3793</v>
      </c>
      <c r="D1731" s="6" t="s">
        <v>5948</v>
      </c>
      <c r="E1731" s="20">
        <f t="shared" si="129"/>
        <v>0</v>
      </c>
      <c r="F1731" s="20"/>
      <c r="G1731" s="24" t="s">
        <v>8186</v>
      </c>
      <c r="H1731" s="20">
        <f t="shared" si="130"/>
        <v>0</v>
      </c>
      <c r="I1731" s="21">
        <f t="shared" si="132"/>
        <v>0</v>
      </c>
      <c r="J1731" s="21">
        <f t="shared" si="132"/>
        <v>0</v>
      </c>
    </row>
    <row r="1732" spans="1:10" x14ac:dyDescent="0.3">
      <c r="A1732" s="2" t="s">
        <v>1642</v>
      </c>
      <c r="B1732" s="1" t="s">
        <v>2152</v>
      </c>
      <c r="C1732" s="6" t="s">
        <v>3794</v>
      </c>
      <c r="D1732" s="6" t="s">
        <v>5949</v>
      </c>
      <c r="E1732" s="20">
        <f t="shared" si="129"/>
        <v>0</v>
      </c>
      <c r="F1732" s="20"/>
      <c r="G1732" s="24" t="s">
        <v>8187</v>
      </c>
      <c r="H1732" s="20">
        <f t="shared" si="130"/>
        <v>0</v>
      </c>
      <c r="I1732" s="21">
        <f t="shared" si="132"/>
        <v>0</v>
      </c>
      <c r="J1732" s="21">
        <f t="shared" si="132"/>
        <v>0</v>
      </c>
    </row>
    <row r="1733" spans="1:10" x14ac:dyDescent="0.3">
      <c r="A1733" s="2" t="s">
        <v>1643</v>
      </c>
      <c r="B1733" s="1" t="s">
        <v>2152</v>
      </c>
      <c r="C1733" s="6" t="s">
        <v>3795</v>
      </c>
      <c r="D1733" s="6" t="s">
        <v>5950</v>
      </c>
      <c r="E1733" s="20">
        <f t="shared" si="129"/>
        <v>0</v>
      </c>
      <c r="F1733" s="20"/>
      <c r="G1733" s="24" t="s">
        <v>8188</v>
      </c>
      <c r="H1733" s="20">
        <f t="shared" si="130"/>
        <v>0</v>
      </c>
      <c r="I1733" s="21">
        <f t="shared" si="132"/>
        <v>0</v>
      </c>
      <c r="J1733" s="21">
        <f t="shared" si="132"/>
        <v>0</v>
      </c>
    </row>
    <row r="1734" spans="1:10" x14ac:dyDescent="0.3">
      <c r="A1734" s="2" t="s">
        <v>1644</v>
      </c>
      <c r="B1734" s="1" t="s">
        <v>2152</v>
      </c>
      <c r="C1734" s="6" t="s">
        <v>3796</v>
      </c>
      <c r="D1734" s="6" t="s">
        <v>5951</v>
      </c>
      <c r="E1734" s="20">
        <f t="shared" si="129"/>
        <v>0</v>
      </c>
      <c r="F1734" s="20"/>
      <c r="G1734" s="24" t="s">
        <v>8189</v>
      </c>
      <c r="H1734" s="20">
        <f t="shared" si="130"/>
        <v>0</v>
      </c>
      <c r="I1734" s="21">
        <f t="shared" si="132"/>
        <v>0</v>
      </c>
      <c r="J1734" s="21">
        <f t="shared" si="132"/>
        <v>0</v>
      </c>
    </row>
    <row r="1735" spans="1:10" x14ac:dyDescent="0.3">
      <c r="A1735" s="2" t="s">
        <v>1645</v>
      </c>
      <c r="B1735" s="1" t="s">
        <v>2152</v>
      </c>
      <c r="C1735" s="6" t="s">
        <v>3797</v>
      </c>
      <c r="D1735" s="6" t="s">
        <v>5952</v>
      </c>
      <c r="E1735" s="20">
        <f t="shared" si="129"/>
        <v>0</v>
      </c>
      <c r="F1735" s="20"/>
      <c r="G1735" s="24" t="s">
        <v>8190</v>
      </c>
      <c r="H1735" s="20">
        <f t="shared" si="130"/>
        <v>0</v>
      </c>
      <c r="I1735" s="21">
        <f t="shared" si="132"/>
        <v>0</v>
      </c>
      <c r="J1735" s="21">
        <f t="shared" si="132"/>
        <v>0</v>
      </c>
    </row>
    <row r="1736" spans="1:10" x14ac:dyDescent="0.3">
      <c r="A1736" s="2" t="s">
        <v>1646</v>
      </c>
      <c r="B1736" s="1" t="s">
        <v>2152</v>
      </c>
      <c r="C1736" s="6" t="s">
        <v>3798</v>
      </c>
      <c r="D1736" s="6" t="s">
        <v>5953</v>
      </c>
      <c r="E1736" s="20">
        <f t="shared" si="129"/>
        <v>0</v>
      </c>
      <c r="F1736" s="20"/>
      <c r="G1736" s="24" t="s">
        <v>8191</v>
      </c>
      <c r="H1736" s="20">
        <f t="shared" si="130"/>
        <v>0</v>
      </c>
      <c r="I1736" s="21">
        <f t="shared" si="132"/>
        <v>0</v>
      </c>
      <c r="J1736" s="21">
        <f t="shared" si="132"/>
        <v>0</v>
      </c>
    </row>
    <row r="1737" spans="1:10" x14ac:dyDescent="0.3">
      <c r="A1737" s="2" t="s">
        <v>1647</v>
      </c>
      <c r="B1737" s="1" t="s">
        <v>2152</v>
      </c>
      <c r="C1737" s="6" t="s">
        <v>3799</v>
      </c>
      <c r="D1737" s="6" t="s">
        <v>5954</v>
      </c>
      <c r="E1737" s="20">
        <f t="shared" ref="E1737:E1800" si="133">H1737*1.8*1.4</f>
        <v>0</v>
      </c>
      <c r="F1737" s="20"/>
      <c r="G1737" s="24" t="s">
        <v>8192</v>
      </c>
      <c r="H1737" s="20">
        <f t="shared" ref="H1737:H1800" si="134">K1737*1.8*1.4</f>
        <v>0</v>
      </c>
      <c r="I1737" s="21">
        <f t="shared" si="132"/>
        <v>0</v>
      </c>
      <c r="J1737" s="21">
        <f t="shared" si="132"/>
        <v>0</v>
      </c>
    </row>
    <row r="1738" spans="1:10" x14ac:dyDescent="0.3">
      <c r="A1738" s="2" t="s">
        <v>1648</v>
      </c>
      <c r="B1738" s="1" t="s">
        <v>2152</v>
      </c>
      <c r="C1738" s="6" t="s">
        <v>3800</v>
      </c>
      <c r="D1738" s="6" t="s">
        <v>5955</v>
      </c>
      <c r="E1738" s="20">
        <f t="shared" si="133"/>
        <v>0</v>
      </c>
      <c r="F1738" s="20"/>
      <c r="G1738" s="24" t="s">
        <v>8193</v>
      </c>
      <c r="H1738" s="20">
        <f t="shared" si="134"/>
        <v>0</v>
      </c>
      <c r="I1738" s="21">
        <f t="shared" si="132"/>
        <v>0</v>
      </c>
      <c r="J1738" s="21">
        <f t="shared" si="132"/>
        <v>0</v>
      </c>
    </row>
    <row r="1739" spans="1:10" x14ac:dyDescent="0.3">
      <c r="A1739" s="2" t="s">
        <v>1649</v>
      </c>
      <c r="B1739" s="1" t="s">
        <v>2152</v>
      </c>
      <c r="C1739" s="6" t="s">
        <v>3801</v>
      </c>
      <c r="D1739" s="6" t="s">
        <v>5956</v>
      </c>
      <c r="E1739" s="20">
        <f t="shared" si="133"/>
        <v>0</v>
      </c>
      <c r="F1739" s="20"/>
      <c r="G1739" s="24" t="s">
        <v>8194</v>
      </c>
      <c r="H1739" s="20">
        <f t="shared" si="134"/>
        <v>0</v>
      </c>
      <c r="I1739" s="21">
        <f t="shared" si="132"/>
        <v>0</v>
      </c>
      <c r="J1739" s="21">
        <f t="shared" si="132"/>
        <v>0</v>
      </c>
    </row>
    <row r="1740" spans="1:10" x14ac:dyDescent="0.3">
      <c r="A1740" s="2" t="s">
        <v>1650</v>
      </c>
      <c r="B1740" s="1" t="s">
        <v>2152</v>
      </c>
      <c r="C1740" s="6" t="s">
        <v>3802</v>
      </c>
      <c r="D1740" s="6" t="s">
        <v>5957</v>
      </c>
      <c r="E1740" s="20">
        <f t="shared" si="133"/>
        <v>0</v>
      </c>
      <c r="F1740" s="20"/>
      <c r="G1740" s="24" t="s">
        <v>8195</v>
      </c>
      <c r="H1740" s="20">
        <f t="shared" si="134"/>
        <v>0</v>
      </c>
      <c r="I1740" s="21">
        <f t="shared" si="132"/>
        <v>0</v>
      </c>
      <c r="J1740" s="21">
        <f t="shared" si="132"/>
        <v>0</v>
      </c>
    </row>
    <row r="1741" spans="1:10" x14ac:dyDescent="0.3">
      <c r="A1741" s="2" t="s">
        <v>1651</v>
      </c>
      <c r="B1741" s="1" t="s">
        <v>2152</v>
      </c>
      <c r="C1741" s="6" t="s">
        <v>3803</v>
      </c>
      <c r="D1741" s="6" t="s">
        <v>5958</v>
      </c>
      <c r="E1741" s="20">
        <f t="shared" si="133"/>
        <v>0</v>
      </c>
      <c r="F1741" s="20"/>
      <c r="G1741" s="24" t="s">
        <v>8196</v>
      </c>
      <c r="H1741" s="20">
        <f t="shared" si="134"/>
        <v>0</v>
      </c>
      <c r="I1741" s="21">
        <f t="shared" si="132"/>
        <v>0</v>
      </c>
      <c r="J1741" s="21">
        <f t="shared" si="132"/>
        <v>0</v>
      </c>
    </row>
    <row r="1742" spans="1:10" x14ac:dyDescent="0.3">
      <c r="A1742" s="2" t="s">
        <v>1652</v>
      </c>
      <c r="B1742" s="1" t="s">
        <v>2152</v>
      </c>
      <c r="C1742" s="6" t="s">
        <v>3804</v>
      </c>
      <c r="D1742" s="6" t="s">
        <v>5959</v>
      </c>
      <c r="E1742" s="22">
        <f t="shared" si="133"/>
        <v>0</v>
      </c>
      <c r="F1742" s="20">
        <f>1.2*42.3</f>
        <v>50.76</v>
      </c>
      <c r="G1742" s="24" t="s">
        <v>8197</v>
      </c>
      <c r="H1742" s="22">
        <f t="shared" si="134"/>
        <v>0</v>
      </c>
      <c r="I1742" s="21">
        <f t="shared" si="132"/>
        <v>0</v>
      </c>
      <c r="J1742" s="21">
        <f t="shared" si="132"/>
        <v>0</v>
      </c>
    </row>
    <row r="1743" spans="1:10" x14ac:dyDescent="0.3">
      <c r="A1743" s="2" t="s">
        <v>1653</v>
      </c>
      <c r="B1743" s="1" t="s">
        <v>2152</v>
      </c>
      <c r="C1743" s="6" t="s">
        <v>3805</v>
      </c>
      <c r="D1743" s="6" t="s">
        <v>5960</v>
      </c>
      <c r="E1743" s="22">
        <f t="shared" si="133"/>
        <v>0</v>
      </c>
      <c r="F1743" s="20">
        <f>1.2*42.3</f>
        <v>50.76</v>
      </c>
      <c r="G1743" s="24" t="s">
        <v>8198</v>
      </c>
      <c r="H1743" s="22">
        <f t="shared" si="134"/>
        <v>0</v>
      </c>
      <c r="I1743" s="21">
        <f t="shared" si="132"/>
        <v>0</v>
      </c>
      <c r="J1743" s="21">
        <f t="shared" si="132"/>
        <v>0</v>
      </c>
    </row>
    <row r="1744" spans="1:10" x14ac:dyDescent="0.3">
      <c r="A1744" s="2" t="s">
        <v>1654</v>
      </c>
      <c r="B1744" s="1" t="s">
        <v>2152</v>
      </c>
      <c r="C1744" s="6" t="s">
        <v>3806</v>
      </c>
      <c r="D1744" s="6" t="s">
        <v>5961</v>
      </c>
      <c r="E1744" s="22">
        <f t="shared" si="133"/>
        <v>0</v>
      </c>
      <c r="F1744" s="20">
        <f>1.25*42.3</f>
        <v>52.875</v>
      </c>
      <c r="G1744" s="24" t="s">
        <v>8199</v>
      </c>
      <c r="H1744" s="22">
        <f t="shared" si="134"/>
        <v>0</v>
      </c>
      <c r="I1744" s="21">
        <f t="shared" si="132"/>
        <v>0</v>
      </c>
      <c r="J1744" s="21">
        <f t="shared" si="132"/>
        <v>0</v>
      </c>
    </row>
    <row r="1745" spans="1:10" x14ac:dyDescent="0.3">
      <c r="A1745" s="2" t="s">
        <v>1655</v>
      </c>
      <c r="B1745" s="1" t="s">
        <v>2152</v>
      </c>
      <c r="C1745" s="6" t="s">
        <v>3807</v>
      </c>
      <c r="D1745" s="6" t="s">
        <v>5962</v>
      </c>
      <c r="E1745" s="22">
        <f t="shared" si="133"/>
        <v>0</v>
      </c>
      <c r="F1745" s="20">
        <f>1.75*42.3</f>
        <v>74.024999999999991</v>
      </c>
      <c r="G1745" s="24" t="s">
        <v>8200</v>
      </c>
      <c r="H1745" s="22">
        <f t="shared" si="134"/>
        <v>0</v>
      </c>
      <c r="I1745" s="21">
        <f t="shared" si="132"/>
        <v>0</v>
      </c>
      <c r="J1745" s="21">
        <f t="shared" si="132"/>
        <v>0</v>
      </c>
    </row>
    <row r="1746" spans="1:10" x14ac:dyDescent="0.3">
      <c r="A1746" s="2" t="s">
        <v>1656</v>
      </c>
      <c r="B1746" s="1" t="s">
        <v>2152</v>
      </c>
      <c r="C1746" s="6" t="s">
        <v>3808</v>
      </c>
      <c r="D1746" s="6" t="s">
        <v>5963</v>
      </c>
      <c r="E1746" s="22">
        <f t="shared" si="133"/>
        <v>0</v>
      </c>
      <c r="F1746" s="20">
        <f>1.75*42.3</f>
        <v>74.024999999999991</v>
      </c>
      <c r="G1746" s="24" t="s">
        <v>8201</v>
      </c>
      <c r="H1746" s="22">
        <f t="shared" si="134"/>
        <v>0</v>
      </c>
      <c r="I1746" s="21">
        <f t="shared" si="132"/>
        <v>0</v>
      </c>
      <c r="J1746" s="21">
        <f t="shared" si="132"/>
        <v>0</v>
      </c>
    </row>
    <row r="1747" spans="1:10" x14ac:dyDescent="0.3">
      <c r="A1747" s="2" t="s">
        <v>1657</v>
      </c>
      <c r="B1747" s="1" t="s">
        <v>2152</v>
      </c>
      <c r="C1747" s="6" t="s">
        <v>3809</v>
      </c>
      <c r="D1747" s="6" t="s">
        <v>5964</v>
      </c>
      <c r="E1747" s="22">
        <f t="shared" si="133"/>
        <v>0</v>
      </c>
      <c r="F1747" s="20">
        <f>2.79*42.3</f>
        <v>118.017</v>
      </c>
      <c r="G1747" s="24" t="s">
        <v>8202</v>
      </c>
      <c r="H1747" s="22">
        <f t="shared" si="134"/>
        <v>0</v>
      </c>
      <c r="I1747" s="21">
        <f t="shared" si="132"/>
        <v>0</v>
      </c>
      <c r="J1747" s="21">
        <f t="shared" si="132"/>
        <v>0</v>
      </c>
    </row>
    <row r="1748" spans="1:10" x14ac:dyDescent="0.3">
      <c r="A1748" s="2" t="s">
        <v>708</v>
      </c>
      <c r="B1748" s="1" t="s">
        <v>2152</v>
      </c>
      <c r="C1748" s="6" t="s">
        <v>3810</v>
      </c>
      <c r="D1748" s="6" t="s">
        <v>5965</v>
      </c>
      <c r="E1748" s="22">
        <f t="shared" si="133"/>
        <v>0</v>
      </c>
      <c r="F1748" s="20">
        <f>2.92*42.3</f>
        <v>123.51599999999999</v>
      </c>
      <c r="G1748" s="24" t="s">
        <v>8203</v>
      </c>
      <c r="H1748" s="22">
        <f t="shared" si="134"/>
        <v>0</v>
      </c>
      <c r="I1748" s="21">
        <f t="shared" si="132"/>
        <v>0</v>
      </c>
      <c r="J1748" s="21">
        <f t="shared" si="132"/>
        <v>0</v>
      </c>
    </row>
    <row r="1749" spans="1:10" x14ac:dyDescent="0.3">
      <c r="A1749" s="2" t="s">
        <v>1658</v>
      </c>
      <c r="B1749" s="1" t="s">
        <v>2152</v>
      </c>
      <c r="C1749" s="6" t="s">
        <v>3811</v>
      </c>
      <c r="D1749" s="6" t="s">
        <v>5966</v>
      </c>
      <c r="E1749" s="22">
        <f t="shared" si="133"/>
        <v>0</v>
      </c>
      <c r="F1749" s="20">
        <f>3.48*42.3</f>
        <v>147.20399999999998</v>
      </c>
      <c r="G1749" s="24" t="s">
        <v>8204</v>
      </c>
      <c r="H1749" s="22">
        <f t="shared" si="134"/>
        <v>0</v>
      </c>
      <c r="I1749" s="21">
        <f t="shared" si="132"/>
        <v>0</v>
      </c>
      <c r="J1749" s="21">
        <f t="shared" si="132"/>
        <v>0</v>
      </c>
    </row>
    <row r="1750" spans="1:10" x14ac:dyDescent="0.3">
      <c r="A1750" s="2" t="s">
        <v>1659</v>
      </c>
      <c r="B1750" s="1" t="s">
        <v>2152</v>
      </c>
      <c r="C1750" s="6" t="s">
        <v>3812</v>
      </c>
      <c r="D1750" s="6" t="s">
        <v>5967</v>
      </c>
      <c r="E1750" s="22">
        <f t="shared" si="133"/>
        <v>0</v>
      </c>
      <c r="F1750" s="20">
        <f>5.05*42.3</f>
        <v>213.61499999999998</v>
      </c>
      <c r="G1750" s="24" t="s">
        <v>8205</v>
      </c>
      <c r="H1750" s="22">
        <f t="shared" si="134"/>
        <v>0</v>
      </c>
      <c r="I1750" s="21">
        <f t="shared" si="132"/>
        <v>0</v>
      </c>
      <c r="J1750" s="21">
        <f t="shared" si="132"/>
        <v>0</v>
      </c>
    </row>
    <row r="1751" spans="1:10" x14ac:dyDescent="0.3">
      <c r="A1751" s="2" t="s">
        <v>1660</v>
      </c>
      <c r="B1751" s="1" t="s">
        <v>2152</v>
      </c>
      <c r="C1751" s="6" t="s">
        <v>3813</v>
      </c>
      <c r="D1751" s="6" t="s">
        <v>5968</v>
      </c>
      <c r="E1751" s="22">
        <f t="shared" si="133"/>
        <v>0</v>
      </c>
      <c r="F1751" s="20">
        <f>12.04*42.3</f>
        <v>509.29199999999992</v>
      </c>
      <c r="G1751" s="24" t="s">
        <v>8206</v>
      </c>
      <c r="H1751" s="22">
        <f t="shared" si="134"/>
        <v>0</v>
      </c>
      <c r="I1751" s="21">
        <f t="shared" si="132"/>
        <v>0</v>
      </c>
      <c r="J1751" s="21">
        <f t="shared" si="132"/>
        <v>0</v>
      </c>
    </row>
    <row r="1752" spans="1:10" x14ac:dyDescent="0.3">
      <c r="A1752" s="2" t="s">
        <v>1661</v>
      </c>
      <c r="B1752" s="1" t="s">
        <v>2152</v>
      </c>
      <c r="C1752" s="6" t="s">
        <v>3814</v>
      </c>
      <c r="D1752" s="6" t="s">
        <v>5969</v>
      </c>
      <c r="E1752" s="22">
        <f t="shared" si="133"/>
        <v>0</v>
      </c>
      <c r="F1752" s="20">
        <f>18.75*42.3</f>
        <v>793.125</v>
      </c>
      <c r="G1752" s="24" t="s">
        <v>8207</v>
      </c>
      <c r="H1752" s="22">
        <f t="shared" si="134"/>
        <v>0</v>
      </c>
      <c r="I1752" s="21">
        <f t="shared" si="132"/>
        <v>0</v>
      </c>
      <c r="J1752" s="21">
        <f t="shared" si="132"/>
        <v>0</v>
      </c>
    </row>
    <row r="1753" spans="1:10" x14ac:dyDescent="0.3">
      <c r="A1753" s="2" t="s">
        <v>1662</v>
      </c>
      <c r="B1753" s="1" t="s">
        <v>2152</v>
      </c>
      <c r="C1753" s="6" t="s">
        <v>3815</v>
      </c>
      <c r="D1753" s="6" t="s">
        <v>5970</v>
      </c>
      <c r="E1753" s="22">
        <f t="shared" si="133"/>
        <v>0</v>
      </c>
      <c r="F1753" s="20">
        <f>41.2*42.3</f>
        <v>1742.76</v>
      </c>
      <c r="G1753" s="24" t="s">
        <v>8208</v>
      </c>
      <c r="H1753" s="22">
        <f t="shared" si="134"/>
        <v>0</v>
      </c>
      <c r="I1753" s="21">
        <f t="shared" si="132"/>
        <v>0</v>
      </c>
      <c r="J1753" s="21">
        <f t="shared" si="132"/>
        <v>0</v>
      </c>
    </row>
    <row r="1754" spans="1:10" x14ac:dyDescent="0.3">
      <c r="A1754" s="2" t="s">
        <v>1663</v>
      </c>
      <c r="B1754" s="1" t="s">
        <v>2152</v>
      </c>
      <c r="C1754" s="6" t="s">
        <v>3816</v>
      </c>
      <c r="D1754" s="6" t="s">
        <v>5971</v>
      </c>
      <c r="E1754" s="22">
        <f t="shared" si="133"/>
        <v>0</v>
      </c>
      <c r="F1754" s="20">
        <f>1.84*42.3</f>
        <v>77.831999999999994</v>
      </c>
      <c r="G1754" s="24" t="s">
        <v>8209</v>
      </c>
      <c r="H1754" s="22">
        <f t="shared" si="134"/>
        <v>0</v>
      </c>
      <c r="I1754" s="21">
        <f t="shared" si="132"/>
        <v>0</v>
      </c>
      <c r="J1754" s="21">
        <f t="shared" si="132"/>
        <v>0</v>
      </c>
    </row>
    <row r="1755" spans="1:10" x14ac:dyDescent="0.3">
      <c r="A1755" s="2" t="s">
        <v>1222</v>
      </c>
      <c r="B1755" s="1" t="s">
        <v>2152</v>
      </c>
      <c r="C1755" s="6" t="s">
        <v>3817</v>
      </c>
      <c r="D1755" s="6" t="s">
        <v>5972</v>
      </c>
      <c r="E1755" s="22">
        <f t="shared" si="133"/>
        <v>0</v>
      </c>
      <c r="F1755" s="20">
        <f>2.41*42.3</f>
        <v>101.943</v>
      </c>
      <c r="G1755" s="24" t="s">
        <v>8210</v>
      </c>
      <c r="H1755" s="22">
        <f t="shared" si="134"/>
        <v>0</v>
      </c>
      <c r="I1755" s="21">
        <f t="shared" si="132"/>
        <v>0</v>
      </c>
      <c r="J1755" s="21">
        <f t="shared" si="132"/>
        <v>0</v>
      </c>
    </row>
    <row r="1756" spans="1:10" x14ac:dyDescent="0.3">
      <c r="A1756" s="2" t="s">
        <v>1664</v>
      </c>
      <c r="B1756" s="1" t="s">
        <v>2152</v>
      </c>
      <c r="C1756" s="6" t="s">
        <v>3818</v>
      </c>
      <c r="D1756" s="6" t="s">
        <v>5973</v>
      </c>
      <c r="E1756" s="22">
        <f t="shared" si="133"/>
        <v>0</v>
      </c>
      <c r="F1756" s="20">
        <f>2.71*42.3</f>
        <v>114.633</v>
      </c>
      <c r="G1756" s="24" t="s">
        <v>8211</v>
      </c>
      <c r="H1756" s="22">
        <f t="shared" si="134"/>
        <v>0</v>
      </c>
      <c r="I1756" s="21">
        <f t="shared" si="132"/>
        <v>0</v>
      </c>
      <c r="J1756" s="21">
        <f t="shared" si="132"/>
        <v>0</v>
      </c>
    </row>
    <row r="1757" spans="1:10" x14ac:dyDescent="0.3">
      <c r="A1757" s="2" t="s">
        <v>1665</v>
      </c>
      <c r="B1757" s="1" t="s">
        <v>2152</v>
      </c>
      <c r="C1757" s="6" t="s">
        <v>3819</v>
      </c>
      <c r="D1757" s="6" t="s">
        <v>5974</v>
      </c>
      <c r="E1757" s="22">
        <f t="shared" si="133"/>
        <v>0</v>
      </c>
      <c r="F1757" s="20">
        <f>3.05*42.3</f>
        <v>129.01499999999999</v>
      </c>
      <c r="G1757" s="24" t="s">
        <v>8212</v>
      </c>
      <c r="H1757" s="22">
        <f t="shared" si="134"/>
        <v>0</v>
      </c>
      <c r="I1757" s="21">
        <f t="shared" si="132"/>
        <v>0</v>
      </c>
      <c r="J1757" s="21">
        <f t="shared" si="132"/>
        <v>0</v>
      </c>
    </row>
    <row r="1758" spans="1:10" x14ac:dyDescent="0.3">
      <c r="A1758" s="2" t="s">
        <v>1666</v>
      </c>
      <c r="B1758" s="1" t="s">
        <v>2152</v>
      </c>
      <c r="C1758" s="6" t="s">
        <v>3820</v>
      </c>
      <c r="D1758" s="6" t="s">
        <v>5975</v>
      </c>
      <c r="E1758" s="22">
        <f t="shared" si="133"/>
        <v>0</v>
      </c>
      <c r="F1758" s="20">
        <f>5.99*42.3</f>
        <v>253.37699999999998</v>
      </c>
      <c r="G1758" s="24" t="s">
        <v>8213</v>
      </c>
      <c r="H1758" s="22">
        <f t="shared" si="134"/>
        <v>0</v>
      </c>
      <c r="I1758" s="21">
        <f t="shared" si="132"/>
        <v>0</v>
      </c>
      <c r="J1758" s="21">
        <f t="shared" si="132"/>
        <v>0</v>
      </c>
    </row>
    <row r="1759" spans="1:10" x14ac:dyDescent="0.3">
      <c r="A1759" s="2" t="s">
        <v>1667</v>
      </c>
      <c r="B1759" s="1" t="s">
        <v>2152</v>
      </c>
      <c r="C1759" s="6" t="s">
        <v>3821</v>
      </c>
      <c r="D1759" s="6" t="s">
        <v>5976</v>
      </c>
      <c r="E1759" s="22">
        <f t="shared" si="133"/>
        <v>0</v>
      </c>
      <c r="F1759" s="20">
        <f>8.19*42.3</f>
        <v>346.43699999999995</v>
      </c>
      <c r="G1759" s="24" t="s">
        <v>8214</v>
      </c>
      <c r="H1759" s="22">
        <f t="shared" si="134"/>
        <v>0</v>
      </c>
      <c r="I1759" s="21">
        <f t="shared" si="132"/>
        <v>0</v>
      </c>
      <c r="J1759" s="21">
        <f t="shared" si="132"/>
        <v>0</v>
      </c>
    </row>
    <row r="1760" spans="1:10" x14ac:dyDescent="0.3">
      <c r="A1760" s="2" t="s">
        <v>1668</v>
      </c>
      <c r="B1760" s="1" t="s">
        <v>2152</v>
      </c>
      <c r="C1760" s="6" t="s">
        <v>3822</v>
      </c>
      <c r="D1760" s="6" t="s">
        <v>5977</v>
      </c>
      <c r="E1760" s="22">
        <f t="shared" si="133"/>
        <v>0</v>
      </c>
      <c r="F1760" s="20">
        <f>14.02*42.3</f>
        <v>593.04599999999994</v>
      </c>
      <c r="G1760" s="24" t="s">
        <v>8215</v>
      </c>
      <c r="H1760" s="22">
        <f t="shared" si="134"/>
        <v>0</v>
      </c>
      <c r="I1760" s="21">
        <f t="shared" si="132"/>
        <v>0</v>
      </c>
      <c r="J1760" s="21">
        <f t="shared" si="132"/>
        <v>0</v>
      </c>
    </row>
    <row r="1761" spans="1:10" x14ac:dyDescent="0.3">
      <c r="A1761" s="2" t="s">
        <v>1669</v>
      </c>
      <c r="B1761" s="1" t="s">
        <v>2152</v>
      </c>
      <c r="C1761" s="6" t="s">
        <v>3823</v>
      </c>
      <c r="D1761" s="6" t="s">
        <v>5978</v>
      </c>
      <c r="E1761" s="22">
        <f t="shared" si="133"/>
        <v>0</v>
      </c>
      <c r="F1761" s="20">
        <f>22.15*42.3</f>
        <v>936.94499999999982</v>
      </c>
      <c r="G1761" s="24" t="s">
        <v>8216</v>
      </c>
      <c r="H1761" s="22">
        <f t="shared" si="134"/>
        <v>0</v>
      </c>
      <c r="I1761" s="21">
        <f t="shared" si="132"/>
        <v>0</v>
      </c>
      <c r="J1761" s="21">
        <f t="shared" si="132"/>
        <v>0</v>
      </c>
    </row>
    <row r="1762" spans="1:10" x14ac:dyDescent="0.3">
      <c r="A1762" s="2" t="s">
        <v>507</v>
      </c>
      <c r="B1762" s="1" t="s">
        <v>2152</v>
      </c>
      <c r="C1762" s="6" t="s">
        <v>2653</v>
      </c>
      <c r="D1762" s="6" t="s">
        <v>4821</v>
      </c>
      <c r="E1762" s="22">
        <f t="shared" si="133"/>
        <v>0</v>
      </c>
      <c r="F1762" s="20">
        <f>8.36*42.3</f>
        <v>353.62799999999993</v>
      </c>
      <c r="G1762" s="24" t="s">
        <v>8217</v>
      </c>
      <c r="H1762" s="22">
        <f t="shared" si="134"/>
        <v>0</v>
      </c>
      <c r="I1762" s="21">
        <f t="shared" si="132"/>
        <v>0</v>
      </c>
      <c r="J1762" s="21">
        <f t="shared" si="132"/>
        <v>0</v>
      </c>
    </row>
    <row r="1763" spans="1:10" x14ac:dyDescent="0.3">
      <c r="A1763" s="2" t="s">
        <v>508</v>
      </c>
      <c r="B1763" s="1" t="s">
        <v>2152</v>
      </c>
      <c r="C1763" s="6" t="s">
        <v>2654</v>
      </c>
      <c r="D1763" s="6" t="s">
        <v>4822</v>
      </c>
      <c r="E1763" s="22">
        <f t="shared" si="133"/>
        <v>0</v>
      </c>
      <c r="F1763" s="20">
        <f>8.88*42.3</f>
        <v>375.62400000000002</v>
      </c>
      <c r="G1763" s="24" t="s">
        <v>8218</v>
      </c>
      <c r="H1763" s="22">
        <f t="shared" si="134"/>
        <v>0</v>
      </c>
      <c r="I1763" s="21">
        <f t="shared" si="132"/>
        <v>0</v>
      </c>
      <c r="J1763" s="21">
        <f t="shared" si="132"/>
        <v>0</v>
      </c>
    </row>
    <row r="1764" spans="1:10" x14ac:dyDescent="0.3">
      <c r="A1764" s="2" t="s">
        <v>509</v>
      </c>
      <c r="B1764" s="1" t="s">
        <v>2152</v>
      </c>
      <c r="C1764" s="6" t="s">
        <v>2655</v>
      </c>
      <c r="D1764" s="6" t="s">
        <v>4823</v>
      </c>
      <c r="E1764" s="22">
        <f t="shared" si="133"/>
        <v>0</v>
      </c>
      <c r="F1764" s="20">
        <f>12.01*42.3</f>
        <v>508.02299999999997</v>
      </c>
      <c r="G1764" s="24" t="s">
        <v>8219</v>
      </c>
      <c r="H1764" s="22">
        <f t="shared" si="134"/>
        <v>0</v>
      </c>
      <c r="I1764" s="21">
        <f t="shared" si="132"/>
        <v>0</v>
      </c>
      <c r="J1764" s="21">
        <f t="shared" si="132"/>
        <v>0</v>
      </c>
    </row>
    <row r="1765" spans="1:10" x14ac:dyDescent="0.3">
      <c r="A1765" s="2" t="s">
        <v>510</v>
      </c>
      <c r="B1765" s="1" t="s">
        <v>2152</v>
      </c>
      <c r="C1765" s="6" t="s">
        <v>2656</v>
      </c>
      <c r="D1765" s="6" t="s">
        <v>4824</v>
      </c>
      <c r="E1765" s="22">
        <f t="shared" si="133"/>
        <v>0</v>
      </c>
      <c r="F1765" s="20">
        <f>16.64*42.3</f>
        <v>703.87199999999996</v>
      </c>
      <c r="G1765" s="24" t="s">
        <v>8220</v>
      </c>
      <c r="H1765" s="22">
        <f t="shared" si="134"/>
        <v>0</v>
      </c>
      <c r="I1765" s="21">
        <f t="shared" si="132"/>
        <v>0</v>
      </c>
      <c r="J1765" s="21">
        <f t="shared" si="132"/>
        <v>0</v>
      </c>
    </row>
    <row r="1766" spans="1:10" x14ac:dyDescent="0.3">
      <c r="A1766" s="2" t="s">
        <v>511</v>
      </c>
      <c r="B1766" s="1" t="s">
        <v>2152</v>
      </c>
      <c r="C1766" s="6" t="s">
        <v>2657</v>
      </c>
      <c r="D1766" s="6" t="s">
        <v>4825</v>
      </c>
      <c r="E1766" s="22">
        <f t="shared" si="133"/>
        <v>0</v>
      </c>
      <c r="F1766" s="20">
        <f>20.81*42.3</f>
        <v>880.26299999999992</v>
      </c>
      <c r="G1766" s="24" t="s">
        <v>8221</v>
      </c>
      <c r="H1766" s="22">
        <f t="shared" si="134"/>
        <v>0</v>
      </c>
      <c r="I1766" s="21">
        <f t="shared" si="132"/>
        <v>0</v>
      </c>
      <c r="J1766" s="21">
        <f t="shared" si="132"/>
        <v>0</v>
      </c>
    </row>
    <row r="1767" spans="1:10" x14ac:dyDescent="0.3">
      <c r="A1767" s="2" t="s">
        <v>512</v>
      </c>
      <c r="B1767" s="1" t="s">
        <v>2152</v>
      </c>
      <c r="C1767" s="6" t="s">
        <v>2658</v>
      </c>
      <c r="D1767" s="6" t="s">
        <v>4826</v>
      </c>
      <c r="E1767" s="22">
        <f t="shared" si="133"/>
        <v>0</v>
      </c>
      <c r="F1767" s="20">
        <f>32.82*42.3</f>
        <v>1388.2859999999998</v>
      </c>
      <c r="G1767" s="24" t="s">
        <v>8222</v>
      </c>
      <c r="H1767" s="22">
        <f t="shared" si="134"/>
        <v>0</v>
      </c>
      <c r="I1767" s="21">
        <f t="shared" si="132"/>
        <v>0</v>
      </c>
      <c r="J1767" s="21">
        <f t="shared" si="132"/>
        <v>0</v>
      </c>
    </row>
    <row r="1768" spans="1:10" x14ac:dyDescent="0.3">
      <c r="A1768" s="2" t="s">
        <v>513</v>
      </c>
      <c r="B1768" s="1" t="s">
        <v>2152</v>
      </c>
      <c r="C1768" s="6" t="s">
        <v>2659</v>
      </c>
      <c r="D1768" s="6" t="s">
        <v>4827</v>
      </c>
      <c r="E1768" s="22">
        <f t="shared" si="133"/>
        <v>0</v>
      </c>
      <c r="F1768" s="20">
        <f>33.74*42.3</f>
        <v>1427.202</v>
      </c>
      <c r="G1768" s="24" t="s">
        <v>8223</v>
      </c>
      <c r="H1768" s="22">
        <f t="shared" si="134"/>
        <v>0</v>
      </c>
      <c r="I1768" s="21">
        <f t="shared" si="132"/>
        <v>0</v>
      </c>
      <c r="J1768" s="21">
        <f t="shared" si="132"/>
        <v>0</v>
      </c>
    </row>
    <row r="1769" spans="1:10" x14ac:dyDescent="0.3">
      <c r="A1769" s="2" t="s">
        <v>514</v>
      </c>
      <c r="B1769" s="1" t="s">
        <v>2152</v>
      </c>
      <c r="C1769" s="6" t="s">
        <v>2660</v>
      </c>
      <c r="D1769" s="6" t="s">
        <v>4828</v>
      </c>
      <c r="E1769" s="22">
        <f t="shared" si="133"/>
        <v>0</v>
      </c>
      <c r="F1769" s="20">
        <f>44.6*42.3</f>
        <v>1886.58</v>
      </c>
      <c r="G1769" s="24" t="s">
        <v>8224</v>
      </c>
      <c r="H1769" s="22">
        <f t="shared" si="134"/>
        <v>0</v>
      </c>
      <c r="I1769" s="21">
        <f t="shared" si="132"/>
        <v>0</v>
      </c>
      <c r="J1769" s="21">
        <f t="shared" si="132"/>
        <v>0</v>
      </c>
    </row>
    <row r="1770" spans="1:10" x14ac:dyDescent="0.3">
      <c r="A1770" s="2" t="s">
        <v>515</v>
      </c>
      <c r="B1770" s="1" t="s">
        <v>2152</v>
      </c>
      <c r="C1770" s="6" t="s">
        <v>2661</v>
      </c>
      <c r="D1770" s="6" t="s">
        <v>4829</v>
      </c>
      <c r="E1770" s="22">
        <f t="shared" si="133"/>
        <v>0</v>
      </c>
      <c r="F1770" s="20">
        <f>56.88*42.3</f>
        <v>2406.0239999999999</v>
      </c>
      <c r="G1770" s="24" t="s">
        <v>8225</v>
      </c>
      <c r="H1770" s="22">
        <f t="shared" si="134"/>
        <v>0</v>
      </c>
      <c r="I1770" s="21">
        <f t="shared" si="132"/>
        <v>0</v>
      </c>
      <c r="J1770" s="21">
        <f t="shared" si="132"/>
        <v>0</v>
      </c>
    </row>
    <row r="1771" spans="1:10" x14ac:dyDescent="0.3">
      <c r="A1771" s="2" t="s">
        <v>516</v>
      </c>
      <c r="B1771" s="1" t="s">
        <v>2152</v>
      </c>
      <c r="C1771" s="6" t="s">
        <v>2662</v>
      </c>
      <c r="D1771" s="6" t="s">
        <v>4830</v>
      </c>
      <c r="E1771" s="22">
        <f t="shared" si="133"/>
        <v>0</v>
      </c>
      <c r="F1771" s="20">
        <f>76.9*42.3</f>
        <v>3252.87</v>
      </c>
      <c r="G1771" s="24" t="s">
        <v>8226</v>
      </c>
      <c r="H1771" s="22">
        <f t="shared" si="134"/>
        <v>0</v>
      </c>
      <c r="I1771" s="21">
        <f t="shared" si="132"/>
        <v>0</v>
      </c>
      <c r="J1771" s="21">
        <f t="shared" si="132"/>
        <v>0</v>
      </c>
    </row>
    <row r="1772" spans="1:10" x14ac:dyDescent="0.3">
      <c r="A1772" s="2" t="s">
        <v>517</v>
      </c>
      <c r="B1772" s="1" t="s">
        <v>2152</v>
      </c>
      <c r="C1772" s="6" t="s">
        <v>2663</v>
      </c>
      <c r="D1772" s="6" t="s">
        <v>4831</v>
      </c>
      <c r="E1772" s="22">
        <f t="shared" si="133"/>
        <v>0</v>
      </c>
      <c r="F1772" s="20">
        <f>130.49*42.3</f>
        <v>5519.7269999999999</v>
      </c>
      <c r="G1772" s="24" t="s">
        <v>8227</v>
      </c>
      <c r="H1772" s="22">
        <f t="shared" si="134"/>
        <v>0</v>
      </c>
      <c r="I1772" s="21">
        <f t="shared" si="132"/>
        <v>0</v>
      </c>
      <c r="J1772" s="21">
        <f t="shared" si="132"/>
        <v>0</v>
      </c>
    </row>
    <row r="1773" spans="1:10" x14ac:dyDescent="0.3">
      <c r="A1773" s="2" t="s">
        <v>519</v>
      </c>
      <c r="B1773" s="1" t="s">
        <v>2152</v>
      </c>
      <c r="C1773" s="6" t="s">
        <v>2665</v>
      </c>
      <c r="D1773" s="6" t="s">
        <v>4833</v>
      </c>
      <c r="E1773" s="22">
        <f t="shared" si="133"/>
        <v>0</v>
      </c>
      <c r="F1773" s="20"/>
      <c r="G1773" s="24" t="s">
        <v>8228</v>
      </c>
      <c r="H1773" s="22">
        <f t="shared" si="134"/>
        <v>0</v>
      </c>
      <c r="I1773" s="21">
        <f t="shared" si="132"/>
        <v>0</v>
      </c>
      <c r="J1773" s="21">
        <f t="shared" si="132"/>
        <v>0</v>
      </c>
    </row>
    <row r="1774" spans="1:10" x14ac:dyDescent="0.3">
      <c r="A1774" s="2" t="s">
        <v>1670</v>
      </c>
      <c r="B1774" s="1" t="s">
        <v>2152</v>
      </c>
      <c r="C1774" s="6" t="s">
        <v>3824</v>
      </c>
      <c r="D1774" s="6" t="s">
        <v>5979</v>
      </c>
      <c r="E1774" s="22">
        <f t="shared" si="133"/>
        <v>0</v>
      </c>
      <c r="F1774" s="20">
        <f>1.78*42.3</f>
        <v>75.293999999999997</v>
      </c>
      <c r="G1774" s="24" t="s">
        <v>8229</v>
      </c>
      <c r="H1774" s="22">
        <f t="shared" si="134"/>
        <v>0</v>
      </c>
      <c r="I1774" s="21">
        <f t="shared" si="132"/>
        <v>0</v>
      </c>
      <c r="J1774" s="21">
        <f t="shared" si="132"/>
        <v>0</v>
      </c>
    </row>
    <row r="1775" spans="1:10" x14ac:dyDescent="0.3">
      <c r="A1775" s="2" t="s">
        <v>1671</v>
      </c>
      <c r="B1775" s="1" t="s">
        <v>2152</v>
      </c>
      <c r="C1775" s="6" t="s">
        <v>3825</v>
      </c>
      <c r="D1775" s="6" t="s">
        <v>5980</v>
      </c>
      <c r="E1775" s="22">
        <f t="shared" si="133"/>
        <v>0</v>
      </c>
      <c r="F1775" s="20">
        <f>2.05*42.3</f>
        <v>86.714999999999989</v>
      </c>
      <c r="G1775" s="24" t="s">
        <v>8230</v>
      </c>
      <c r="H1775" s="22">
        <f t="shared" si="134"/>
        <v>0</v>
      </c>
      <c r="I1775" s="21">
        <f t="shared" si="132"/>
        <v>0</v>
      </c>
      <c r="J1775" s="21">
        <f t="shared" si="132"/>
        <v>0</v>
      </c>
    </row>
    <row r="1776" spans="1:10" x14ac:dyDescent="0.3">
      <c r="A1776" s="2" t="s">
        <v>1672</v>
      </c>
      <c r="B1776" s="1" t="s">
        <v>2152</v>
      </c>
      <c r="C1776" s="6" t="s">
        <v>3826</v>
      </c>
      <c r="D1776" s="6" t="s">
        <v>5981</v>
      </c>
      <c r="E1776" s="22">
        <f t="shared" si="133"/>
        <v>0</v>
      </c>
      <c r="F1776" s="20">
        <f>2.4*42.3</f>
        <v>101.52</v>
      </c>
      <c r="G1776" s="24" t="s">
        <v>8231</v>
      </c>
      <c r="H1776" s="22">
        <f t="shared" si="134"/>
        <v>0</v>
      </c>
      <c r="I1776" s="21">
        <f t="shared" si="132"/>
        <v>0</v>
      </c>
      <c r="J1776" s="21">
        <f t="shared" si="132"/>
        <v>0</v>
      </c>
    </row>
    <row r="1777" spans="1:10" x14ac:dyDescent="0.3">
      <c r="A1777" s="2" t="s">
        <v>1673</v>
      </c>
      <c r="B1777" s="1" t="s">
        <v>2152</v>
      </c>
      <c r="C1777" s="6" t="s">
        <v>3827</v>
      </c>
      <c r="D1777" s="6" t="s">
        <v>5982</v>
      </c>
      <c r="E1777" s="22">
        <f t="shared" si="133"/>
        <v>0</v>
      </c>
      <c r="F1777" s="20">
        <f>2.91*42.3</f>
        <v>123.093</v>
      </c>
      <c r="G1777" s="24" t="s">
        <v>8232</v>
      </c>
      <c r="H1777" s="22">
        <f t="shared" si="134"/>
        <v>0</v>
      </c>
      <c r="I1777" s="21">
        <f t="shared" si="132"/>
        <v>0</v>
      </c>
      <c r="J1777" s="21">
        <f t="shared" si="132"/>
        <v>0</v>
      </c>
    </row>
    <row r="1778" spans="1:10" x14ac:dyDescent="0.3">
      <c r="A1778" s="2" t="s">
        <v>1674</v>
      </c>
      <c r="B1778" s="1" t="s">
        <v>2152</v>
      </c>
      <c r="C1778" s="6" t="s">
        <v>3828</v>
      </c>
      <c r="D1778" s="6" t="s">
        <v>5983</v>
      </c>
      <c r="E1778" s="22">
        <f t="shared" si="133"/>
        <v>0</v>
      </c>
      <c r="F1778" s="20">
        <f>4.08*42.3</f>
        <v>172.584</v>
      </c>
      <c r="G1778" s="24" t="s">
        <v>8233</v>
      </c>
      <c r="H1778" s="22">
        <f t="shared" si="134"/>
        <v>0</v>
      </c>
      <c r="I1778" s="21">
        <f t="shared" si="132"/>
        <v>0</v>
      </c>
      <c r="J1778" s="21">
        <f t="shared" si="132"/>
        <v>0</v>
      </c>
    </row>
    <row r="1779" spans="1:10" x14ac:dyDescent="0.3">
      <c r="A1779" s="2" t="s">
        <v>1675</v>
      </c>
      <c r="B1779" s="1" t="s">
        <v>2152</v>
      </c>
      <c r="C1779" s="6" t="s">
        <v>3829</v>
      </c>
      <c r="D1779" s="6" t="s">
        <v>5984</v>
      </c>
      <c r="E1779" s="22">
        <f t="shared" si="133"/>
        <v>0</v>
      </c>
      <c r="F1779" s="20">
        <f>5.22*42.3</f>
        <v>220.80599999999998</v>
      </c>
      <c r="G1779" s="24" t="s">
        <v>8234</v>
      </c>
      <c r="H1779" s="22">
        <f t="shared" si="134"/>
        <v>0</v>
      </c>
      <c r="I1779" s="21">
        <f t="shared" si="132"/>
        <v>0</v>
      </c>
      <c r="J1779" s="21">
        <f t="shared" si="132"/>
        <v>0</v>
      </c>
    </row>
    <row r="1780" spans="1:10" x14ac:dyDescent="0.3">
      <c r="A1780" s="2" t="s">
        <v>1676</v>
      </c>
      <c r="B1780" s="1" t="s">
        <v>2152</v>
      </c>
      <c r="C1780" s="6" t="s">
        <v>3830</v>
      </c>
      <c r="D1780" s="6" t="s">
        <v>5985</v>
      </c>
      <c r="E1780" s="22">
        <f t="shared" si="133"/>
        <v>0</v>
      </c>
      <c r="F1780" s="20">
        <f>8.08*42.3</f>
        <v>341.78399999999999</v>
      </c>
      <c r="G1780" s="24" t="s">
        <v>8235</v>
      </c>
      <c r="H1780" s="22">
        <f t="shared" si="134"/>
        <v>0</v>
      </c>
      <c r="I1780" s="21">
        <f t="shared" si="132"/>
        <v>0</v>
      </c>
      <c r="J1780" s="21">
        <f t="shared" si="132"/>
        <v>0</v>
      </c>
    </row>
    <row r="1781" spans="1:10" x14ac:dyDescent="0.3">
      <c r="A1781" s="2" t="s">
        <v>1677</v>
      </c>
      <c r="B1781" s="1" t="s">
        <v>2152</v>
      </c>
      <c r="C1781" s="6" t="s">
        <v>3831</v>
      </c>
      <c r="D1781" s="6" t="s">
        <v>5986</v>
      </c>
      <c r="E1781" s="22">
        <f t="shared" si="133"/>
        <v>0</v>
      </c>
      <c r="F1781" s="20">
        <f>13.57*42.3</f>
        <v>574.01099999999997</v>
      </c>
      <c r="G1781" s="24" t="s">
        <v>8236</v>
      </c>
      <c r="H1781" s="22">
        <f t="shared" si="134"/>
        <v>0</v>
      </c>
      <c r="I1781" s="21">
        <f t="shared" ref="I1781:J1844" si="135">W1781</f>
        <v>0</v>
      </c>
      <c r="J1781" s="21">
        <f t="shared" si="135"/>
        <v>0</v>
      </c>
    </row>
    <row r="1782" spans="1:10" x14ac:dyDescent="0.3">
      <c r="A1782" s="2" t="s">
        <v>1678</v>
      </c>
      <c r="B1782" s="1" t="s">
        <v>2152</v>
      </c>
      <c r="C1782" s="6" t="s">
        <v>3832</v>
      </c>
      <c r="D1782" s="6" t="s">
        <v>5987</v>
      </c>
      <c r="E1782" s="22">
        <f t="shared" si="133"/>
        <v>0</v>
      </c>
      <c r="F1782" s="20">
        <f>39.75*42.3</f>
        <v>1681.425</v>
      </c>
      <c r="G1782" s="24" t="s">
        <v>8237</v>
      </c>
      <c r="H1782" s="22">
        <f t="shared" si="134"/>
        <v>0</v>
      </c>
      <c r="I1782" s="21">
        <f t="shared" si="135"/>
        <v>0</v>
      </c>
      <c r="J1782" s="21">
        <f t="shared" si="135"/>
        <v>0</v>
      </c>
    </row>
    <row r="1783" spans="1:10" x14ac:dyDescent="0.3">
      <c r="A1783" s="2" t="s">
        <v>632</v>
      </c>
      <c r="B1783" s="1" t="s">
        <v>2152</v>
      </c>
      <c r="C1783" s="6" t="s">
        <v>2779</v>
      </c>
      <c r="D1783" s="6" t="s">
        <v>5988</v>
      </c>
      <c r="E1783" s="22">
        <f t="shared" si="133"/>
        <v>0</v>
      </c>
      <c r="F1783" s="20">
        <f>8.77*42.3</f>
        <v>370.97099999999995</v>
      </c>
      <c r="G1783" s="24" t="s">
        <v>8238</v>
      </c>
      <c r="H1783" s="22">
        <f t="shared" si="134"/>
        <v>0</v>
      </c>
      <c r="I1783" s="21">
        <f t="shared" si="135"/>
        <v>0</v>
      </c>
      <c r="J1783" s="21">
        <f t="shared" si="135"/>
        <v>0</v>
      </c>
    </row>
    <row r="1784" spans="1:10" x14ac:dyDescent="0.3">
      <c r="A1784" s="2" t="s">
        <v>1679</v>
      </c>
      <c r="B1784" s="1" t="s">
        <v>2152</v>
      </c>
      <c r="C1784" s="6" t="s">
        <v>3833</v>
      </c>
      <c r="D1784" s="6" t="s">
        <v>5989</v>
      </c>
      <c r="E1784" s="22">
        <f t="shared" si="133"/>
        <v>0</v>
      </c>
      <c r="F1784" s="20">
        <f>10.12*42.3</f>
        <v>428.07599999999996</v>
      </c>
      <c r="G1784" s="24" t="s">
        <v>8239</v>
      </c>
      <c r="H1784" s="22">
        <f t="shared" si="134"/>
        <v>0</v>
      </c>
      <c r="I1784" s="21">
        <f t="shared" si="135"/>
        <v>0</v>
      </c>
      <c r="J1784" s="21">
        <f t="shared" si="135"/>
        <v>0</v>
      </c>
    </row>
    <row r="1785" spans="1:10" x14ac:dyDescent="0.3">
      <c r="A1785" s="2" t="s">
        <v>1680</v>
      </c>
      <c r="B1785" s="1" t="s">
        <v>2152</v>
      </c>
      <c r="C1785" s="6" t="s">
        <v>3834</v>
      </c>
      <c r="D1785" s="6" t="s">
        <v>5990</v>
      </c>
      <c r="E1785" s="22">
        <f t="shared" si="133"/>
        <v>0</v>
      </c>
      <c r="F1785" s="20">
        <f>12.32*42.3</f>
        <v>521.13599999999997</v>
      </c>
      <c r="G1785" s="24" t="s">
        <v>8240</v>
      </c>
      <c r="H1785" s="22">
        <f t="shared" si="134"/>
        <v>0</v>
      </c>
      <c r="I1785" s="21">
        <f t="shared" si="135"/>
        <v>0</v>
      </c>
      <c r="J1785" s="21">
        <f t="shared" si="135"/>
        <v>0</v>
      </c>
    </row>
    <row r="1786" spans="1:10" x14ac:dyDescent="0.3">
      <c r="A1786" s="2" t="s">
        <v>1681</v>
      </c>
      <c r="B1786" s="1" t="s">
        <v>2152</v>
      </c>
      <c r="C1786" s="6" t="s">
        <v>3835</v>
      </c>
      <c r="D1786" s="6" t="s">
        <v>5991</v>
      </c>
      <c r="E1786" s="22">
        <f t="shared" si="133"/>
        <v>0</v>
      </c>
      <c r="F1786" s="20">
        <f>20.11*42.3</f>
        <v>850.65299999999991</v>
      </c>
      <c r="G1786" s="24" t="s">
        <v>8241</v>
      </c>
      <c r="H1786" s="22">
        <f t="shared" si="134"/>
        <v>0</v>
      </c>
      <c r="I1786" s="21">
        <f t="shared" si="135"/>
        <v>0</v>
      </c>
      <c r="J1786" s="21">
        <f t="shared" si="135"/>
        <v>0</v>
      </c>
    </row>
    <row r="1787" spans="1:10" x14ac:dyDescent="0.3">
      <c r="A1787" s="2" t="s">
        <v>1682</v>
      </c>
      <c r="B1787" s="1" t="s">
        <v>2152</v>
      </c>
      <c r="C1787" s="6" t="s">
        <v>3836</v>
      </c>
      <c r="D1787" s="6" t="s">
        <v>3836</v>
      </c>
      <c r="E1787" s="22">
        <f t="shared" si="133"/>
        <v>0</v>
      </c>
      <c r="F1787" s="20"/>
      <c r="G1787" s="24" t="s">
        <v>8242</v>
      </c>
      <c r="H1787" s="22">
        <f t="shared" si="134"/>
        <v>0</v>
      </c>
      <c r="I1787" s="21">
        <f>W1787</f>
        <v>0</v>
      </c>
      <c r="J1787" s="21">
        <f>X1787</f>
        <v>0</v>
      </c>
    </row>
    <row r="1788" spans="1:10" x14ac:dyDescent="0.3">
      <c r="A1788" s="2" t="s">
        <v>1683</v>
      </c>
      <c r="B1788" s="1" t="s">
        <v>2152</v>
      </c>
      <c r="C1788" s="6" t="s">
        <v>3837</v>
      </c>
      <c r="D1788" s="6" t="s">
        <v>5992</v>
      </c>
      <c r="E1788" s="22">
        <f t="shared" si="133"/>
        <v>0</v>
      </c>
      <c r="F1788" s="20">
        <f>3.53*42.3</f>
        <v>149.31899999999999</v>
      </c>
      <c r="G1788" s="24" t="s">
        <v>8243</v>
      </c>
      <c r="H1788" s="22">
        <f t="shared" si="134"/>
        <v>0</v>
      </c>
      <c r="I1788" s="21">
        <f t="shared" si="135"/>
        <v>0</v>
      </c>
      <c r="J1788" s="21">
        <f t="shared" si="135"/>
        <v>0</v>
      </c>
    </row>
    <row r="1789" spans="1:10" x14ac:dyDescent="0.3">
      <c r="A1789" s="2" t="s">
        <v>1684</v>
      </c>
      <c r="B1789" s="1" t="s">
        <v>2152</v>
      </c>
      <c r="C1789" s="6" t="s">
        <v>3838</v>
      </c>
      <c r="D1789" s="6" t="s">
        <v>5993</v>
      </c>
      <c r="E1789" s="22">
        <f t="shared" si="133"/>
        <v>0</v>
      </c>
      <c r="F1789" s="20">
        <f>3.96*42.3</f>
        <v>167.50799999999998</v>
      </c>
      <c r="G1789" s="24" t="s">
        <v>8244</v>
      </c>
      <c r="H1789" s="22">
        <f t="shared" si="134"/>
        <v>0</v>
      </c>
      <c r="I1789" s="21">
        <f t="shared" si="135"/>
        <v>0</v>
      </c>
      <c r="J1789" s="21">
        <f t="shared" si="135"/>
        <v>0</v>
      </c>
    </row>
    <row r="1790" spans="1:10" x14ac:dyDescent="0.3">
      <c r="A1790" s="2" t="s">
        <v>1685</v>
      </c>
      <c r="B1790" s="1" t="s">
        <v>2152</v>
      </c>
      <c r="C1790" s="6" t="s">
        <v>3839</v>
      </c>
      <c r="D1790" s="6" t="s">
        <v>5994</v>
      </c>
      <c r="E1790" s="22">
        <f t="shared" si="133"/>
        <v>0</v>
      </c>
      <c r="F1790" s="20">
        <f>4.27*42.3</f>
        <v>180.62099999999998</v>
      </c>
      <c r="G1790" s="24" t="s">
        <v>8245</v>
      </c>
      <c r="H1790" s="22">
        <f t="shared" si="134"/>
        <v>0</v>
      </c>
      <c r="I1790" s="21">
        <f t="shared" si="135"/>
        <v>0</v>
      </c>
      <c r="J1790" s="21">
        <f t="shared" si="135"/>
        <v>0</v>
      </c>
    </row>
    <row r="1791" spans="1:10" x14ac:dyDescent="0.3">
      <c r="A1791" s="2" t="s">
        <v>1686</v>
      </c>
      <c r="B1791" s="1" t="s">
        <v>2152</v>
      </c>
      <c r="C1791" s="6" t="s">
        <v>3840</v>
      </c>
      <c r="D1791" s="6" t="s">
        <v>5995</v>
      </c>
      <c r="E1791" s="22">
        <f t="shared" si="133"/>
        <v>0</v>
      </c>
      <c r="F1791" s="20">
        <f>4.42*42.3</f>
        <v>186.96599999999998</v>
      </c>
      <c r="G1791" s="24" t="s">
        <v>8246</v>
      </c>
      <c r="H1791" s="22">
        <f t="shared" si="134"/>
        <v>0</v>
      </c>
      <c r="I1791" s="21">
        <f t="shared" si="135"/>
        <v>0</v>
      </c>
      <c r="J1791" s="21">
        <f t="shared" si="135"/>
        <v>0</v>
      </c>
    </row>
    <row r="1792" spans="1:10" x14ac:dyDescent="0.3">
      <c r="A1792" s="2" t="s">
        <v>1687</v>
      </c>
      <c r="B1792" s="1" t="s">
        <v>2152</v>
      </c>
      <c r="C1792" s="6" t="s">
        <v>3841</v>
      </c>
      <c r="D1792" s="6" t="s">
        <v>5996</v>
      </c>
      <c r="E1792" s="22">
        <f t="shared" si="133"/>
        <v>0</v>
      </c>
      <c r="F1792" s="20">
        <f>4.59*42.3</f>
        <v>194.15699999999998</v>
      </c>
      <c r="G1792" s="24" t="s">
        <v>8247</v>
      </c>
      <c r="H1792" s="22">
        <f t="shared" si="134"/>
        <v>0</v>
      </c>
      <c r="I1792" s="21">
        <f t="shared" si="135"/>
        <v>0</v>
      </c>
      <c r="J1792" s="21">
        <f t="shared" si="135"/>
        <v>0</v>
      </c>
    </row>
    <row r="1793" spans="1:10" x14ac:dyDescent="0.3">
      <c r="A1793" s="2" t="s">
        <v>1688</v>
      </c>
      <c r="B1793" s="1" t="s">
        <v>2152</v>
      </c>
      <c r="C1793" s="6" t="s">
        <v>3842</v>
      </c>
      <c r="D1793" s="6" t="s">
        <v>5997</v>
      </c>
      <c r="E1793" s="22">
        <f t="shared" si="133"/>
        <v>0</v>
      </c>
      <c r="F1793" s="20">
        <f>6.56*42.3</f>
        <v>277.48799999999994</v>
      </c>
      <c r="G1793" s="24" t="s">
        <v>8248</v>
      </c>
      <c r="H1793" s="22">
        <f t="shared" si="134"/>
        <v>0</v>
      </c>
      <c r="I1793" s="21">
        <f t="shared" si="135"/>
        <v>0</v>
      </c>
      <c r="J1793" s="21">
        <f t="shared" si="135"/>
        <v>0</v>
      </c>
    </row>
    <row r="1794" spans="1:10" x14ac:dyDescent="0.3">
      <c r="A1794" s="2" t="s">
        <v>1689</v>
      </c>
      <c r="B1794" s="1" t="s">
        <v>2152</v>
      </c>
      <c r="C1794" s="6" t="s">
        <v>3843</v>
      </c>
      <c r="D1794" s="6" t="s">
        <v>5998</v>
      </c>
      <c r="E1794" s="22">
        <f t="shared" si="133"/>
        <v>0</v>
      </c>
      <c r="F1794" s="20">
        <f>7.78*42.3</f>
        <v>329.09399999999999</v>
      </c>
      <c r="G1794" s="24" t="s">
        <v>8249</v>
      </c>
      <c r="H1794" s="22">
        <f t="shared" si="134"/>
        <v>0</v>
      </c>
      <c r="I1794" s="21">
        <f t="shared" si="135"/>
        <v>0</v>
      </c>
      <c r="J1794" s="21">
        <f t="shared" si="135"/>
        <v>0</v>
      </c>
    </row>
    <row r="1795" spans="1:10" x14ac:dyDescent="0.3">
      <c r="A1795" s="2" t="s">
        <v>1690</v>
      </c>
      <c r="B1795" s="1" t="s">
        <v>2152</v>
      </c>
      <c r="C1795" s="6" t="s">
        <v>3844</v>
      </c>
      <c r="D1795" s="6" t="s">
        <v>5999</v>
      </c>
      <c r="E1795" s="22">
        <f t="shared" si="133"/>
        <v>0</v>
      </c>
      <c r="F1795" s="20">
        <f>13.69*42.3</f>
        <v>579.08699999999999</v>
      </c>
      <c r="G1795" s="24" t="s">
        <v>8250</v>
      </c>
      <c r="H1795" s="22">
        <f t="shared" si="134"/>
        <v>0</v>
      </c>
      <c r="I1795" s="21">
        <f t="shared" si="135"/>
        <v>0</v>
      </c>
      <c r="J1795" s="21">
        <f t="shared" si="135"/>
        <v>0</v>
      </c>
    </row>
    <row r="1796" spans="1:10" x14ac:dyDescent="0.3">
      <c r="A1796" s="2" t="s">
        <v>1691</v>
      </c>
      <c r="B1796" s="1" t="s">
        <v>2152</v>
      </c>
      <c r="C1796" s="6" t="s">
        <v>3845</v>
      </c>
      <c r="D1796" s="6" t="s">
        <v>6000</v>
      </c>
      <c r="E1796" s="22">
        <f t="shared" si="133"/>
        <v>0</v>
      </c>
      <c r="F1796" s="20">
        <f>21.13*42.3</f>
        <v>893.79899999999986</v>
      </c>
      <c r="G1796" s="24" t="s">
        <v>8251</v>
      </c>
      <c r="H1796" s="22">
        <f t="shared" si="134"/>
        <v>0</v>
      </c>
      <c r="I1796" s="21">
        <f t="shared" si="135"/>
        <v>0</v>
      </c>
      <c r="J1796" s="21">
        <f t="shared" si="135"/>
        <v>0</v>
      </c>
    </row>
    <row r="1797" spans="1:10" x14ac:dyDescent="0.3">
      <c r="A1797" s="2" t="s">
        <v>1692</v>
      </c>
      <c r="B1797" s="1" t="s">
        <v>2152</v>
      </c>
      <c r="C1797" s="6" t="s">
        <v>3846</v>
      </c>
      <c r="D1797" s="6" t="s">
        <v>6001</v>
      </c>
      <c r="E1797" s="22">
        <f t="shared" si="133"/>
        <v>0</v>
      </c>
      <c r="F1797" s="20">
        <f>35.6*42.3</f>
        <v>1505.8799999999999</v>
      </c>
      <c r="G1797" s="24" t="s">
        <v>8252</v>
      </c>
      <c r="H1797" s="22">
        <f t="shared" si="134"/>
        <v>0</v>
      </c>
      <c r="I1797" s="21">
        <f t="shared" si="135"/>
        <v>0</v>
      </c>
      <c r="J1797" s="21">
        <f t="shared" si="135"/>
        <v>0</v>
      </c>
    </row>
    <row r="1798" spans="1:10" x14ac:dyDescent="0.3">
      <c r="A1798" s="2" t="s">
        <v>1693</v>
      </c>
      <c r="B1798" s="1" t="s">
        <v>2152</v>
      </c>
      <c r="C1798" s="6" t="s">
        <v>3847</v>
      </c>
      <c r="D1798" s="6" t="s">
        <v>6002</v>
      </c>
      <c r="E1798" s="22">
        <f t="shared" si="133"/>
        <v>0</v>
      </c>
      <c r="F1798" s="20">
        <f>139.9*42.3</f>
        <v>5917.7699999999995</v>
      </c>
      <c r="G1798" s="24" t="s">
        <v>8253</v>
      </c>
      <c r="H1798" s="22">
        <f t="shared" si="134"/>
        <v>0</v>
      </c>
      <c r="I1798" s="21">
        <f t="shared" si="135"/>
        <v>0</v>
      </c>
      <c r="J1798" s="21">
        <f t="shared" si="135"/>
        <v>0</v>
      </c>
    </row>
    <row r="1799" spans="1:10" x14ac:dyDescent="0.3">
      <c r="A1799" s="2" t="s">
        <v>1694</v>
      </c>
      <c r="B1799" s="1" t="s">
        <v>2152</v>
      </c>
      <c r="C1799" s="6" t="s">
        <v>3848</v>
      </c>
      <c r="D1799" s="6" t="s">
        <v>6003</v>
      </c>
      <c r="E1799" s="22">
        <f t="shared" si="133"/>
        <v>0</v>
      </c>
      <c r="F1799" s="20"/>
      <c r="G1799" s="24" t="s">
        <v>8254</v>
      </c>
      <c r="H1799" s="22">
        <f t="shared" si="134"/>
        <v>0</v>
      </c>
      <c r="I1799" s="21">
        <f t="shared" si="135"/>
        <v>0</v>
      </c>
      <c r="J1799" s="21">
        <f t="shared" si="135"/>
        <v>0</v>
      </c>
    </row>
    <row r="1800" spans="1:10" x14ac:dyDescent="0.3">
      <c r="A1800" s="2" t="s">
        <v>1695</v>
      </c>
      <c r="B1800" s="1" t="s">
        <v>2152</v>
      </c>
      <c r="C1800" s="6" t="s">
        <v>3849</v>
      </c>
      <c r="D1800" s="6" t="s">
        <v>6004</v>
      </c>
      <c r="E1800" s="22">
        <f t="shared" si="133"/>
        <v>0</v>
      </c>
      <c r="F1800" s="20"/>
      <c r="G1800" s="24" t="s">
        <v>8255</v>
      </c>
      <c r="H1800" s="22">
        <f t="shared" si="134"/>
        <v>0</v>
      </c>
      <c r="I1800" s="21">
        <f t="shared" si="135"/>
        <v>0</v>
      </c>
      <c r="J1800" s="21">
        <f t="shared" si="135"/>
        <v>0</v>
      </c>
    </row>
    <row r="1801" spans="1:10" x14ac:dyDescent="0.3">
      <c r="A1801" s="2" t="s">
        <v>1696</v>
      </c>
      <c r="B1801" s="1" t="s">
        <v>2152</v>
      </c>
      <c r="C1801" s="6" t="s">
        <v>3850</v>
      </c>
      <c r="D1801" s="6" t="s">
        <v>6005</v>
      </c>
      <c r="E1801" s="22">
        <f t="shared" ref="E1801:E1864" si="136">H1801*1.8*1.4</f>
        <v>0</v>
      </c>
      <c r="F1801" s="20"/>
      <c r="G1801" s="24" t="s">
        <v>8256</v>
      </c>
      <c r="H1801" s="22">
        <f t="shared" ref="H1801:H1864" si="137">K1801*1.8*1.4</f>
        <v>0</v>
      </c>
      <c r="I1801" s="21">
        <f t="shared" si="135"/>
        <v>0</v>
      </c>
      <c r="J1801" s="21">
        <f t="shared" si="135"/>
        <v>0</v>
      </c>
    </row>
    <row r="1802" spans="1:10" x14ac:dyDescent="0.3">
      <c r="A1802" s="2" t="s">
        <v>1697</v>
      </c>
      <c r="B1802" s="1" t="s">
        <v>2152</v>
      </c>
      <c r="C1802" s="6" t="s">
        <v>3851</v>
      </c>
      <c r="D1802" s="6" t="s">
        <v>6006</v>
      </c>
      <c r="E1802" s="22">
        <f t="shared" si="136"/>
        <v>0</v>
      </c>
      <c r="F1802" s="20"/>
      <c r="G1802" s="24" t="s">
        <v>8257</v>
      </c>
      <c r="H1802" s="22">
        <f t="shared" si="137"/>
        <v>0</v>
      </c>
      <c r="I1802" s="21">
        <f t="shared" si="135"/>
        <v>0</v>
      </c>
      <c r="J1802" s="21">
        <f t="shared" si="135"/>
        <v>0</v>
      </c>
    </row>
    <row r="1803" spans="1:10" x14ac:dyDescent="0.3">
      <c r="A1803" s="2" t="s">
        <v>1698</v>
      </c>
      <c r="B1803" s="1" t="s">
        <v>2152</v>
      </c>
      <c r="C1803" s="6" t="s">
        <v>3852</v>
      </c>
      <c r="D1803" s="6" t="s">
        <v>6007</v>
      </c>
      <c r="E1803" s="22">
        <f t="shared" si="136"/>
        <v>0</v>
      </c>
      <c r="F1803" s="20">
        <f>1.26*42.3</f>
        <v>53.297999999999995</v>
      </c>
      <c r="G1803" s="24" t="s">
        <v>8258</v>
      </c>
      <c r="H1803" s="22">
        <f t="shared" si="137"/>
        <v>0</v>
      </c>
      <c r="I1803" s="21">
        <f t="shared" si="135"/>
        <v>0</v>
      </c>
      <c r="J1803" s="21">
        <f t="shared" si="135"/>
        <v>0</v>
      </c>
    </row>
    <row r="1804" spans="1:10" x14ac:dyDescent="0.3">
      <c r="A1804" s="2" t="s">
        <v>1699</v>
      </c>
      <c r="B1804" s="1" t="s">
        <v>2152</v>
      </c>
      <c r="C1804" s="6" t="s">
        <v>3853</v>
      </c>
      <c r="D1804" s="6" t="s">
        <v>6008</v>
      </c>
      <c r="E1804" s="22">
        <f t="shared" si="136"/>
        <v>0</v>
      </c>
      <c r="F1804" s="20">
        <f>1.91*42.3</f>
        <v>80.792999999999992</v>
      </c>
      <c r="G1804" s="24" t="s">
        <v>8259</v>
      </c>
      <c r="H1804" s="22">
        <f t="shared" si="137"/>
        <v>0</v>
      </c>
      <c r="I1804" s="21">
        <f t="shared" si="135"/>
        <v>0</v>
      </c>
      <c r="J1804" s="21">
        <f t="shared" si="135"/>
        <v>0</v>
      </c>
    </row>
    <row r="1805" spans="1:10" x14ac:dyDescent="0.3">
      <c r="A1805" s="2" t="s">
        <v>1700</v>
      </c>
      <c r="B1805" s="1" t="s">
        <v>2152</v>
      </c>
      <c r="C1805" s="6" t="s">
        <v>3854</v>
      </c>
      <c r="D1805" s="6" t="s">
        <v>6009</v>
      </c>
      <c r="E1805" s="22">
        <f t="shared" si="136"/>
        <v>0</v>
      </c>
      <c r="F1805" s="20">
        <f>2.25*42.3</f>
        <v>95.174999999999997</v>
      </c>
      <c r="G1805" s="24" t="s">
        <v>8260</v>
      </c>
      <c r="H1805" s="22">
        <f t="shared" si="137"/>
        <v>0</v>
      </c>
      <c r="I1805" s="21">
        <f t="shared" si="135"/>
        <v>0</v>
      </c>
      <c r="J1805" s="21">
        <f t="shared" si="135"/>
        <v>0</v>
      </c>
    </row>
    <row r="1806" spans="1:10" x14ac:dyDescent="0.3">
      <c r="A1806" s="2" t="s">
        <v>1701</v>
      </c>
      <c r="B1806" s="1" t="s">
        <v>2152</v>
      </c>
      <c r="C1806" s="6" t="s">
        <v>3855</v>
      </c>
      <c r="D1806" s="6" t="s">
        <v>6010</v>
      </c>
      <c r="E1806" s="22">
        <f t="shared" si="136"/>
        <v>0</v>
      </c>
      <c r="F1806" s="20">
        <f>2.57*42.3</f>
        <v>108.71099999999998</v>
      </c>
      <c r="G1806" s="24" t="s">
        <v>8261</v>
      </c>
      <c r="H1806" s="22">
        <f t="shared" si="137"/>
        <v>0</v>
      </c>
      <c r="I1806" s="21">
        <f t="shared" si="135"/>
        <v>0</v>
      </c>
      <c r="J1806" s="21">
        <f t="shared" si="135"/>
        <v>0</v>
      </c>
    </row>
    <row r="1807" spans="1:10" x14ac:dyDescent="0.3">
      <c r="A1807" s="2" t="s">
        <v>1702</v>
      </c>
      <c r="B1807" s="1" t="s">
        <v>2152</v>
      </c>
      <c r="C1807" s="6" t="s">
        <v>3856</v>
      </c>
      <c r="D1807" s="6" t="s">
        <v>6011</v>
      </c>
      <c r="E1807" s="22">
        <f t="shared" si="136"/>
        <v>0</v>
      </c>
      <c r="F1807" s="20">
        <f>4.77*42.3</f>
        <v>201.77099999999996</v>
      </c>
      <c r="G1807" s="24" t="s">
        <v>8262</v>
      </c>
      <c r="H1807" s="22">
        <f t="shared" si="137"/>
        <v>0</v>
      </c>
      <c r="I1807" s="21">
        <f t="shared" si="135"/>
        <v>0</v>
      </c>
      <c r="J1807" s="21">
        <f t="shared" si="135"/>
        <v>0</v>
      </c>
    </row>
    <row r="1808" spans="1:10" x14ac:dyDescent="0.3">
      <c r="A1808" s="2" t="s">
        <v>1703</v>
      </c>
      <c r="B1808" s="1" t="s">
        <v>2152</v>
      </c>
      <c r="C1808" s="6" t="s">
        <v>3857</v>
      </c>
      <c r="D1808" s="6" t="s">
        <v>6012</v>
      </c>
      <c r="E1808" s="22">
        <f t="shared" si="136"/>
        <v>0</v>
      </c>
      <c r="F1808" s="20">
        <f>40.02*42.3</f>
        <v>1692.846</v>
      </c>
      <c r="G1808" s="24" t="s">
        <v>8263</v>
      </c>
      <c r="H1808" s="22">
        <f t="shared" si="137"/>
        <v>0</v>
      </c>
      <c r="I1808" s="21">
        <f t="shared" si="135"/>
        <v>0</v>
      </c>
      <c r="J1808" s="21">
        <f t="shared" si="135"/>
        <v>0</v>
      </c>
    </row>
    <row r="1809" spans="1:10" x14ac:dyDescent="0.3">
      <c r="A1809" s="2" t="s">
        <v>1704</v>
      </c>
      <c r="B1809" s="1" t="s">
        <v>2152</v>
      </c>
      <c r="C1809" s="6" t="s">
        <v>3858</v>
      </c>
      <c r="D1809" s="6" t="s">
        <v>6013</v>
      </c>
      <c r="E1809" s="22">
        <f t="shared" si="136"/>
        <v>0</v>
      </c>
      <c r="F1809" s="20">
        <f>0.81*42.3</f>
        <v>34.262999999999998</v>
      </c>
      <c r="G1809" s="24" t="s">
        <v>8264</v>
      </c>
      <c r="H1809" s="22">
        <f t="shared" si="137"/>
        <v>0</v>
      </c>
      <c r="I1809" s="21">
        <f t="shared" si="135"/>
        <v>0</v>
      </c>
      <c r="J1809" s="21">
        <f t="shared" si="135"/>
        <v>0</v>
      </c>
    </row>
    <row r="1810" spans="1:10" x14ac:dyDescent="0.3">
      <c r="A1810" s="2" t="s">
        <v>1705</v>
      </c>
      <c r="B1810" s="1" t="s">
        <v>2152</v>
      </c>
      <c r="C1810" s="6" t="s">
        <v>3859</v>
      </c>
      <c r="D1810" s="6" t="s">
        <v>6014</v>
      </c>
      <c r="E1810" s="22">
        <f t="shared" si="136"/>
        <v>0</v>
      </c>
      <c r="F1810" s="20">
        <f>1.91*42.3</f>
        <v>80.792999999999992</v>
      </c>
      <c r="G1810" s="24" t="s">
        <v>8265</v>
      </c>
      <c r="H1810" s="22">
        <f t="shared" si="137"/>
        <v>0</v>
      </c>
      <c r="I1810" s="21">
        <f t="shared" si="135"/>
        <v>0</v>
      </c>
      <c r="J1810" s="21">
        <f t="shared" si="135"/>
        <v>0</v>
      </c>
    </row>
    <row r="1811" spans="1:10" x14ac:dyDescent="0.3">
      <c r="A1811" s="2" t="s">
        <v>1706</v>
      </c>
      <c r="B1811" s="1" t="s">
        <v>2152</v>
      </c>
      <c r="C1811" s="6" t="s">
        <v>3860</v>
      </c>
      <c r="D1811" s="6" t="s">
        <v>6015</v>
      </c>
      <c r="E1811" s="22">
        <f t="shared" si="136"/>
        <v>0</v>
      </c>
      <c r="F1811" s="20">
        <f>2.92*42.3</f>
        <v>123.51599999999999</v>
      </c>
      <c r="G1811" s="24" t="s">
        <v>8266</v>
      </c>
      <c r="H1811" s="22">
        <f t="shared" si="137"/>
        <v>0</v>
      </c>
      <c r="I1811" s="21">
        <f t="shared" si="135"/>
        <v>0</v>
      </c>
      <c r="J1811" s="21">
        <f t="shared" si="135"/>
        <v>0</v>
      </c>
    </row>
    <row r="1812" spans="1:10" x14ac:dyDescent="0.3">
      <c r="A1812" s="2" t="s">
        <v>1707</v>
      </c>
      <c r="B1812" s="1" t="s">
        <v>2152</v>
      </c>
      <c r="C1812" s="6" t="s">
        <v>3861</v>
      </c>
      <c r="D1812" s="6" t="s">
        <v>6016</v>
      </c>
      <c r="E1812" s="22">
        <f t="shared" si="136"/>
        <v>0</v>
      </c>
      <c r="F1812" s="20">
        <f>3.24*42.3</f>
        <v>137.05199999999999</v>
      </c>
      <c r="G1812" s="24" t="s">
        <v>8267</v>
      </c>
      <c r="H1812" s="22">
        <f t="shared" si="137"/>
        <v>0</v>
      </c>
      <c r="I1812" s="21">
        <f t="shared" si="135"/>
        <v>0</v>
      </c>
      <c r="J1812" s="21">
        <f t="shared" si="135"/>
        <v>0</v>
      </c>
    </row>
    <row r="1813" spans="1:10" x14ac:dyDescent="0.3">
      <c r="A1813" s="2" t="s">
        <v>1708</v>
      </c>
      <c r="B1813" s="1" t="s">
        <v>2152</v>
      </c>
      <c r="C1813" s="6" t="s">
        <v>3862</v>
      </c>
      <c r="D1813" s="6" t="s">
        <v>6017</v>
      </c>
      <c r="E1813" s="22">
        <f t="shared" si="136"/>
        <v>0</v>
      </c>
      <c r="F1813" s="20">
        <f>1.98*42.3</f>
        <v>83.753999999999991</v>
      </c>
      <c r="G1813" s="24" t="s">
        <v>8268</v>
      </c>
      <c r="H1813" s="22">
        <f t="shared" si="137"/>
        <v>0</v>
      </c>
      <c r="I1813" s="21">
        <f t="shared" si="135"/>
        <v>0</v>
      </c>
      <c r="J1813" s="21">
        <f t="shared" si="135"/>
        <v>0</v>
      </c>
    </row>
    <row r="1814" spans="1:10" x14ac:dyDescent="0.3">
      <c r="A1814" s="2" t="s">
        <v>1709</v>
      </c>
      <c r="B1814" s="1" t="s">
        <v>2152</v>
      </c>
      <c r="C1814" s="6" t="s">
        <v>3863</v>
      </c>
      <c r="D1814" s="6" t="s">
        <v>6018</v>
      </c>
      <c r="E1814" s="22">
        <f t="shared" si="136"/>
        <v>0</v>
      </c>
      <c r="F1814" s="20">
        <f>3.16*42.3</f>
        <v>133.66800000000001</v>
      </c>
      <c r="G1814" s="24" t="s">
        <v>8269</v>
      </c>
      <c r="H1814" s="22">
        <f t="shared" si="137"/>
        <v>0</v>
      </c>
      <c r="I1814" s="21">
        <f t="shared" si="135"/>
        <v>0</v>
      </c>
      <c r="J1814" s="21">
        <f t="shared" si="135"/>
        <v>0</v>
      </c>
    </row>
    <row r="1815" spans="1:10" x14ac:dyDescent="0.3">
      <c r="A1815" s="2" t="s">
        <v>1710</v>
      </c>
      <c r="B1815" s="1" t="s">
        <v>2152</v>
      </c>
      <c r="C1815" s="6" t="s">
        <v>3864</v>
      </c>
      <c r="D1815" s="6" t="s">
        <v>6019</v>
      </c>
      <c r="E1815" s="22">
        <f t="shared" si="136"/>
        <v>0</v>
      </c>
      <c r="F1815" s="20">
        <f>1.2*42.3</f>
        <v>50.76</v>
      </c>
      <c r="G1815" s="24" t="s">
        <v>8270</v>
      </c>
      <c r="H1815" s="22">
        <f t="shared" si="137"/>
        <v>0</v>
      </c>
      <c r="I1815" s="21">
        <f t="shared" si="135"/>
        <v>0</v>
      </c>
      <c r="J1815" s="21">
        <f t="shared" si="135"/>
        <v>0</v>
      </c>
    </row>
    <row r="1816" spans="1:10" x14ac:dyDescent="0.3">
      <c r="A1816" s="2" t="s">
        <v>1711</v>
      </c>
      <c r="B1816" s="1" t="s">
        <v>2152</v>
      </c>
      <c r="C1816" s="6" t="s">
        <v>3865</v>
      </c>
      <c r="D1816" s="6" t="s">
        <v>6020</v>
      </c>
      <c r="E1816" s="22">
        <f t="shared" si="136"/>
        <v>0</v>
      </c>
      <c r="F1816" s="20">
        <f>1.2*42.3</f>
        <v>50.76</v>
      </c>
      <c r="G1816" s="24" t="s">
        <v>8271</v>
      </c>
      <c r="H1816" s="22">
        <f t="shared" si="137"/>
        <v>0</v>
      </c>
      <c r="I1816" s="21">
        <f t="shared" si="135"/>
        <v>0</v>
      </c>
      <c r="J1816" s="21">
        <f t="shared" si="135"/>
        <v>0</v>
      </c>
    </row>
    <row r="1817" spans="1:10" x14ac:dyDescent="0.3">
      <c r="A1817" s="2" t="s">
        <v>1712</v>
      </c>
      <c r="B1817" s="1" t="s">
        <v>2152</v>
      </c>
      <c r="C1817" s="6" t="s">
        <v>3866</v>
      </c>
      <c r="D1817" s="6" t="s">
        <v>6021</v>
      </c>
      <c r="E1817" s="22">
        <f t="shared" si="136"/>
        <v>0</v>
      </c>
      <c r="F1817" s="20">
        <f>1.33*42.3</f>
        <v>56.259</v>
      </c>
      <c r="G1817" s="24" t="s">
        <v>8272</v>
      </c>
      <c r="H1817" s="22">
        <f t="shared" si="137"/>
        <v>0</v>
      </c>
      <c r="I1817" s="21">
        <f t="shared" si="135"/>
        <v>0</v>
      </c>
      <c r="J1817" s="21">
        <f t="shared" si="135"/>
        <v>0</v>
      </c>
    </row>
    <row r="1818" spans="1:10" x14ac:dyDescent="0.3">
      <c r="A1818" s="2" t="s">
        <v>1713</v>
      </c>
      <c r="B1818" s="1" t="s">
        <v>2152</v>
      </c>
      <c r="C1818" s="6" t="s">
        <v>3867</v>
      </c>
      <c r="D1818" s="6" t="s">
        <v>6022</v>
      </c>
      <c r="E1818" s="22">
        <f t="shared" si="136"/>
        <v>0</v>
      </c>
      <c r="F1818" s="20">
        <f>1.4*42.3</f>
        <v>59.219999999999992</v>
      </c>
      <c r="G1818" s="24" t="s">
        <v>8273</v>
      </c>
      <c r="H1818" s="22">
        <f t="shared" si="137"/>
        <v>0</v>
      </c>
      <c r="I1818" s="21">
        <f t="shared" si="135"/>
        <v>0</v>
      </c>
      <c r="J1818" s="21">
        <f t="shared" si="135"/>
        <v>0</v>
      </c>
    </row>
    <row r="1819" spans="1:10" x14ac:dyDescent="0.3">
      <c r="A1819" s="2" t="s">
        <v>1714</v>
      </c>
      <c r="B1819" s="1" t="s">
        <v>2152</v>
      </c>
      <c r="C1819" s="6" t="s">
        <v>3868</v>
      </c>
      <c r="D1819" s="6" t="s">
        <v>6023</v>
      </c>
      <c r="E1819" s="22">
        <f t="shared" si="136"/>
        <v>0</v>
      </c>
      <c r="F1819" s="20">
        <f>2.4*42.3</f>
        <v>101.52</v>
      </c>
      <c r="G1819" s="24" t="s">
        <v>8274</v>
      </c>
      <c r="H1819" s="22">
        <f t="shared" si="137"/>
        <v>0</v>
      </c>
      <c r="I1819" s="21">
        <f t="shared" si="135"/>
        <v>0</v>
      </c>
      <c r="J1819" s="21">
        <f t="shared" si="135"/>
        <v>0</v>
      </c>
    </row>
    <row r="1820" spans="1:10" x14ac:dyDescent="0.3">
      <c r="A1820" s="2" t="s">
        <v>1715</v>
      </c>
      <c r="B1820" s="1" t="s">
        <v>2152</v>
      </c>
      <c r="C1820" s="6" t="s">
        <v>3869</v>
      </c>
      <c r="D1820" s="6" t="s">
        <v>6024</v>
      </c>
      <c r="E1820" s="22">
        <f t="shared" si="136"/>
        <v>0</v>
      </c>
      <c r="F1820" s="20"/>
      <c r="G1820" s="24" t="s">
        <v>8275</v>
      </c>
      <c r="H1820" s="22">
        <f t="shared" si="137"/>
        <v>0</v>
      </c>
    </row>
    <row r="1821" spans="1:10" x14ac:dyDescent="0.3">
      <c r="A1821" s="2" t="s">
        <v>1716</v>
      </c>
      <c r="B1821" s="1" t="s">
        <v>2152</v>
      </c>
      <c r="C1821" s="6" t="s">
        <v>3870</v>
      </c>
      <c r="D1821" s="6" t="s">
        <v>6025</v>
      </c>
      <c r="E1821" s="22">
        <f t="shared" si="136"/>
        <v>0</v>
      </c>
      <c r="F1821" s="20">
        <f>19.75*42.3</f>
        <v>835.42499999999995</v>
      </c>
      <c r="G1821" s="24" t="s">
        <v>8276</v>
      </c>
      <c r="H1821" s="22">
        <f t="shared" si="137"/>
        <v>0</v>
      </c>
      <c r="I1821" s="21">
        <f t="shared" si="135"/>
        <v>0</v>
      </c>
      <c r="J1821" s="21">
        <f t="shared" si="135"/>
        <v>0</v>
      </c>
    </row>
    <row r="1822" spans="1:10" x14ac:dyDescent="0.3">
      <c r="A1822" s="2" t="s">
        <v>1717</v>
      </c>
      <c r="B1822" s="1" t="s">
        <v>2152</v>
      </c>
      <c r="C1822" s="6" t="s">
        <v>3871</v>
      </c>
      <c r="D1822" s="6" t="s">
        <v>6026</v>
      </c>
      <c r="E1822" s="22">
        <f t="shared" si="136"/>
        <v>0</v>
      </c>
      <c r="F1822" s="20">
        <f>21.38*42.3</f>
        <v>904.37399999999991</v>
      </c>
      <c r="G1822" s="24" t="s">
        <v>8277</v>
      </c>
      <c r="H1822" s="22">
        <f t="shared" si="137"/>
        <v>0</v>
      </c>
      <c r="I1822" s="21">
        <f t="shared" si="135"/>
        <v>0</v>
      </c>
      <c r="J1822" s="21">
        <f t="shared" si="135"/>
        <v>0</v>
      </c>
    </row>
    <row r="1823" spans="1:10" x14ac:dyDescent="0.3">
      <c r="A1823" s="2" t="s">
        <v>1718</v>
      </c>
      <c r="B1823" s="1" t="s">
        <v>2152</v>
      </c>
      <c r="C1823" s="6" t="s">
        <v>3872</v>
      </c>
      <c r="D1823" s="6" t="s">
        <v>6027</v>
      </c>
      <c r="E1823" s="22">
        <f t="shared" si="136"/>
        <v>0</v>
      </c>
      <c r="F1823" s="20">
        <f>7.95*42.3</f>
        <v>336.28499999999997</v>
      </c>
      <c r="G1823" s="24" t="s">
        <v>8278</v>
      </c>
      <c r="H1823" s="22">
        <f t="shared" si="137"/>
        <v>0</v>
      </c>
      <c r="I1823" s="21">
        <f t="shared" si="135"/>
        <v>0</v>
      </c>
      <c r="J1823" s="21">
        <f t="shared" si="135"/>
        <v>0</v>
      </c>
    </row>
    <row r="1824" spans="1:10" x14ac:dyDescent="0.3">
      <c r="A1824" s="2" t="s">
        <v>1719</v>
      </c>
      <c r="B1824" s="1" t="s">
        <v>2152</v>
      </c>
      <c r="C1824" s="6" t="s">
        <v>3873</v>
      </c>
      <c r="D1824" s="6" t="s">
        <v>6028</v>
      </c>
      <c r="E1824" s="22">
        <f t="shared" si="136"/>
        <v>0</v>
      </c>
      <c r="F1824" s="20">
        <f>9.27*42.3</f>
        <v>392.12099999999998</v>
      </c>
      <c r="G1824" s="24" t="s">
        <v>8279</v>
      </c>
      <c r="H1824" s="22">
        <f t="shared" si="137"/>
        <v>0</v>
      </c>
      <c r="I1824" s="21">
        <f t="shared" si="135"/>
        <v>0</v>
      </c>
      <c r="J1824" s="21">
        <f t="shared" si="135"/>
        <v>0</v>
      </c>
    </row>
    <row r="1825" spans="1:10" x14ac:dyDescent="0.3">
      <c r="A1825" s="2" t="s">
        <v>528</v>
      </c>
      <c r="B1825" s="1" t="s">
        <v>2152</v>
      </c>
      <c r="C1825" s="6" t="s">
        <v>2674</v>
      </c>
      <c r="D1825" s="6" t="s">
        <v>4841</v>
      </c>
      <c r="E1825" s="22">
        <f t="shared" si="136"/>
        <v>0</v>
      </c>
      <c r="F1825" s="20">
        <f>10.14*42.3</f>
        <v>428.92199999999997</v>
      </c>
      <c r="G1825" s="24" t="s">
        <v>8280</v>
      </c>
      <c r="H1825" s="22">
        <f t="shared" si="137"/>
        <v>0</v>
      </c>
      <c r="I1825" s="21">
        <f t="shared" si="135"/>
        <v>0</v>
      </c>
      <c r="J1825" s="21">
        <f t="shared" si="135"/>
        <v>0</v>
      </c>
    </row>
    <row r="1826" spans="1:10" x14ac:dyDescent="0.3">
      <c r="A1826" s="2" t="s">
        <v>1720</v>
      </c>
      <c r="B1826" s="1" t="s">
        <v>2152</v>
      </c>
      <c r="C1826" s="6" t="s">
        <v>3874</v>
      </c>
      <c r="D1826" s="6" t="s">
        <v>6029</v>
      </c>
      <c r="E1826" s="22">
        <f t="shared" si="136"/>
        <v>0</v>
      </c>
      <c r="F1826" s="20">
        <f>12.92*42.3</f>
        <v>546.51599999999996</v>
      </c>
      <c r="G1826" s="24" t="s">
        <v>8281</v>
      </c>
      <c r="H1826" s="22">
        <f t="shared" si="137"/>
        <v>0</v>
      </c>
      <c r="I1826" s="21">
        <f t="shared" si="135"/>
        <v>0</v>
      </c>
      <c r="J1826" s="21">
        <f t="shared" si="135"/>
        <v>0</v>
      </c>
    </row>
    <row r="1827" spans="1:10" x14ac:dyDescent="0.3">
      <c r="A1827" s="2" t="s">
        <v>1721</v>
      </c>
      <c r="B1827" s="1" t="s">
        <v>2152</v>
      </c>
      <c r="C1827" s="6" t="s">
        <v>3875</v>
      </c>
      <c r="D1827" s="6" t="s">
        <v>6030</v>
      </c>
      <c r="E1827" s="22">
        <f t="shared" si="136"/>
        <v>0</v>
      </c>
      <c r="F1827" s="20">
        <f>26.37*42.3</f>
        <v>1115.451</v>
      </c>
      <c r="G1827" s="24" t="s">
        <v>8282</v>
      </c>
      <c r="H1827" s="22">
        <f t="shared" si="137"/>
        <v>0</v>
      </c>
      <c r="I1827" s="21">
        <f t="shared" si="135"/>
        <v>0</v>
      </c>
      <c r="J1827" s="21">
        <f t="shared" si="135"/>
        <v>0</v>
      </c>
    </row>
    <row r="1828" spans="1:10" x14ac:dyDescent="0.3">
      <c r="A1828" s="2" t="s">
        <v>1722</v>
      </c>
      <c r="B1828" s="1" t="s">
        <v>2152</v>
      </c>
      <c r="C1828" s="6" t="s">
        <v>3876</v>
      </c>
      <c r="D1828" s="6" t="s">
        <v>6031</v>
      </c>
      <c r="E1828" s="22">
        <f t="shared" si="136"/>
        <v>0</v>
      </c>
      <c r="F1828" s="20">
        <f>32.94*42.3</f>
        <v>1393.3619999999999</v>
      </c>
      <c r="G1828" s="24" t="s">
        <v>8283</v>
      </c>
      <c r="H1828" s="22">
        <f t="shared" si="137"/>
        <v>0</v>
      </c>
      <c r="I1828" s="21">
        <f t="shared" si="135"/>
        <v>0</v>
      </c>
      <c r="J1828" s="21">
        <f t="shared" si="135"/>
        <v>0</v>
      </c>
    </row>
    <row r="1829" spans="1:10" x14ac:dyDescent="0.3">
      <c r="A1829" s="2" t="s">
        <v>1723</v>
      </c>
      <c r="B1829" s="1" t="s">
        <v>2152</v>
      </c>
      <c r="C1829" s="6" t="s">
        <v>3877</v>
      </c>
      <c r="D1829" s="6" t="s">
        <v>6032</v>
      </c>
      <c r="E1829" s="22">
        <f t="shared" si="136"/>
        <v>0</v>
      </c>
      <c r="F1829" s="20">
        <f>39.6*42.3</f>
        <v>1675.08</v>
      </c>
      <c r="G1829" s="24" t="s">
        <v>8284</v>
      </c>
      <c r="H1829" s="22">
        <f t="shared" si="137"/>
        <v>0</v>
      </c>
      <c r="I1829" s="21">
        <f t="shared" si="135"/>
        <v>0</v>
      </c>
      <c r="J1829" s="21">
        <f t="shared" si="135"/>
        <v>0</v>
      </c>
    </row>
    <row r="1830" spans="1:10" x14ac:dyDescent="0.3">
      <c r="A1830" s="2" t="s">
        <v>1724</v>
      </c>
      <c r="B1830" s="1" t="s">
        <v>2152</v>
      </c>
      <c r="C1830" s="6" t="s">
        <v>3878</v>
      </c>
      <c r="D1830" s="6" t="s">
        <v>6033</v>
      </c>
      <c r="E1830" s="22">
        <f t="shared" si="136"/>
        <v>0</v>
      </c>
      <c r="F1830" s="20">
        <f>72.67*42.3</f>
        <v>3073.9409999999998</v>
      </c>
      <c r="G1830" s="24" t="s">
        <v>8285</v>
      </c>
      <c r="H1830" s="22">
        <f t="shared" si="137"/>
        <v>0</v>
      </c>
      <c r="I1830" s="21">
        <f t="shared" si="135"/>
        <v>0</v>
      </c>
      <c r="J1830" s="21">
        <f t="shared" si="135"/>
        <v>0</v>
      </c>
    </row>
    <row r="1831" spans="1:10" x14ac:dyDescent="0.3">
      <c r="A1831" s="2" t="s">
        <v>1725</v>
      </c>
      <c r="B1831" s="1" t="s">
        <v>2152</v>
      </c>
      <c r="C1831" s="6" t="s">
        <v>3879</v>
      </c>
      <c r="D1831" s="6" t="s">
        <v>6034</v>
      </c>
      <c r="E1831" s="22">
        <f t="shared" si="136"/>
        <v>0</v>
      </c>
      <c r="F1831" s="20">
        <f>74.67*42.3</f>
        <v>3158.5409999999997</v>
      </c>
      <c r="G1831" s="24" t="s">
        <v>8286</v>
      </c>
      <c r="H1831" s="22">
        <f t="shared" si="137"/>
        <v>0</v>
      </c>
      <c r="I1831" s="21">
        <f t="shared" si="135"/>
        <v>0</v>
      </c>
      <c r="J1831" s="21">
        <f t="shared" si="135"/>
        <v>0</v>
      </c>
    </row>
    <row r="1832" spans="1:10" x14ac:dyDescent="0.3">
      <c r="A1832" s="2" t="s">
        <v>1726</v>
      </c>
      <c r="B1832" s="1" t="s">
        <v>2152</v>
      </c>
      <c r="C1832" s="6" t="s">
        <v>3880</v>
      </c>
      <c r="D1832" s="6" t="s">
        <v>6035</v>
      </c>
      <c r="E1832" s="22">
        <f t="shared" si="136"/>
        <v>0</v>
      </c>
      <c r="F1832" s="20">
        <f>76.7*42.3</f>
        <v>3244.41</v>
      </c>
      <c r="G1832" s="24" t="s">
        <v>8287</v>
      </c>
      <c r="H1832" s="22">
        <f t="shared" si="137"/>
        <v>0</v>
      </c>
      <c r="I1832" s="21">
        <f t="shared" si="135"/>
        <v>0</v>
      </c>
      <c r="J1832" s="21">
        <f t="shared" si="135"/>
        <v>0</v>
      </c>
    </row>
    <row r="1833" spans="1:10" x14ac:dyDescent="0.3">
      <c r="A1833" s="2" t="s">
        <v>1727</v>
      </c>
      <c r="B1833" s="1" t="s">
        <v>2152</v>
      </c>
      <c r="C1833" s="6" t="s">
        <v>3881</v>
      </c>
      <c r="D1833" s="6" t="s">
        <v>6036</v>
      </c>
      <c r="E1833" s="22">
        <f t="shared" si="136"/>
        <v>0</v>
      </c>
      <c r="F1833" s="20">
        <f>82.35*42.3</f>
        <v>3483.4049999999997</v>
      </c>
      <c r="G1833" s="24" t="s">
        <v>8288</v>
      </c>
      <c r="H1833" s="22">
        <f t="shared" si="137"/>
        <v>0</v>
      </c>
      <c r="I1833" s="21">
        <f t="shared" si="135"/>
        <v>0</v>
      </c>
      <c r="J1833" s="21">
        <f t="shared" si="135"/>
        <v>0</v>
      </c>
    </row>
    <row r="1834" spans="1:10" x14ac:dyDescent="0.3">
      <c r="A1834" s="2" t="s">
        <v>1728</v>
      </c>
      <c r="B1834" s="1" t="s">
        <v>2152</v>
      </c>
      <c r="C1834" s="6" t="s">
        <v>3882</v>
      </c>
      <c r="D1834" s="6" t="s">
        <v>6037</v>
      </c>
      <c r="E1834" s="22">
        <f t="shared" si="136"/>
        <v>0</v>
      </c>
      <c r="F1834" s="20">
        <f>89.19*42.3</f>
        <v>3772.7369999999996</v>
      </c>
      <c r="G1834" s="24" t="s">
        <v>8289</v>
      </c>
      <c r="H1834" s="22">
        <f t="shared" si="137"/>
        <v>0</v>
      </c>
      <c r="I1834" s="21">
        <f t="shared" si="135"/>
        <v>0</v>
      </c>
      <c r="J1834" s="21">
        <f t="shared" si="135"/>
        <v>0</v>
      </c>
    </row>
    <row r="1835" spans="1:10" x14ac:dyDescent="0.3">
      <c r="A1835" s="2" t="s">
        <v>1729</v>
      </c>
      <c r="B1835" s="1" t="s">
        <v>2152</v>
      </c>
      <c r="C1835" s="6" t="s">
        <v>3883</v>
      </c>
      <c r="D1835" s="6" t="s">
        <v>6038</v>
      </c>
      <c r="E1835" s="22">
        <f t="shared" si="136"/>
        <v>0</v>
      </c>
      <c r="F1835" s="20">
        <f>94.31*42.3</f>
        <v>3989.3129999999996</v>
      </c>
      <c r="G1835" s="24" t="s">
        <v>8290</v>
      </c>
      <c r="H1835" s="22">
        <f t="shared" si="137"/>
        <v>0</v>
      </c>
      <c r="I1835" s="21">
        <f t="shared" si="135"/>
        <v>0</v>
      </c>
      <c r="J1835" s="21">
        <f t="shared" si="135"/>
        <v>0</v>
      </c>
    </row>
    <row r="1836" spans="1:10" x14ac:dyDescent="0.3">
      <c r="A1836" s="2" t="s">
        <v>1730</v>
      </c>
      <c r="B1836" s="1" t="s">
        <v>2152</v>
      </c>
      <c r="C1836" s="6" t="s">
        <v>3884</v>
      </c>
      <c r="D1836" s="6" t="s">
        <v>6039</v>
      </c>
      <c r="E1836" s="22">
        <f t="shared" si="136"/>
        <v>0</v>
      </c>
      <c r="F1836" s="20">
        <f>121.9*42.3</f>
        <v>5156.37</v>
      </c>
      <c r="G1836" s="24" t="s">
        <v>8291</v>
      </c>
      <c r="H1836" s="22">
        <f t="shared" si="137"/>
        <v>0</v>
      </c>
      <c r="I1836" s="21">
        <f t="shared" si="135"/>
        <v>0</v>
      </c>
      <c r="J1836" s="21">
        <f t="shared" si="135"/>
        <v>0</v>
      </c>
    </row>
    <row r="1837" spans="1:10" x14ac:dyDescent="0.3">
      <c r="A1837" s="2" t="s">
        <v>1731</v>
      </c>
      <c r="B1837" s="1" t="s">
        <v>2152</v>
      </c>
      <c r="C1837" s="6" t="s">
        <v>3885</v>
      </c>
      <c r="D1837" s="6" t="s">
        <v>6040</v>
      </c>
      <c r="E1837" s="22">
        <f t="shared" si="136"/>
        <v>0</v>
      </c>
      <c r="F1837" s="20">
        <f>99.84*42.3</f>
        <v>4223.232</v>
      </c>
      <c r="G1837" s="24" t="s">
        <v>8292</v>
      </c>
      <c r="H1837" s="22">
        <f t="shared" si="137"/>
        <v>0</v>
      </c>
      <c r="I1837" s="21">
        <f t="shared" si="135"/>
        <v>0</v>
      </c>
      <c r="J1837" s="21">
        <f t="shared" si="135"/>
        <v>0</v>
      </c>
    </row>
    <row r="1838" spans="1:10" x14ac:dyDescent="0.3">
      <c r="A1838" s="2" t="s">
        <v>1732</v>
      </c>
      <c r="B1838" s="1" t="s">
        <v>2152</v>
      </c>
      <c r="C1838" s="6" t="s">
        <v>3886</v>
      </c>
      <c r="D1838" s="6" t="s">
        <v>6041</v>
      </c>
      <c r="E1838" s="22">
        <f t="shared" si="136"/>
        <v>0</v>
      </c>
      <c r="F1838" s="20">
        <f>106.4*42.3</f>
        <v>4500.72</v>
      </c>
      <c r="G1838" s="24" t="s">
        <v>8293</v>
      </c>
      <c r="H1838" s="22">
        <f t="shared" si="137"/>
        <v>0</v>
      </c>
      <c r="I1838" s="21">
        <f t="shared" si="135"/>
        <v>0</v>
      </c>
      <c r="J1838" s="21">
        <f t="shared" si="135"/>
        <v>0</v>
      </c>
    </row>
    <row r="1839" spans="1:10" x14ac:dyDescent="0.3">
      <c r="A1839" s="2" t="s">
        <v>1733</v>
      </c>
      <c r="B1839" s="1" t="s">
        <v>2152</v>
      </c>
      <c r="C1839" s="6" t="s">
        <v>3887</v>
      </c>
      <c r="D1839" s="6" t="s">
        <v>6042</v>
      </c>
      <c r="E1839" s="22">
        <f t="shared" si="136"/>
        <v>0</v>
      </c>
      <c r="F1839" s="20">
        <f>122.22*42.3</f>
        <v>5169.9059999999999</v>
      </c>
      <c r="G1839" s="24" t="s">
        <v>8294</v>
      </c>
      <c r="H1839" s="22">
        <f t="shared" si="137"/>
        <v>0</v>
      </c>
      <c r="I1839" s="21">
        <f t="shared" si="135"/>
        <v>0</v>
      </c>
      <c r="J1839" s="21">
        <f t="shared" si="135"/>
        <v>0</v>
      </c>
    </row>
    <row r="1840" spans="1:10" x14ac:dyDescent="0.3">
      <c r="A1840" s="2" t="s">
        <v>1734</v>
      </c>
      <c r="B1840" s="1" t="s">
        <v>2152</v>
      </c>
      <c r="C1840" s="6" t="s">
        <v>3888</v>
      </c>
      <c r="D1840" s="6" t="s">
        <v>6043</v>
      </c>
      <c r="E1840" s="22">
        <f t="shared" si="136"/>
        <v>0</v>
      </c>
      <c r="F1840" s="20"/>
      <c r="G1840" s="24" t="s">
        <v>8295</v>
      </c>
      <c r="H1840" s="22">
        <f t="shared" si="137"/>
        <v>0</v>
      </c>
      <c r="I1840" s="21">
        <f t="shared" si="135"/>
        <v>0</v>
      </c>
      <c r="J1840" s="21">
        <f t="shared" si="135"/>
        <v>0</v>
      </c>
    </row>
    <row r="1841" spans="1:10" x14ac:dyDescent="0.3">
      <c r="A1841" s="2" t="s">
        <v>1735</v>
      </c>
      <c r="B1841" s="1" t="s">
        <v>2152</v>
      </c>
      <c r="C1841" s="6" t="s">
        <v>3889</v>
      </c>
      <c r="D1841" s="6" t="s">
        <v>6044</v>
      </c>
      <c r="E1841" s="22">
        <f t="shared" si="136"/>
        <v>0</v>
      </c>
      <c r="F1841" s="20"/>
      <c r="G1841" s="24" t="s">
        <v>8296</v>
      </c>
      <c r="H1841" s="22">
        <f t="shared" si="137"/>
        <v>0</v>
      </c>
      <c r="I1841" s="21">
        <f t="shared" si="135"/>
        <v>0</v>
      </c>
      <c r="J1841" s="21">
        <f t="shared" si="135"/>
        <v>0</v>
      </c>
    </row>
    <row r="1842" spans="1:10" x14ac:dyDescent="0.3">
      <c r="A1842" s="2" t="s">
        <v>1736</v>
      </c>
      <c r="B1842" s="1" t="s">
        <v>2152</v>
      </c>
      <c r="C1842" s="6" t="s">
        <v>3890</v>
      </c>
      <c r="D1842" s="6" t="s">
        <v>6045</v>
      </c>
      <c r="E1842" s="22">
        <f t="shared" si="136"/>
        <v>0</v>
      </c>
      <c r="F1842" s="20">
        <f>0.63*42.3</f>
        <v>26.648999999999997</v>
      </c>
      <c r="G1842" s="24" t="s">
        <v>8297</v>
      </c>
      <c r="H1842" s="22">
        <f t="shared" si="137"/>
        <v>0</v>
      </c>
      <c r="I1842" s="21">
        <f t="shared" si="135"/>
        <v>0</v>
      </c>
      <c r="J1842" s="21">
        <f t="shared" si="135"/>
        <v>0</v>
      </c>
    </row>
    <row r="1843" spans="1:10" x14ac:dyDescent="0.3">
      <c r="A1843" s="2" t="s">
        <v>1737</v>
      </c>
      <c r="B1843" s="1" t="s">
        <v>2152</v>
      </c>
      <c r="C1843" s="6" t="s">
        <v>2673</v>
      </c>
      <c r="D1843" s="6" t="s">
        <v>6046</v>
      </c>
      <c r="E1843" s="22">
        <f t="shared" si="136"/>
        <v>0</v>
      </c>
      <c r="F1843" s="20">
        <f>0.7*42.3</f>
        <v>29.609999999999996</v>
      </c>
      <c r="G1843" s="24" t="s">
        <v>8298</v>
      </c>
      <c r="H1843" s="22">
        <f t="shared" si="137"/>
        <v>0</v>
      </c>
      <c r="I1843" s="21">
        <f t="shared" si="135"/>
        <v>0</v>
      </c>
      <c r="J1843" s="21">
        <f t="shared" si="135"/>
        <v>0</v>
      </c>
    </row>
    <row r="1844" spans="1:10" x14ac:dyDescent="0.3">
      <c r="A1844" s="2" t="s">
        <v>45</v>
      </c>
      <c r="B1844" s="1" t="s">
        <v>2152</v>
      </c>
      <c r="C1844" s="6" t="s">
        <v>2189</v>
      </c>
      <c r="D1844" s="6" t="s">
        <v>4360</v>
      </c>
      <c r="E1844" s="22">
        <f t="shared" si="136"/>
        <v>0</v>
      </c>
      <c r="F1844" s="20">
        <f>46.26*42.3</f>
        <v>1956.7979999999998</v>
      </c>
      <c r="G1844" s="24" t="s">
        <v>8299</v>
      </c>
      <c r="H1844" s="22">
        <f t="shared" si="137"/>
        <v>0</v>
      </c>
      <c r="I1844" s="21">
        <f t="shared" si="135"/>
        <v>0</v>
      </c>
      <c r="J1844" s="21">
        <f t="shared" si="135"/>
        <v>0</v>
      </c>
    </row>
    <row r="1845" spans="1:10" x14ac:dyDescent="0.3">
      <c r="A1845" s="2" t="s">
        <v>46</v>
      </c>
      <c r="B1845" s="1" t="s">
        <v>2152</v>
      </c>
      <c r="C1845" s="6" t="s">
        <v>2190</v>
      </c>
      <c r="D1845" s="6" t="s">
        <v>4361</v>
      </c>
      <c r="E1845" s="22">
        <f t="shared" si="136"/>
        <v>0</v>
      </c>
      <c r="F1845" s="20">
        <f>58.65*42.3</f>
        <v>2480.895</v>
      </c>
      <c r="G1845" s="24" t="s">
        <v>8300</v>
      </c>
      <c r="H1845" s="22">
        <f t="shared" si="137"/>
        <v>0</v>
      </c>
      <c r="I1845" s="21">
        <f t="shared" ref="I1845:J1849" si="138">W1845</f>
        <v>0</v>
      </c>
      <c r="J1845" s="21">
        <f t="shared" si="138"/>
        <v>0</v>
      </c>
    </row>
    <row r="1846" spans="1:10" x14ac:dyDescent="0.3">
      <c r="A1846" s="2" t="s">
        <v>47</v>
      </c>
      <c r="B1846" s="1" t="s">
        <v>2152</v>
      </c>
      <c r="C1846" s="6" t="s">
        <v>2191</v>
      </c>
      <c r="D1846" s="6" t="s">
        <v>4362</v>
      </c>
      <c r="E1846" s="22">
        <f t="shared" si="136"/>
        <v>0</v>
      </c>
      <c r="F1846" s="20">
        <f>99.24*42.3</f>
        <v>4197.8519999999999</v>
      </c>
      <c r="G1846" s="24" t="s">
        <v>8301</v>
      </c>
      <c r="H1846" s="22">
        <f t="shared" si="137"/>
        <v>0</v>
      </c>
      <c r="I1846" s="21">
        <f t="shared" si="138"/>
        <v>0</v>
      </c>
      <c r="J1846" s="21">
        <f t="shared" si="138"/>
        <v>0</v>
      </c>
    </row>
    <row r="1847" spans="1:10" x14ac:dyDescent="0.3">
      <c r="A1847" s="2" t="s">
        <v>48</v>
      </c>
      <c r="B1847" s="1" t="s">
        <v>2152</v>
      </c>
      <c r="C1847" s="6" t="s">
        <v>2192</v>
      </c>
      <c r="D1847" s="6" t="s">
        <v>6047</v>
      </c>
      <c r="E1847" s="22">
        <f t="shared" si="136"/>
        <v>0</v>
      </c>
      <c r="F1847" s="20">
        <f>63.19*42.3</f>
        <v>2672.9369999999999</v>
      </c>
      <c r="G1847" s="24" t="s">
        <v>8302</v>
      </c>
      <c r="H1847" s="22">
        <f t="shared" si="137"/>
        <v>0</v>
      </c>
      <c r="I1847" s="21">
        <f t="shared" si="138"/>
        <v>0</v>
      </c>
      <c r="J1847" s="21">
        <f t="shared" si="138"/>
        <v>0</v>
      </c>
    </row>
    <row r="1848" spans="1:10" x14ac:dyDescent="0.3">
      <c r="A1848" s="2" t="s">
        <v>49</v>
      </c>
      <c r="B1848" s="1" t="s">
        <v>2152</v>
      </c>
      <c r="C1848" s="6" t="s">
        <v>2193</v>
      </c>
      <c r="D1848" s="6" t="s">
        <v>6048</v>
      </c>
      <c r="E1848" s="22">
        <f t="shared" si="136"/>
        <v>0</v>
      </c>
      <c r="F1848" s="20">
        <f>93.62*42.3</f>
        <v>3960.1259999999997</v>
      </c>
      <c r="G1848" s="24" t="s">
        <v>8303</v>
      </c>
      <c r="H1848" s="22">
        <f t="shared" si="137"/>
        <v>0</v>
      </c>
      <c r="I1848" s="21">
        <f t="shared" si="138"/>
        <v>0</v>
      </c>
      <c r="J1848" s="21">
        <f t="shared" si="138"/>
        <v>0</v>
      </c>
    </row>
    <row r="1849" spans="1:10" x14ac:dyDescent="0.3">
      <c r="A1849" s="2" t="s">
        <v>50</v>
      </c>
      <c r="B1849" s="1" t="s">
        <v>2152</v>
      </c>
      <c r="C1849" s="6" t="s">
        <v>2194</v>
      </c>
      <c r="D1849" s="6" t="s">
        <v>6049</v>
      </c>
      <c r="E1849" s="22">
        <f t="shared" si="136"/>
        <v>0</v>
      </c>
      <c r="F1849" s="20">
        <f>125.19*42.3</f>
        <v>5295.5369999999994</v>
      </c>
      <c r="G1849" s="24" t="s">
        <v>8304</v>
      </c>
      <c r="H1849" s="22">
        <f t="shared" si="137"/>
        <v>0</v>
      </c>
      <c r="I1849" s="21">
        <f t="shared" si="138"/>
        <v>0</v>
      </c>
      <c r="J1849" s="21">
        <f t="shared" si="138"/>
        <v>0</v>
      </c>
    </row>
    <row r="1850" spans="1:10" x14ac:dyDescent="0.3">
      <c r="A1850" s="2" t="s">
        <v>1738</v>
      </c>
      <c r="B1850" s="1" t="s">
        <v>2152</v>
      </c>
      <c r="C1850" s="6" t="s">
        <v>3891</v>
      </c>
      <c r="D1850" s="6" t="s">
        <v>6050</v>
      </c>
      <c r="E1850" s="20">
        <f t="shared" si="136"/>
        <v>0</v>
      </c>
      <c r="F1850" s="20"/>
      <c r="G1850" s="24" t="s">
        <v>8305</v>
      </c>
      <c r="H1850" s="20">
        <f t="shared" si="137"/>
        <v>0</v>
      </c>
      <c r="I1850" s="21">
        <f>W1850</f>
        <v>0</v>
      </c>
      <c r="J1850" s="21">
        <f>X1850</f>
        <v>0</v>
      </c>
    </row>
    <row r="1851" spans="1:10" x14ac:dyDescent="0.3">
      <c r="A1851" s="2" t="s">
        <v>1739</v>
      </c>
      <c r="B1851" s="1" t="s">
        <v>2152</v>
      </c>
      <c r="C1851" s="6" t="s">
        <v>3892</v>
      </c>
      <c r="D1851" s="6" t="s">
        <v>6051</v>
      </c>
      <c r="E1851" s="20">
        <f t="shared" si="136"/>
        <v>0</v>
      </c>
      <c r="F1851" s="20">
        <v>400</v>
      </c>
      <c r="G1851" s="24" t="s">
        <v>8306</v>
      </c>
      <c r="H1851" s="20">
        <f t="shared" si="137"/>
        <v>0</v>
      </c>
      <c r="I1851" s="21">
        <f t="shared" ref="I1851:J1914" si="139">W1851</f>
        <v>0</v>
      </c>
      <c r="J1851" s="21">
        <f t="shared" si="139"/>
        <v>0</v>
      </c>
    </row>
    <row r="1852" spans="1:10" x14ac:dyDescent="0.3">
      <c r="A1852" s="2" t="s">
        <v>1740</v>
      </c>
      <c r="B1852" s="1" t="s">
        <v>2152</v>
      </c>
      <c r="C1852" s="6" t="s">
        <v>3893</v>
      </c>
      <c r="D1852" s="6" t="s">
        <v>6052</v>
      </c>
      <c r="E1852" s="20">
        <f t="shared" si="136"/>
        <v>0</v>
      </c>
      <c r="F1852" s="20">
        <v>400</v>
      </c>
      <c r="G1852" s="24" t="s">
        <v>8307</v>
      </c>
      <c r="H1852" s="20">
        <f t="shared" si="137"/>
        <v>0</v>
      </c>
      <c r="I1852" s="21">
        <f t="shared" si="139"/>
        <v>0</v>
      </c>
      <c r="J1852" s="21">
        <f t="shared" si="139"/>
        <v>0</v>
      </c>
    </row>
    <row r="1853" spans="1:10" x14ac:dyDescent="0.3">
      <c r="A1853" s="2" t="s">
        <v>1741</v>
      </c>
      <c r="B1853" s="1" t="s">
        <v>2152</v>
      </c>
      <c r="C1853" s="6" t="s">
        <v>3894</v>
      </c>
      <c r="D1853" s="6" t="s">
        <v>6053</v>
      </c>
      <c r="E1853" s="20">
        <f t="shared" si="136"/>
        <v>0</v>
      </c>
      <c r="F1853" s="20">
        <v>400</v>
      </c>
      <c r="G1853" s="24" t="s">
        <v>8308</v>
      </c>
      <c r="H1853" s="20">
        <f t="shared" si="137"/>
        <v>0</v>
      </c>
      <c r="I1853" s="21">
        <f t="shared" si="139"/>
        <v>0</v>
      </c>
      <c r="J1853" s="21">
        <f t="shared" si="139"/>
        <v>0</v>
      </c>
    </row>
    <row r="1854" spans="1:10" x14ac:dyDescent="0.3">
      <c r="A1854" s="2" t="s">
        <v>1742</v>
      </c>
      <c r="B1854" s="1" t="s">
        <v>2152</v>
      </c>
      <c r="C1854" s="6" t="s">
        <v>3895</v>
      </c>
      <c r="D1854" s="6" t="s">
        <v>6054</v>
      </c>
      <c r="E1854" s="20">
        <f t="shared" si="136"/>
        <v>0</v>
      </c>
      <c r="F1854" s="20">
        <v>400</v>
      </c>
      <c r="G1854" s="24" t="s">
        <v>8309</v>
      </c>
      <c r="H1854" s="20">
        <f t="shared" si="137"/>
        <v>0</v>
      </c>
      <c r="I1854" s="21">
        <f t="shared" si="139"/>
        <v>0</v>
      </c>
      <c r="J1854" s="21">
        <f t="shared" si="139"/>
        <v>0</v>
      </c>
    </row>
    <row r="1855" spans="1:10" x14ac:dyDescent="0.3">
      <c r="A1855" s="2" t="s">
        <v>551</v>
      </c>
      <c r="B1855" s="1" t="s">
        <v>2152</v>
      </c>
      <c r="C1855" s="6" t="s">
        <v>3896</v>
      </c>
      <c r="D1855" s="6" t="s">
        <v>6055</v>
      </c>
      <c r="E1855" s="20">
        <f t="shared" si="136"/>
        <v>0</v>
      </c>
      <c r="F1855" s="20">
        <v>400</v>
      </c>
      <c r="G1855" s="24" t="s">
        <v>8310</v>
      </c>
      <c r="H1855" s="20">
        <f t="shared" si="137"/>
        <v>0</v>
      </c>
      <c r="I1855" s="21">
        <f t="shared" si="139"/>
        <v>0</v>
      </c>
      <c r="J1855" s="21">
        <f t="shared" si="139"/>
        <v>0</v>
      </c>
    </row>
    <row r="1856" spans="1:10" x14ac:dyDescent="0.3">
      <c r="A1856" s="2" t="s">
        <v>552</v>
      </c>
      <c r="B1856" s="1" t="s">
        <v>2152</v>
      </c>
      <c r="C1856" s="6" t="s">
        <v>3897</v>
      </c>
      <c r="D1856" s="6" t="s">
        <v>6056</v>
      </c>
      <c r="E1856" s="20">
        <f t="shared" si="136"/>
        <v>0</v>
      </c>
      <c r="F1856" s="20">
        <v>400</v>
      </c>
      <c r="G1856" s="24" t="s">
        <v>8311</v>
      </c>
      <c r="H1856" s="20">
        <f t="shared" si="137"/>
        <v>0</v>
      </c>
      <c r="I1856" s="21">
        <f t="shared" si="139"/>
        <v>0</v>
      </c>
      <c r="J1856" s="21">
        <f t="shared" si="139"/>
        <v>0</v>
      </c>
    </row>
    <row r="1857" spans="1:10" x14ac:dyDescent="0.3">
      <c r="A1857" s="2" t="s">
        <v>1743</v>
      </c>
      <c r="B1857" s="1" t="s">
        <v>2152</v>
      </c>
      <c r="C1857" s="6" t="s">
        <v>3898</v>
      </c>
      <c r="D1857" s="6" t="s">
        <v>6057</v>
      </c>
      <c r="E1857" s="20">
        <f t="shared" si="136"/>
        <v>0</v>
      </c>
      <c r="F1857" s="20">
        <v>400</v>
      </c>
      <c r="G1857" s="24" t="s">
        <v>8312</v>
      </c>
      <c r="H1857" s="20">
        <f t="shared" si="137"/>
        <v>0</v>
      </c>
      <c r="I1857" s="21">
        <f t="shared" si="139"/>
        <v>0</v>
      </c>
      <c r="J1857" s="21">
        <f t="shared" si="139"/>
        <v>0</v>
      </c>
    </row>
    <row r="1858" spans="1:10" x14ac:dyDescent="0.3">
      <c r="A1858" s="2" t="s">
        <v>1744</v>
      </c>
      <c r="B1858" s="1" t="s">
        <v>2152</v>
      </c>
      <c r="C1858" s="6" t="s">
        <v>3899</v>
      </c>
      <c r="D1858" s="6" t="s">
        <v>6058</v>
      </c>
      <c r="E1858" s="20">
        <f t="shared" si="136"/>
        <v>0</v>
      </c>
      <c r="F1858" s="20">
        <v>400</v>
      </c>
      <c r="G1858" s="24" t="s">
        <v>8313</v>
      </c>
      <c r="H1858" s="20">
        <f t="shared" si="137"/>
        <v>0</v>
      </c>
      <c r="I1858" s="21">
        <f t="shared" si="139"/>
        <v>0</v>
      </c>
      <c r="J1858" s="21">
        <f t="shared" si="139"/>
        <v>0</v>
      </c>
    </row>
    <row r="1859" spans="1:10" x14ac:dyDescent="0.3">
      <c r="A1859" s="2" t="s">
        <v>1745</v>
      </c>
      <c r="B1859" s="1" t="s">
        <v>2152</v>
      </c>
      <c r="C1859" s="6" t="s">
        <v>3900</v>
      </c>
      <c r="D1859" s="6" t="s">
        <v>6059</v>
      </c>
      <c r="E1859" s="20">
        <f t="shared" si="136"/>
        <v>0</v>
      </c>
      <c r="F1859" s="20">
        <v>400</v>
      </c>
      <c r="G1859" s="24" t="s">
        <v>8314</v>
      </c>
      <c r="H1859" s="20">
        <f t="shared" si="137"/>
        <v>0</v>
      </c>
      <c r="I1859" s="21">
        <f t="shared" si="139"/>
        <v>0</v>
      </c>
      <c r="J1859" s="21">
        <f t="shared" si="139"/>
        <v>0</v>
      </c>
    </row>
    <row r="1860" spans="1:10" x14ac:dyDescent="0.3">
      <c r="A1860" s="2" t="s">
        <v>1746</v>
      </c>
      <c r="B1860" s="1" t="s">
        <v>2152</v>
      </c>
      <c r="C1860" s="6" t="s">
        <v>3901</v>
      </c>
      <c r="D1860" s="6" t="s">
        <v>6060</v>
      </c>
      <c r="E1860" s="20">
        <f t="shared" si="136"/>
        <v>0</v>
      </c>
      <c r="F1860" s="20">
        <v>400</v>
      </c>
      <c r="G1860" s="24" t="s">
        <v>8315</v>
      </c>
      <c r="H1860" s="20">
        <f t="shared" si="137"/>
        <v>0</v>
      </c>
      <c r="I1860" s="21">
        <f t="shared" si="139"/>
        <v>0</v>
      </c>
      <c r="J1860" s="21">
        <f t="shared" si="139"/>
        <v>0</v>
      </c>
    </row>
    <row r="1861" spans="1:10" x14ac:dyDescent="0.3">
      <c r="A1861" s="2" t="s">
        <v>1747</v>
      </c>
      <c r="B1861" s="1" t="s">
        <v>2152</v>
      </c>
      <c r="C1861" s="6" t="s">
        <v>3902</v>
      </c>
      <c r="D1861" s="6" t="s">
        <v>6061</v>
      </c>
      <c r="E1861" s="20">
        <f>H1861*1.8*1.4</f>
        <v>0</v>
      </c>
      <c r="F1861" s="20">
        <v>400</v>
      </c>
      <c r="G1861" s="24" t="s">
        <v>8316</v>
      </c>
      <c r="H1861" s="20">
        <f>K1861*1.8*1.4</f>
        <v>0</v>
      </c>
      <c r="I1861" s="21">
        <f t="shared" si="139"/>
        <v>0</v>
      </c>
      <c r="J1861" s="21">
        <f t="shared" si="139"/>
        <v>0</v>
      </c>
    </row>
    <row r="1862" spans="1:10" x14ac:dyDescent="0.3">
      <c r="A1862" s="2" t="s">
        <v>1748</v>
      </c>
      <c r="B1862" s="1" t="s">
        <v>2152</v>
      </c>
      <c r="C1862" s="6" t="s">
        <v>3903</v>
      </c>
      <c r="D1862" s="6" t="s">
        <v>6062</v>
      </c>
      <c r="E1862" s="20">
        <f t="shared" si="136"/>
        <v>0</v>
      </c>
      <c r="F1862" s="20">
        <v>400</v>
      </c>
      <c r="G1862" s="24" t="s">
        <v>8317</v>
      </c>
      <c r="H1862" s="20">
        <f t="shared" si="137"/>
        <v>0</v>
      </c>
      <c r="I1862" s="21">
        <f t="shared" si="139"/>
        <v>0</v>
      </c>
      <c r="J1862" s="21">
        <f t="shared" si="139"/>
        <v>0</v>
      </c>
    </row>
    <row r="1863" spans="1:10" x14ac:dyDescent="0.3">
      <c r="A1863" s="2" t="s">
        <v>1749</v>
      </c>
      <c r="B1863" s="1" t="s">
        <v>2152</v>
      </c>
      <c r="C1863" s="6" t="s">
        <v>3904</v>
      </c>
      <c r="D1863" s="6" t="s">
        <v>6063</v>
      </c>
      <c r="E1863" s="20">
        <f t="shared" si="136"/>
        <v>0</v>
      </c>
      <c r="F1863" s="20">
        <v>400</v>
      </c>
      <c r="G1863" s="24" t="s">
        <v>8318</v>
      </c>
      <c r="H1863" s="20">
        <f t="shared" si="137"/>
        <v>0</v>
      </c>
      <c r="I1863" s="21">
        <f t="shared" si="139"/>
        <v>0</v>
      </c>
      <c r="J1863" s="21">
        <f t="shared" si="139"/>
        <v>0</v>
      </c>
    </row>
    <row r="1864" spans="1:10" x14ac:dyDescent="0.3">
      <c r="A1864" s="2" t="s">
        <v>1750</v>
      </c>
      <c r="B1864" s="1" t="s">
        <v>2152</v>
      </c>
      <c r="C1864" s="6" t="s">
        <v>3905</v>
      </c>
      <c r="D1864" s="6" t="s">
        <v>6064</v>
      </c>
      <c r="E1864" s="20">
        <f t="shared" si="136"/>
        <v>0</v>
      </c>
      <c r="F1864" s="20">
        <f>1.38*42.3</f>
        <v>58.373999999999988</v>
      </c>
      <c r="G1864" s="24" t="s">
        <v>8319</v>
      </c>
      <c r="H1864" s="20">
        <f t="shared" si="137"/>
        <v>0</v>
      </c>
      <c r="I1864" s="21">
        <f t="shared" si="139"/>
        <v>0</v>
      </c>
      <c r="J1864" s="21">
        <f t="shared" si="139"/>
        <v>0</v>
      </c>
    </row>
    <row r="1865" spans="1:10" x14ac:dyDescent="0.3">
      <c r="A1865" s="2" t="s">
        <v>1751</v>
      </c>
      <c r="B1865" s="1" t="s">
        <v>2152</v>
      </c>
      <c r="C1865" s="6" t="s">
        <v>3906</v>
      </c>
      <c r="D1865" s="6" t="s">
        <v>6065</v>
      </c>
      <c r="E1865" s="20">
        <f t="shared" ref="E1865:E1928" si="140">H1865*1.8*1.4</f>
        <v>0</v>
      </c>
      <c r="F1865" s="20">
        <f>1.52*42.3</f>
        <v>64.295999999999992</v>
      </c>
      <c r="G1865" s="24" t="s">
        <v>8320</v>
      </c>
      <c r="H1865" s="20">
        <f t="shared" ref="H1865:H1928" si="141">K1865*1.8*1.4</f>
        <v>0</v>
      </c>
      <c r="I1865" s="21">
        <f t="shared" si="139"/>
        <v>0</v>
      </c>
      <c r="J1865" s="21">
        <f t="shared" si="139"/>
        <v>0</v>
      </c>
    </row>
    <row r="1866" spans="1:10" x14ac:dyDescent="0.3">
      <c r="A1866" s="2" t="s">
        <v>1752</v>
      </c>
      <c r="B1866" s="1" t="s">
        <v>2152</v>
      </c>
      <c r="C1866" s="6" t="s">
        <v>3907</v>
      </c>
      <c r="D1866" s="6" t="s">
        <v>6066</v>
      </c>
      <c r="E1866" s="20">
        <f t="shared" si="140"/>
        <v>0</v>
      </c>
      <c r="F1866" s="20">
        <f>1.71*42.3</f>
        <v>72.332999999999998</v>
      </c>
      <c r="G1866" s="24" t="s">
        <v>8321</v>
      </c>
      <c r="H1866" s="20">
        <f t="shared" si="141"/>
        <v>0</v>
      </c>
      <c r="I1866" s="21">
        <f t="shared" si="139"/>
        <v>0</v>
      </c>
      <c r="J1866" s="21">
        <f t="shared" si="139"/>
        <v>0</v>
      </c>
    </row>
    <row r="1867" spans="1:10" x14ac:dyDescent="0.3">
      <c r="A1867" s="2" t="s">
        <v>1753</v>
      </c>
      <c r="B1867" s="1" t="s">
        <v>2152</v>
      </c>
      <c r="C1867" s="6" t="s">
        <v>3908</v>
      </c>
      <c r="D1867" s="6" t="s">
        <v>6067</v>
      </c>
      <c r="E1867" s="20">
        <f t="shared" si="140"/>
        <v>0</v>
      </c>
      <c r="F1867" s="20">
        <f>2.16*42.3</f>
        <v>91.367999999999995</v>
      </c>
      <c r="G1867" s="24" t="s">
        <v>8322</v>
      </c>
      <c r="H1867" s="20">
        <f t="shared" si="141"/>
        <v>0</v>
      </c>
      <c r="I1867" s="21">
        <f t="shared" si="139"/>
        <v>0</v>
      </c>
      <c r="J1867" s="21">
        <f t="shared" si="139"/>
        <v>0</v>
      </c>
    </row>
    <row r="1868" spans="1:10" x14ac:dyDescent="0.3">
      <c r="A1868" s="2" t="s">
        <v>1754</v>
      </c>
      <c r="B1868" s="1" t="s">
        <v>2152</v>
      </c>
      <c r="C1868" s="6" t="s">
        <v>3909</v>
      </c>
      <c r="D1868" s="6" t="s">
        <v>6068</v>
      </c>
      <c r="E1868" s="20">
        <f t="shared" si="140"/>
        <v>0</v>
      </c>
      <c r="F1868" s="20">
        <f>4.22*42.3</f>
        <v>178.50599999999997</v>
      </c>
      <c r="G1868" s="24" t="s">
        <v>8323</v>
      </c>
      <c r="H1868" s="20">
        <f t="shared" si="141"/>
        <v>0</v>
      </c>
      <c r="I1868" s="21">
        <f t="shared" si="139"/>
        <v>0</v>
      </c>
      <c r="J1868" s="21">
        <f t="shared" si="139"/>
        <v>0</v>
      </c>
    </row>
    <row r="1869" spans="1:10" x14ac:dyDescent="0.3">
      <c r="A1869" s="2" t="s">
        <v>1755</v>
      </c>
      <c r="B1869" s="1" t="s">
        <v>2152</v>
      </c>
      <c r="C1869" s="6" t="s">
        <v>3910</v>
      </c>
      <c r="D1869" s="6" t="s">
        <v>6069</v>
      </c>
      <c r="E1869" s="20">
        <f t="shared" si="140"/>
        <v>0</v>
      </c>
      <c r="F1869" s="20">
        <f>7.86*42.3</f>
        <v>332.47800000000001</v>
      </c>
      <c r="G1869" s="24" t="s">
        <v>8324</v>
      </c>
      <c r="H1869" s="20">
        <f t="shared" si="141"/>
        <v>0</v>
      </c>
      <c r="I1869" s="21">
        <f t="shared" si="139"/>
        <v>0</v>
      </c>
      <c r="J1869" s="21">
        <f t="shared" si="139"/>
        <v>0</v>
      </c>
    </row>
    <row r="1870" spans="1:10" x14ac:dyDescent="0.3">
      <c r="A1870" s="2" t="s">
        <v>1756</v>
      </c>
      <c r="B1870" s="1" t="s">
        <v>2152</v>
      </c>
      <c r="C1870" s="6" t="s">
        <v>3911</v>
      </c>
      <c r="D1870" s="6" t="s">
        <v>6070</v>
      </c>
      <c r="E1870" s="20">
        <f t="shared" si="140"/>
        <v>0</v>
      </c>
      <c r="F1870" s="20">
        <f>8.78*42.3</f>
        <v>371.39399999999995</v>
      </c>
      <c r="G1870" s="24" t="s">
        <v>8325</v>
      </c>
      <c r="H1870" s="20">
        <f t="shared" si="141"/>
        <v>0</v>
      </c>
      <c r="I1870" s="21">
        <f t="shared" si="139"/>
        <v>0</v>
      </c>
      <c r="J1870" s="21">
        <f t="shared" si="139"/>
        <v>0</v>
      </c>
    </row>
    <row r="1871" spans="1:10" x14ac:dyDescent="0.3">
      <c r="A1871" s="2" t="s">
        <v>1757</v>
      </c>
      <c r="B1871" s="1" t="s">
        <v>2152</v>
      </c>
      <c r="C1871" s="6" t="s">
        <v>3912</v>
      </c>
      <c r="D1871" s="6" t="s">
        <v>6071</v>
      </c>
      <c r="E1871" s="20">
        <f t="shared" si="140"/>
        <v>0</v>
      </c>
      <c r="F1871" s="20">
        <f>28.79*42.3</f>
        <v>1217.8169999999998</v>
      </c>
      <c r="G1871" s="24" t="s">
        <v>8326</v>
      </c>
      <c r="H1871" s="20">
        <f t="shared" si="141"/>
        <v>0</v>
      </c>
      <c r="I1871" s="21">
        <f t="shared" si="139"/>
        <v>0</v>
      </c>
      <c r="J1871" s="21">
        <f t="shared" si="139"/>
        <v>0</v>
      </c>
    </row>
    <row r="1872" spans="1:10" x14ac:dyDescent="0.3">
      <c r="A1872" s="2" t="s">
        <v>1758</v>
      </c>
      <c r="B1872" s="1" t="s">
        <v>2152</v>
      </c>
      <c r="C1872" s="6" t="s">
        <v>3913</v>
      </c>
      <c r="D1872" s="6" t="s">
        <v>6072</v>
      </c>
      <c r="E1872" s="20">
        <f t="shared" si="140"/>
        <v>0</v>
      </c>
      <c r="F1872" s="20">
        <f>2.25*42.3</f>
        <v>95.174999999999997</v>
      </c>
      <c r="G1872" s="24" t="s">
        <v>8327</v>
      </c>
      <c r="H1872" s="20">
        <f t="shared" si="141"/>
        <v>0</v>
      </c>
      <c r="I1872" s="21">
        <f t="shared" ref="I1872:J1876" si="142">W1872</f>
        <v>0</v>
      </c>
      <c r="J1872" s="21">
        <f t="shared" si="142"/>
        <v>0</v>
      </c>
    </row>
    <row r="1873" spans="1:10" x14ac:dyDescent="0.3">
      <c r="A1873" s="2" t="s">
        <v>1759</v>
      </c>
      <c r="B1873" s="1" t="s">
        <v>2152</v>
      </c>
      <c r="C1873" s="6" t="s">
        <v>3914</v>
      </c>
      <c r="D1873" s="6" t="s">
        <v>6073</v>
      </c>
      <c r="E1873" s="20">
        <f t="shared" si="140"/>
        <v>0</v>
      </c>
      <c r="F1873" s="20">
        <f>2.53*42.3</f>
        <v>107.01899999999999</v>
      </c>
      <c r="G1873" s="24" t="s">
        <v>8328</v>
      </c>
      <c r="H1873" s="20">
        <f t="shared" si="141"/>
        <v>0</v>
      </c>
      <c r="I1873" s="21">
        <f t="shared" si="142"/>
        <v>0</v>
      </c>
      <c r="J1873" s="21">
        <f t="shared" si="142"/>
        <v>0</v>
      </c>
    </row>
    <row r="1874" spans="1:10" x14ac:dyDescent="0.3">
      <c r="A1874" s="2" t="s">
        <v>1760</v>
      </c>
      <c r="B1874" s="1" t="s">
        <v>2152</v>
      </c>
      <c r="C1874" s="6" t="s">
        <v>3915</v>
      </c>
      <c r="D1874" s="6" t="s">
        <v>6074</v>
      </c>
      <c r="E1874" s="20">
        <f t="shared" si="140"/>
        <v>0</v>
      </c>
      <c r="F1874" s="20">
        <f>4.34*42.3</f>
        <v>183.58199999999999</v>
      </c>
      <c r="G1874" s="24" t="s">
        <v>8329</v>
      </c>
      <c r="H1874" s="20">
        <f t="shared" si="141"/>
        <v>0</v>
      </c>
      <c r="I1874" s="21">
        <f t="shared" si="142"/>
        <v>0</v>
      </c>
      <c r="J1874" s="21">
        <f t="shared" si="142"/>
        <v>0</v>
      </c>
    </row>
    <row r="1875" spans="1:10" x14ac:dyDescent="0.3">
      <c r="A1875" s="2" t="s">
        <v>1761</v>
      </c>
      <c r="B1875" s="1" t="s">
        <v>2152</v>
      </c>
      <c r="C1875" s="6" t="s">
        <v>3916</v>
      </c>
      <c r="D1875" s="6" t="s">
        <v>6075</v>
      </c>
      <c r="E1875" s="20">
        <f t="shared" si="140"/>
        <v>0</v>
      </c>
      <c r="F1875" s="20">
        <f>7.4*42.3</f>
        <v>313.02</v>
      </c>
      <c r="G1875" s="24" t="s">
        <v>8330</v>
      </c>
      <c r="H1875" s="20">
        <f t="shared" si="141"/>
        <v>0</v>
      </c>
      <c r="I1875" s="21">
        <f t="shared" si="142"/>
        <v>0</v>
      </c>
      <c r="J1875" s="21">
        <f t="shared" si="142"/>
        <v>0</v>
      </c>
    </row>
    <row r="1876" spans="1:10" x14ac:dyDescent="0.3">
      <c r="A1876" s="2" t="s">
        <v>1762</v>
      </c>
      <c r="B1876" s="1" t="s">
        <v>2152</v>
      </c>
      <c r="C1876" s="6" t="s">
        <v>3917</v>
      </c>
      <c r="D1876" s="6" t="s">
        <v>6076</v>
      </c>
      <c r="E1876" s="20">
        <f t="shared" si="140"/>
        <v>0</v>
      </c>
      <c r="F1876" s="20">
        <f>0.32*42.3</f>
        <v>13.536</v>
      </c>
      <c r="G1876" s="24" t="s">
        <v>8331</v>
      </c>
      <c r="H1876" s="20">
        <f t="shared" si="141"/>
        <v>0</v>
      </c>
      <c r="I1876" s="21">
        <f t="shared" si="142"/>
        <v>0</v>
      </c>
      <c r="J1876" s="21">
        <f t="shared" si="142"/>
        <v>0</v>
      </c>
    </row>
    <row r="1877" spans="1:10" x14ac:dyDescent="0.3">
      <c r="A1877" s="2" t="s">
        <v>1763</v>
      </c>
      <c r="B1877" s="1" t="s">
        <v>2152</v>
      </c>
      <c r="C1877" s="6" t="s">
        <v>3918</v>
      </c>
      <c r="D1877" s="6" t="s">
        <v>6077</v>
      </c>
      <c r="E1877" s="20">
        <f t="shared" si="140"/>
        <v>0</v>
      </c>
      <c r="F1877" s="20">
        <f>0.55*42.3</f>
        <v>23.265000000000001</v>
      </c>
      <c r="G1877" s="24" t="s">
        <v>8332</v>
      </c>
      <c r="H1877" s="20">
        <f t="shared" si="141"/>
        <v>0</v>
      </c>
      <c r="I1877" s="21">
        <f t="shared" si="139"/>
        <v>0</v>
      </c>
      <c r="J1877" s="21">
        <f t="shared" si="139"/>
        <v>0</v>
      </c>
    </row>
    <row r="1878" spans="1:10" x14ac:dyDescent="0.3">
      <c r="A1878" s="2" t="s">
        <v>1764</v>
      </c>
      <c r="B1878" s="1" t="s">
        <v>2152</v>
      </c>
      <c r="C1878" s="6" t="s">
        <v>3919</v>
      </c>
      <c r="D1878" s="6" t="s">
        <v>6078</v>
      </c>
      <c r="E1878" s="20">
        <f t="shared" si="140"/>
        <v>0</v>
      </c>
      <c r="F1878" s="20">
        <f>0.64*42.3</f>
        <v>27.071999999999999</v>
      </c>
      <c r="G1878" s="24" t="s">
        <v>8333</v>
      </c>
      <c r="H1878" s="20">
        <f t="shared" si="141"/>
        <v>0</v>
      </c>
      <c r="I1878" s="21">
        <f t="shared" si="139"/>
        <v>0</v>
      </c>
      <c r="J1878" s="21">
        <f t="shared" si="139"/>
        <v>0</v>
      </c>
    </row>
    <row r="1879" spans="1:10" x14ac:dyDescent="0.3">
      <c r="A1879" s="2" t="s">
        <v>1765</v>
      </c>
      <c r="B1879" s="1" t="s">
        <v>2152</v>
      </c>
      <c r="C1879" s="6" t="s">
        <v>3920</v>
      </c>
      <c r="D1879" s="6" t="s">
        <v>6079</v>
      </c>
      <c r="E1879" s="20">
        <f t="shared" si="140"/>
        <v>0</v>
      </c>
      <c r="F1879" s="20">
        <f>1.17*42.3</f>
        <v>49.490999999999993</v>
      </c>
      <c r="G1879" s="24" t="s">
        <v>8334</v>
      </c>
      <c r="H1879" s="20">
        <f t="shared" si="141"/>
        <v>0</v>
      </c>
      <c r="I1879" s="21">
        <f t="shared" si="139"/>
        <v>0</v>
      </c>
      <c r="J1879" s="21">
        <f t="shared" si="139"/>
        <v>0</v>
      </c>
    </row>
    <row r="1880" spans="1:10" x14ac:dyDescent="0.3">
      <c r="A1880" s="2" t="s">
        <v>1766</v>
      </c>
      <c r="B1880" s="1" t="s">
        <v>2152</v>
      </c>
      <c r="C1880" s="6" t="s">
        <v>3921</v>
      </c>
      <c r="D1880" s="6" t="s">
        <v>6080</v>
      </c>
      <c r="E1880" s="20">
        <f t="shared" si="140"/>
        <v>0</v>
      </c>
      <c r="F1880" s="20">
        <f>1.52*42.3</f>
        <v>64.295999999999992</v>
      </c>
      <c r="G1880" s="24" t="s">
        <v>8335</v>
      </c>
      <c r="H1880" s="20">
        <f t="shared" si="141"/>
        <v>0</v>
      </c>
      <c r="I1880" s="21">
        <f t="shared" si="139"/>
        <v>0</v>
      </c>
      <c r="J1880" s="21">
        <f t="shared" si="139"/>
        <v>0</v>
      </c>
    </row>
    <row r="1881" spans="1:10" x14ac:dyDescent="0.3">
      <c r="A1881" s="2" t="s">
        <v>1061</v>
      </c>
      <c r="B1881" s="1" t="s">
        <v>2152</v>
      </c>
      <c r="C1881" s="6" t="s">
        <v>3217</v>
      </c>
      <c r="D1881" s="6" t="s">
        <v>5378</v>
      </c>
      <c r="E1881" s="20">
        <f t="shared" si="140"/>
        <v>0</v>
      </c>
      <c r="F1881" s="20">
        <f>2.64*42.3</f>
        <v>111.672</v>
      </c>
      <c r="G1881" s="24" t="s">
        <v>8336</v>
      </c>
      <c r="H1881" s="20">
        <f t="shared" si="141"/>
        <v>0</v>
      </c>
      <c r="I1881" s="21">
        <f t="shared" si="139"/>
        <v>0</v>
      </c>
      <c r="J1881" s="21">
        <f t="shared" si="139"/>
        <v>0</v>
      </c>
    </row>
    <row r="1882" spans="1:10" x14ac:dyDescent="0.3">
      <c r="A1882" s="2" t="s">
        <v>1767</v>
      </c>
      <c r="B1882" s="1" t="s">
        <v>2152</v>
      </c>
      <c r="C1882" s="6" t="s">
        <v>3922</v>
      </c>
      <c r="D1882" s="6" t="s">
        <v>6081</v>
      </c>
      <c r="E1882" s="20">
        <f t="shared" si="140"/>
        <v>0</v>
      </c>
      <c r="F1882" s="20">
        <f>7.78*42.3</f>
        <v>329.09399999999999</v>
      </c>
      <c r="G1882" s="24" t="s">
        <v>8337</v>
      </c>
      <c r="H1882" s="20">
        <f t="shared" si="141"/>
        <v>0</v>
      </c>
      <c r="I1882" s="21">
        <f t="shared" si="139"/>
        <v>0</v>
      </c>
      <c r="J1882" s="21">
        <f t="shared" si="139"/>
        <v>0</v>
      </c>
    </row>
    <row r="1883" spans="1:10" x14ac:dyDescent="0.3">
      <c r="A1883" s="2" t="s">
        <v>1768</v>
      </c>
      <c r="B1883" s="1" t="s">
        <v>2152</v>
      </c>
      <c r="C1883" s="6" t="s">
        <v>3923</v>
      </c>
      <c r="D1883" s="6" t="s">
        <v>6082</v>
      </c>
      <c r="E1883" s="20">
        <f t="shared" si="140"/>
        <v>0</v>
      </c>
      <c r="F1883" s="20">
        <f>2.88*42.3</f>
        <v>121.82399999999998</v>
      </c>
      <c r="G1883" s="24" t="s">
        <v>8338</v>
      </c>
      <c r="H1883" s="20">
        <f t="shared" si="141"/>
        <v>0</v>
      </c>
      <c r="I1883" s="21">
        <f t="shared" ref="I1883:J1886" si="143">W1883</f>
        <v>0</v>
      </c>
      <c r="J1883" s="21">
        <f t="shared" si="143"/>
        <v>0</v>
      </c>
    </row>
    <row r="1884" spans="1:10" x14ac:dyDescent="0.3">
      <c r="A1884" s="2" t="s">
        <v>1769</v>
      </c>
      <c r="B1884" s="1" t="s">
        <v>2152</v>
      </c>
      <c r="C1884" s="6" t="s">
        <v>3924</v>
      </c>
      <c r="D1884" s="6" t="s">
        <v>6083</v>
      </c>
      <c r="E1884" s="20">
        <f t="shared" si="140"/>
        <v>0</v>
      </c>
      <c r="F1884" s="20">
        <f>3.91*42.3</f>
        <v>165.393</v>
      </c>
      <c r="G1884" s="24" t="s">
        <v>8339</v>
      </c>
      <c r="H1884" s="20">
        <f t="shared" si="141"/>
        <v>0</v>
      </c>
      <c r="I1884" s="21">
        <f t="shared" si="143"/>
        <v>0</v>
      </c>
      <c r="J1884" s="21">
        <f t="shared" si="143"/>
        <v>0</v>
      </c>
    </row>
    <row r="1885" spans="1:10" x14ac:dyDescent="0.3">
      <c r="A1885" s="2" t="s">
        <v>1770</v>
      </c>
      <c r="B1885" s="1" t="s">
        <v>2152</v>
      </c>
      <c r="C1885" s="6" t="s">
        <v>3925</v>
      </c>
      <c r="D1885" s="6" t="s">
        <v>6084</v>
      </c>
      <c r="E1885" s="20">
        <f t="shared" si="140"/>
        <v>0</v>
      </c>
      <c r="F1885" s="20">
        <f>5.66*42.3</f>
        <v>239.41799999999998</v>
      </c>
      <c r="G1885" s="24" t="s">
        <v>8340</v>
      </c>
      <c r="H1885" s="20">
        <f t="shared" si="141"/>
        <v>0</v>
      </c>
      <c r="I1885" s="21">
        <f t="shared" si="143"/>
        <v>0</v>
      </c>
      <c r="J1885" s="21">
        <f t="shared" si="143"/>
        <v>0</v>
      </c>
    </row>
    <row r="1886" spans="1:10" x14ac:dyDescent="0.3">
      <c r="A1886" s="2" t="s">
        <v>526</v>
      </c>
      <c r="B1886" s="1" t="s">
        <v>2152</v>
      </c>
      <c r="C1886" s="6" t="s">
        <v>2672</v>
      </c>
      <c r="D1886" s="6" t="s">
        <v>4839</v>
      </c>
      <c r="E1886" s="20">
        <f t="shared" si="140"/>
        <v>0</v>
      </c>
      <c r="F1886" s="20">
        <f>9.68*42.3</f>
        <v>409.46399999999994</v>
      </c>
      <c r="G1886" s="24" t="s">
        <v>8341</v>
      </c>
      <c r="H1886" s="20">
        <f t="shared" si="141"/>
        <v>0</v>
      </c>
      <c r="I1886" s="21">
        <f t="shared" si="143"/>
        <v>0</v>
      </c>
      <c r="J1886" s="21">
        <f t="shared" si="143"/>
        <v>0</v>
      </c>
    </row>
    <row r="1887" spans="1:10" x14ac:dyDescent="0.3">
      <c r="A1887" s="2" t="s">
        <v>1771</v>
      </c>
      <c r="B1887" s="1" t="s">
        <v>2152</v>
      </c>
      <c r="C1887" s="6" t="s">
        <v>3926</v>
      </c>
      <c r="D1887" s="6" t="s">
        <v>6085</v>
      </c>
      <c r="E1887" s="20">
        <f t="shared" si="140"/>
        <v>0</v>
      </c>
      <c r="F1887" s="20">
        <f>17.78*42.3</f>
        <v>752.09400000000005</v>
      </c>
      <c r="G1887" s="24" t="s">
        <v>8342</v>
      </c>
      <c r="H1887" s="20">
        <f t="shared" si="141"/>
        <v>0</v>
      </c>
      <c r="I1887" s="21">
        <f t="shared" si="139"/>
        <v>0</v>
      </c>
      <c r="J1887" s="21">
        <f t="shared" si="139"/>
        <v>0</v>
      </c>
    </row>
    <row r="1888" spans="1:10" x14ac:dyDescent="0.3">
      <c r="A1888" s="2" t="s">
        <v>1772</v>
      </c>
      <c r="B1888" s="1" t="s">
        <v>2152</v>
      </c>
      <c r="C1888" s="6" t="s">
        <v>3927</v>
      </c>
      <c r="D1888" s="6" t="s">
        <v>6086</v>
      </c>
      <c r="E1888" s="20">
        <f t="shared" si="140"/>
        <v>0</v>
      </c>
      <c r="F1888" s="20">
        <f>21.52*42.3</f>
        <v>910.29599999999994</v>
      </c>
      <c r="G1888" s="24" t="s">
        <v>8343</v>
      </c>
      <c r="H1888" s="20">
        <f t="shared" si="141"/>
        <v>0</v>
      </c>
      <c r="I1888" s="21">
        <f t="shared" si="139"/>
        <v>0</v>
      </c>
      <c r="J1888" s="21">
        <f t="shared" si="139"/>
        <v>0</v>
      </c>
    </row>
    <row r="1889" spans="1:10" x14ac:dyDescent="0.3">
      <c r="A1889" s="2" t="s">
        <v>1773</v>
      </c>
      <c r="B1889" s="1" t="s">
        <v>2152</v>
      </c>
      <c r="C1889" s="6" t="s">
        <v>3928</v>
      </c>
      <c r="D1889" s="6" t="s">
        <v>6087</v>
      </c>
      <c r="E1889" s="20">
        <f t="shared" si="140"/>
        <v>0</v>
      </c>
      <c r="F1889" s="20">
        <f>2.49*42.3</f>
        <v>105.327</v>
      </c>
      <c r="G1889" s="24" t="s">
        <v>8344</v>
      </c>
      <c r="H1889" s="20">
        <f t="shared" si="141"/>
        <v>0</v>
      </c>
      <c r="I1889" s="21">
        <f t="shared" si="139"/>
        <v>0</v>
      </c>
      <c r="J1889" s="21">
        <f t="shared" si="139"/>
        <v>0</v>
      </c>
    </row>
    <row r="1890" spans="1:10" x14ac:dyDescent="0.3">
      <c r="A1890" s="2" t="s">
        <v>1774</v>
      </c>
      <c r="B1890" s="1" t="s">
        <v>2152</v>
      </c>
      <c r="C1890" s="6" t="s">
        <v>3929</v>
      </c>
      <c r="D1890" s="6" t="s">
        <v>6088</v>
      </c>
      <c r="E1890" s="20">
        <f t="shared" si="140"/>
        <v>0</v>
      </c>
      <c r="F1890" s="20">
        <f>3.02*42.3</f>
        <v>127.746</v>
      </c>
      <c r="G1890" s="24" t="s">
        <v>8345</v>
      </c>
      <c r="H1890" s="20">
        <f t="shared" si="141"/>
        <v>0</v>
      </c>
      <c r="I1890" s="21">
        <f t="shared" si="139"/>
        <v>0</v>
      </c>
      <c r="J1890" s="21">
        <f t="shared" si="139"/>
        <v>0</v>
      </c>
    </row>
    <row r="1891" spans="1:10" x14ac:dyDescent="0.3">
      <c r="A1891" s="2" t="s">
        <v>1775</v>
      </c>
      <c r="B1891" s="1" t="s">
        <v>2152</v>
      </c>
      <c r="C1891" s="6" t="s">
        <v>3930</v>
      </c>
      <c r="D1891" s="6" t="s">
        <v>6089</v>
      </c>
      <c r="E1891" s="20">
        <f t="shared" si="140"/>
        <v>0</v>
      </c>
      <c r="F1891" s="20">
        <f>3.77*42.3</f>
        <v>159.471</v>
      </c>
      <c r="G1891" s="24" t="s">
        <v>8346</v>
      </c>
      <c r="H1891" s="20">
        <f t="shared" si="141"/>
        <v>0</v>
      </c>
      <c r="I1891" s="21">
        <f t="shared" si="139"/>
        <v>0</v>
      </c>
      <c r="J1891" s="21">
        <f t="shared" si="139"/>
        <v>0</v>
      </c>
    </row>
    <row r="1892" spans="1:10" x14ac:dyDescent="0.3">
      <c r="A1892" s="2" t="s">
        <v>1776</v>
      </c>
      <c r="B1892" s="1" t="s">
        <v>2152</v>
      </c>
      <c r="C1892" s="6" t="s">
        <v>3931</v>
      </c>
      <c r="D1892" s="6" t="s">
        <v>6090</v>
      </c>
      <c r="E1892" s="20">
        <f t="shared" si="140"/>
        <v>0</v>
      </c>
      <c r="F1892" s="20">
        <f>4.55*42.3</f>
        <v>192.46499999999997</v>
      </c>
      <c r="G1892" s="24" t="s">
        <v>8347</v>
      </c>
      <c r="H1892" s="20">
        <f t="shared" si="141"/>
        <v>0</v>
      </c>
      <c r="I1892" s="21">
        <f t="shared" si="139"/>
        <v>0</v>
      </c>
      <c r="J1892" s="21">
        <f t="shared" si="139"/>
        <v>0</v>
      </c>
    </row>
    <row r="1893" spans="1:10" x14ac:dyDescent="0.3">
      <c r="A1893" s="2" t="s">
        <v>1777</v>
      </c>
      <c r="B1893" s="1" t="s">
        <v>2152</v>
      </c>
      <c r="C1893" s="6" t="s">
        <v>3932</v>
      </c>
      <c r="D1893" s="6" t="s">
        <v>6091</v>
      </c>
      <c r="E1893" s="20">
        <f t="shared" si="140"/>
        <v>0</v>
      </c>
      <c r="F1893" s="20">
        <f>6.06*42.3</f>
        <v>256.33799999999997</v>
      </c>
      <c r="G1893" s="24" t="s">
        <v>8348</v>
      </c>
      <c r="H1893" s="20">
        <f t="shared" si="141"/>
        <v>0</v>
      </c>
      <c r="I1893" s="21">
        <f t="shared" si="139"/>
        <v>0</v>
      </c>
      <c r="J1893" s="21">
        <f t="shared" si="139"/>
        <v>0</v>
      </c>
    </row>
    <row r="1894" spans="1:10" x14ac:dyDescent="0.3">
      <c r="A1894" s="2" t="s">
        <v>1778</v>
      </c>
      <c r="B1894" s="1" t="s">
        <v>2152</v>
      </c>
      <c r="C1894" s="6" t="s">
        <v>3933</v>
      </c>
      <c r="D1894" s="6" t="s">
        <v>6092</v>
      </c>
      <c r="E1894" s="20">
        <f t="shared" si="140"/>
        <v>0</v>
      </c>
      <c r="F1894" s="20">
        <f>9.04*42.3</f>
        <v>382.39199999999994</v>
      </c>
      <c r="G1894" s="24" t="s">
        <v>8349</v>
      </c>
      <c r="H1894" s="20">
        <f t="shared" si="141"/>
        <v>0</v>
      </c>
      <c r="I1894" s="21">
        <f t="shared" si="139"/>
        <v>0</v>
      </c>
      <c r="J1894" s="21">
        <f t="shared" si="139"/>
        <v>0</v>
      </c>
    </row>
    <row r="1895" spans="1:10" x14ac:dyDescent="0.3">
      <c r="A1895" s="2" t="s">
        <v>1779</v>
      </c>
      <c r="B1895" s="1" t="s">
        <v>2152</v>
      </c>
      <c r="C1895" s="6" t="s">
        <v>3934</v>
      </c>
      <c r="D1895" s="6" t="s">
        <v>6093</v>
      </c>
      <c r="E1895" s="20">
        <f t="shared" si="140"/>
        <v>0</v>
      </c>
      <c r="F1895" s="20">
        <f>0.79*42.3</f>
        <v>33.417000000000002</v>
      </c>
      <c r="G1895" s="24" t="s">
        <v>8350</v>
      </c>
      <c r="H1895" s="20">
        <f t="shared" si="141"/>
        <v>0</v>
      </c>
      <c r="I1895" s="21">
        <f>W1895</f>
        <v>0</v>
      </c>
      <c r="J1895" s="21">
        <f t="shared" si="139"/>
        <v>0</v>
      </c>
    </row>
    <row r="1896" spans="1:10" x14ac:dyDescent="0.3">
      <c r="A1896" s="2" t="s">
        <v>1780</v>
      </c>
      <c r="B1896" s="1" t="s">
        <v>2152</v>
      </c>
      <c r="C1896" s="6" t="s">
        <v>3935</v>
      </c>
      <c r="D1896" s="6" t="s">
        <v>6094</v>
      </c>
      <c r="E1896" s="20">
        <f t="shared" si="140"/>
        <v>0</v>
      </c>
      <c r="F1896" s="20">
        <f>1.17*42.3</f>
        <v>49.490999999999993</v>
      </c>
      <c r="G1896" s="24" t="s">
        <v>8351</v>
      </c>
      <c r="H1896" s="20">
        <f t="shared" si="141"/>
        <v>0</v>
      </c>
      <c r="I1896" s="21">
        <f>W1896</f>
        <v>0</v>
      </c>
      <c r="J1896" s="21">
        <f t="shared" si="139"/>
        <v>0</v>
      </c>
    </row>
    <row r="1897" spans="1:10" x14ac:dyDescent="0.3">
      <c r="A1897" s="2" t="s">
        <v>1781</v>
      </c>
      <c r="B1897" s="1" t="s">
        <v>2152</v>
      </c>
      <c r="C1897" s="6" t="s">
        <v>3936</v>
      </c>
      <c r="D1897" s="6" t="s">
        <v>6095</v>
      </c>
      <c r="E1897" s="20">
        <f t="shared" si="140"/>
        <v>0</v>
      </c>
      <c r="F1897" s="20">
        <f>1.88*42.3</f>
        <v>79.523999999999987</v>
      </c>
      <c r="G1897" s="24" t="s">
        <v>8352</v>
      </c>
      <c r="H1897" s="20">
        <f t="shared" si="141"/>
        <v>0</v>
      </c>
      <c r="I1897" s="21">
        <f>W1897</f>
        <v>0</v>
      </c>
      <c r="J1897" s="21">
        <f t="shared" si="139"/>
        <v>0</v>
      </c>
    </row>
    <row r="1898" spans="1:10" x14ac:dyDescent="0.3">
      <c r="A1898" s="2" t="s">
        <v>490</v>
      </c>
      <c r="B1898" s="1" t="s">
        <v>2152</v>
      </c>
      <c r="C1898" s="6" t="s">
        <v>2636</v>
      </c>
      <c r="D1898" s="6" t="s">
        <v>4804</v>
      </c>
      <c r="E1898" s="20">
        <f t="shared" si="140"/>
        <v>0</v>
      </c>
      <c r="F1898" s="20">
        <f>2.27*42.3</f>
        <v>96.021000000000001</v>
      </c>
      <c r="G1898" s="24" t="s">
        <v>8353</v>
      </c>
      <c r="H1898" s="20">
        <f t="shared" si="141"/>
        <v>0</v>
      </c>
      <c r="I1898" s="21">
        <f t="shared" si="139"/>
        <v>0</v>
      </c>
      <c r="J1898" s="21">
        <f t="shared" si="139"/>
        <v>0</v>
      </c>
    </row>
    <row r="1899" spans="1:10" x14ac:dyDescent="0.3">
      <c r="A1899" s="2" t="s">
        <v>1782</v>
      </c>
      <c r="B1899" s="1" t="s">
        <v>2152</v>
      </c>
      <c r="C1899" s="6" t="s">
        <v>3937</v>
      </c>
      <c r="D1899" s="6" t="s">
        <v>6096</v>
      </c>
      <c r="E1899" s="20">
        <f t="shared" si="140"/>
        <v>0</v>
      </c>
      <c r="F1899" s="20">
        <f>2.27*42.3</f>
        <v>96.021000000000001</v>
      </c>
      <c r="G1899" s="24" t="s">
        <v>8354</v>
      </c>
      <c r="H1899" s="20">
        <f t="shared" si="141"/>
        <v>0</v>
      </c>
      <c r="I1899" s="21">
        <f>W1899</f>
        <v>0</v>
      </c>
      <c r="J1899" s="21">
        <f t="shared" si="139"/>
        <v>0</v>
      </c>
    </row>
    <row r="1900" spans="1:10" x14ac:dyDescent="0.3">
      <c r="A1900" s="2" t="s">
        <v>1783</v>
      </c>
      <c r="B1900" s="1" t="s">
        <v>2152</v>
      </c>
      <c r="C1900" s="6" t="s">
        <v>3938</v>
      </c>
      <c r="D1900" s="6" t="s">
        <v>6097</v>
      </c>
      <c r="E1900" s="20">
        <f t="shared" si="140"/>
        <v>0</v>
      </c>
      <c r="F1900" s="20">
        <f>2.76*42</f>
        <v>115.91999999999999</v>
      </c>
      <c r="G1900" s="24" t="s">
        <v>8355</v>
      </c>
      <c r="H1900" s="20">
        <f t="shared" si="141"/>
        <v>0</v>
      </c>
      <c r="I1900" s="21">
        <f t="shared" si="139"/>
        <v>0</v>
      </c>
      <c r="J1900" s="21">
        <f t="shared" si="139"/>
        <v>0</v>
      </c>
    </row>
    <row r="1901" spans="1:10" x14ac:dyDescent="0.3">
      <c r="A1901" s="2" t="s">
        <v>1784</v>
      </c>
      <c r="B1901" s="1" t="s">
        <v>2152</v>
      </c>
      <c r="C1901" s="6" t="s">
        <v>3939</v>
      </c>
      <c r="D1901" s="6" t="s">
        <v>6098</v>
      </c>
      <c r="E1901" s="20">
        <f t="shared" si="140"/>
        <v>0</v>
      </c>
      <c r="F1901" s="20"/>
      <c r="G1901" s="24" t="s">
        <v>8356</v>
      </c>
      <c r="H1901" s="20">
        <f t="shared" si="141"/>
        <v>0</v>
      </c>
      <c r="I1901" s="21">
        <f t="shared" si="139"/>
        <v>0</v>
      </c>
      <c r="J1901" s="21">
        <f t="shared" si="139"/>
        <v>0</v>
      </c>
    </row>
    <row r="1902" spans="1:10" x14ac:dyDescent="0.3">
      <c r="A1902" s="2" t="s">
        <v>1785</v>
      </c>
      <c r="B1902" s="1" t="s">
        <v>2152</v>
      </c>
      <c r="C1902" s="6" t="s">
        <v>3940</v>
      </c>
      <c r="D1902" s="6" t="s">
        <v>6099</v>
      </c>
      <c r="E1902" s="20">
        <f t="shared" si="140"/>
        <v>0</v>
      </c>
      <c r="F1902" s="20"/>
      <c r="G1902" s="24" t="s">
        <v>8357</v>
      </c>
      <c r="H1902" s="20">
        <f t="shared" si="141"/>
        <v>0</v>
      </c>
      <c r="I1902" s="21">
        <f t="shared" si="139"/>
        <v>0</v>
      </c>
      <c r="J1902" s="21">
        <f t="shared" si="139"/>
        <v>0</v>
      </c>
    </row>
    <row r="1903" spans="1:10" x14ac:dyDescent="0.3">
      <c r="A1903" s="2" t="s">
        <v>1786</v>
      </c>
      <c r="B1903" s="1" t="s">
        <v>2152</v>
      </c>
      <c r="C1903" s="6" t="s">
        <v>3941</v>
      </c>
      <c r="D1903" s="6" t="s">
        <v>6100</v>
      </c>
      <c r="E1903" s="20">
        <f t="shared" si="140"/>
        <v>0</v>
      </c>
      <c r="F1903" s="20"/>
      <c r="G1903" s="24" t="s">
        <v>8358</v>
      </c>
      <c r="H1903" s="20">
        <f t="shared" si="141"/>
        <v>0</v>
      </c>
      <c r="I1903" s="21">
        <f>W1903</f>
        <v>0</v>
      </c>
      <c r="J1903" s="21">
        <f t="shared" si="139"/>
        <v>0</v>
      </c>
    </row>
    <row r="1904" spans="1:10" x14ac:dyDescent="0.3">
      <c r="A1904" s="2" t="s">
        <v>1787</v>
      </c>
      <c r="B1904" s="1" t="s">
        <v>2152</v>
      </c>
      <c r="C1904" s="6" t="s">
        <v>3942</v>
      </c>
      <c r="D1904" s="6" t="s">
        <v>6101</v>
      </c>
      <c r="E1904" s="20">
        <f t="shared" si="140"/>
        <v>0</v>
      </c>
      <c r="F1904" s="20"/>
      <c r="G1904" s="24" t="s">
        <v>8359</v>
      </c>
      <c r="H1904" s="20">
        <f t="shared" si="141"/>
        <v>0</v>
      </c>
      <c r="I1904" s="21">
        <f t="shared" si="139"/>
        <v>0</v>
      </c>
      <c r="J1904" s="21">
        <f t="shared" si="139"/>
        <v>0</v>
      </c>
    </row>
    <row r="1905" spans="1:10" x14ac:dyDescent="0.3">
      <c r="A1905" s="2" t="s">
        <v>1788</v>
      </c>
      <c r="B1905" s="1" t="s">
        <v>2152</v>
      </c>
      <c r="C1905" s="6" t="s">
        <v>3943</v>
      </c>
      <c r="D1905" s="6" t="s">
        <v>6102</v>
      </c>
      <c r="E1905" s="20">
        <f t="shared" si="140"/>
        <v>0</v>
      </c>
      <c r="F1905" s="20"/>
      <c r="G1905" s="24" t="s">
        <v>8360</v>
      </c>
      <c r="H1905" s="20">
        <f t="shared" si="141"/>
        <v>0</v>
      </c>
      <c r="I1905" s="21">
        <f t="shared" si="139"/>
        <v>0</v>
      </c>
      <c r="J1905" s="21">
        <f t="shared" si="139"/>
        <v>0</v>
      </c>
    </row>
    <row r="1906" spans="1:10" x14ac:dyDescent="0.3">
      <c r="A1906" s="2" t="s">
        <v>1789</v>
      </c>
      <c r="B1906" s="1" t="s">
        <v>2152</v>
      </c>
      <c r="C1906" s="6" t="s">
        <v>3944</v>
      </c>
      <c r="D1906" s="6" t="s">
        <v>6103</v>
      </c>
      <c r="E1906" s="20">
        <f t="shared" si="140"/>
        <v>0</v>
      </c>
      <c r="F1906" s="20"/>
      <c r="G1906" s="24" t="s">
        <v>8361</v>
      </c>
      <c r="H1906" s="20">
        <f t="shared" si="141"/>
        <v>0</v>
      </c>
      <c r="I1906" s="21">
        <f t="shared" si="139"/>
        <v>0</v>
      </c>
      <c r="J1906" s="21">
        <f t="shared" si="139"/>
        <v>0</v>
      </c>
    </row>
    <row r="1907" spans="1:10" x14ac:dyDescent="0.3">
      <c r="A1907" s="2" t="s">
        <v>1790</v>
      </c>
      <c r="B1907" s="1" t="s">
        <v>2152</v>
      </c>
      <c r="C1907" s="6" t="s">
        <v>3945</v>
      </c>
      <c r="D1907" s="6" t="s">
        <v>6104</v>
      </c>
      <c r="E1907" s="20">
        <f t="shared" si="140"/>
        <v>0</v>
      </c>
      <c r="F1907" s="20"/>
      <c r="G1907" s="24" t="s">
        <v>8362</v>
      </c>
      <c r="H1907" s="20">
        <f t="shared" si="141"/>
        <v>0</v>
      </c>
      <c r="I1907" s="21">
        <f t="shared" si="139"/>
        <v>0</v>
      </c>
      <c r="J1907" s="21">
        <f t="shared" si="139"/>
        <v>0</v>
      </c>
    </row>
    <row r="1908" spans="1:10" x14ac:dyDescent="0.3">
      <c r="A1908" s="2" t="s">
        <v>1791</v>
      </c>
      <c r="B1908" s="1" t="s">
        <v>2152</v>
      </c>
      <c r="C1908" s="6" t="s">
        <v>3946</v>
      </c>
      <c r="D1908" s="6" t="s">
        <v>6105</v>
      </c>
      <c r="E1908" s="20">
        <f t="shared" si="140"/>
        <v>0</v>
      </c>
      <c r="F1908" s="20"/>
      <c r="G1908" s="24" t="s">
        <v>8363</v>
      </c>
      <c r="H1908" s="20">
        <f t="shared" si="141"/>
        <v>0</v>
      </c>
      <c r="I1908" s="21">
        <f t="shared" si="139"/>
        <v>0</v>
      </c>
      <c r="J1908" s="21">
        <f t="shared" si="139"/>
        <v>0</v>
      </c>
    </row>
    <row r="1909" spans="1:10" x14ac:dyDescent="0.3">
      <c r="A1909" s="2" t="s">
        <v>1792</v>
      </c>
      <c r="B1909" s="1" t="s">
        <v>2152</v>
      </c>
      <c r="C1909" s="6" t="s">
        <v>3947</v>
      </c>
      <c r="D1909" s="6" t="s">
        <v>6106</v>
      </c>
      <c r="E1909" s="20">
        <f t="shared" si="140"/>
        <v>0</v>
      </c>
      <c r="F1909" s="20"/>
      <c r="G1909" s="24" t="s">
        <v>8364</v>
      </c>
      <c r="H1909" s="20">
        <f t="shared" si="141"/>
        <v>0</v>
      </c>
      <c r="I1909" s="21">
        <f t="shared" si="139"/>
        <v>0</v>
      </c>
      <c r="J1909" s="21">
        <f t="shared" si="139"/>
        <v>0</v>
      </c>
    </row>
    <row r="1910" spans="1:10" x14ac:dyDescent="0.3">
      <c r="A1910" s="2" t="s">
        <v>1793</v>
      </c>
      <c r="B1910" s="1" t="s">
        <v>2152</v>
      </c>
      <c r="C1910" s="6" t="s">
        <v>3948</v>
      </c>
      <c r="D1910" s="6" t="s">
        <v>6107</v>
      </c>
      <c r="E1910" s="20">
        <f>H1910*1.8*1.4</f>
        <v>0</v>
      </c>
      <c r="F1910" s="20"/>
      <c r="G1910" s="24" t="s">
        <v>8365</v>
      </c>
      <c r="H1910" s="20">
        <f t="shared" si="141"/>
        <v>0</v>
      </c>
      <c r="I1910" s="21">
        <f t="shared" si="139"/>
        <v>0</v>
      </c>
      <c r="J1910" s="21">
        <f t="shared" si="139"/>
        <v>0</v>
      </c>
    </row>
    <row r="1911" spans="1:10" x14ac:dyDescent="0.3">
      <c r="A1911" s="2" t="s">
        <v>1794</v>
      </c>
      <c r="B1911" s="1" t="s">
        <v>2152</v>
      </c>
      <c r="C1911" s="6" t="s">
        <v>3949</v>
      </c>
      <c r="D1911" s="6" t="s">
        <v>6108</v>
      </c>
      <c r="E1911" s="20">
        <f t="shared" si="140"/>
        <v>0</v>
      </c>
      <c r="F1911" s="20"/>
      <c r="G1911" s="24" t="s">
        <v>8366</v>
      </c>
      <c r="H1911" s="20">
        <f t="shared" si="141"/>
        <v>0</v>
      </c>
      <c r="I1911" s="21">
        <f t="shared" si="139"/>
        <v>0</v>
      </c>
      <c r="J1911" s="21">
        <f t="shared" si="139"/>
        <v>0</v>
      </c>
    </row>
    <row r="1912" spans="1:10" x14ac:dyDescent="0.3">
      <c r="A1912" s="2" t="s">
        <v>1795</v>
      </c>
      <c r="B1912" s="1" t="s">
        <v>2152</v>
      </c>
      <c r="C1912" s="6" t="s">
        <v>3950</v>
      </c>
      <c r="D1912" s="6" t="s">
        <v>6109</v>
      </c>
      <c r="E1912" s="20">
        <f t="shared" si="140"/>
        <v>0</v>
      </c>
      <c r="F1912" s="20"/>
      <c r="G1912" s="24" t="s">
        <v>8367</v>
      </c>
      <c r="H1912" s="20">
        <f t="shared" si="141"/>
        <v>0</v>
      </c>
      <c r="I1912" s="21">
        <f t="shared" si="139"/>
        <v>0</v>
      </c>
      <c r="J1912" s="21">
        <f t="shared" si="139"/>
        <v>0</v>
      </c>
    </row>
    <row r="1913" spans="1:10" x14ac:dyDescent="0.3">
      <c r="A1913" s="2" t="s">
        <v>1796</v>
      </c>
      <c r="B1913" s="1" t="s">
        <v>2152</v>
      </c>
      <c r="C1913" s="6" t="s">
        <v>3951</v>
      </c>
      <c r="D1913" s="6" t="s">
        <v>6110</v>
      </c>
      <c r="E1913" s="20">
        <f t="shared" si="140"/>
        <v>0</v>
      </c>
      <c r="F1913" s="20"/>
      <c r="G1913" s="24" t="s">
        <v>8368</v>
      </c>
      <c r="H1913" s="20">
        <f t="shared" si="141"/>
        <v>0</v>
      </c>
      <c r="I1913" s="21">
        <f>W1913</f>
        <v>0</v>
      </c>
      <c r="J1913" s="21">
        <f t="shared" si="139"/>
        <v>0</v>
      </c>
    </row>
    <row r="1914" spans="1:10" x14ac:dyDescent="0.3">
      <c r="A1914" s="2" t="s">
        <v>1797</v>
      </c>
      <c r="B1914" s="1" t="s">
        <v>2152</v>
      </c>
      <c r="C1914" s="6" t="s">
        <v>3952</v>
      </c>
      <c r="D1914" s="6" t="s">
        <v>6111</v>
      </c>
      <c r="E1914" s="20">
        <f t="shared" si="140"/>
        <v>0</v>
      </c>
      <c r="F1914" s="20"/>
      <c r="G1914" s="24" t="s">
        <v>8369</v>
      </c>
      <c r="H1914" s="20">
        <f t="shared" si="141"/>
        <v>0</v>
      </c>
      <c r="I1914" s="21">
        <f t="shared" si="139"/>
        <v>0</v>
      </c>
      <c r="J1914" s="21">
        <f t="shared" si="139"/>
        <v>0</v>
      </c>
    </row>
    <row r="1915" spans="1:10" x14ac:dyDescent="0.3">
      <c r="A1915" s="2" t="s">
        <v>1798</v>
      </c>
      <c r="B1915" s="1" t="s">
        <v>2152</v>
      </c>
      <c r="C1915" s="6" t="s">
        <v>3953</v>
      </c>
      <c r="D1915" s="6" t="s">
        <v>6112</v>
      </c>
      <c r="E1915" s="20">
        <f t="shared" si="140"/>
        <v>0</v>
      </c>
      <c r="F1915" s="20">
        <f>18.01*42.3</f>
        <v>761.82299999999998</v>
      </c>
      <c r="G1915" s="24" t="s">
        <v>8370</v>
      </c>
      <c r="H1915" s="20">
        <f t="shared" si="141"/>
        <v>0</v>
      </c>
      <c r="I1915" s="21">
        <f t="shared" ref="I1915:J1932" si="144">W1915</f>
        <v>0</v>
      </c>
      <c r="J1915" s="21">
        <f t="shared" si="144"/>
        <v>0</v>
      </c>
    </row>
    <row r="1916" spans="1:10" x14ac:dyDescent="0.3">
      <c r="A1916" s="2" t="s">
        <v>1799</v>
      </c>
      <c r="B1916" s="1" t="s">
        <v>2152</v>
      </c>
      <c r="C1916" s="6" t="s">
        <v>3954</v>
      </c>
      <c r="D1916" s="6" t="s">
        <v>6113</v>
      </c>
      <c r="E1916" s="20">
        <f t="shared" si="140"/>
        <v>0</v>
      </c>
      <c r="F1916" s="20">
        <f>5.33*42.3</f>
        <v>225.45899999999997</v>
      </c>
      <c r="G1916" s="24" t="s">
        <v>8371</v>
      </c>
      <c r="H1916" s="20">
        <f t="shared" si="141"/>
        <v>0</v>
      </c>
      <c r="I1916" s="21">
        <f t="shared" si="144"/>
        <v>0</v>
      </c>
      <c r="J1916" s="21">
        <f t="shared" si="144"/>
        <v>0</v>
      </c>
    </row>
    <row r="1917" spans="1:10" x14ac:dyDescent="0.3">
      <c r="A1917" s="2" t="s">
        <v>1800</v>
      </c>
      <c r="B1917" s="1" t="s">
        <v>2152</v>
      </c>
      <c r="C1917" s="6" t="s">
        <v>3955</v>
      </c>
      <c r="D1917" s="6" t="s">
        <v>6114</v>
      </c>
      <c r="E1917" s="20">
        <f t="shared" si="140"/>
        <v>0</v>
      </c>
      <c r="F1917" s="20">
        <f>7.09*42.3</f>
        <v>299.90699999999998</v>
      </c>
      <c r="G1917" s="24" t="s">
        <v>8372</v>
      </c>
      <c r="H1917" s="20">
        <f t="shared" si="141"/>
        <v>0</v>
      </c>
      <c r="I1917" s="21">
        <f t="shared" si="144"/>
        <v>0</v>
      </c>
      <c r="J1917" s="21">
        <f t="shared" si="144"/>
        <v>0</v>
      </c>
    </row>
    <row r="1918" spans="1:10" x14ac:dyDescent="0.3">
      <c r="A1918" s="2" t="s">
        <v>1801</v>
      </c>
      <c r="B1918" s="1" t="s">
        <v>2152</v>
      </c>
      <c r="C1918" s="6" t="s">
        <v>3956</v>
      </c>
      <c r="D1918" s="6" t="s">
        <v>6115</v>
      </c>
      <c r="E1918" s="20">
        <f t="shared" si="140"/>
        <v>0</v>
      </c>
      <c r="F1918" s="20">
        <f>8.12*42.3</f>
        <v>343.47599999999994</v>
      </c>
      <c r="G1918" s="24" t="s">
        <v>8373</v>
      </c>
      <c r="H1918" s="20">
        <f t="shared" si="141"/>
        <v>0</v>
      </c>
      <c r="I1918" s="21">
        <f t="shared" si="144"/>
        <v>0</v>
      </c>
      <c r="J1918" s="21">
        <f t="shared" si="144"/>
        <v>0</v>
      </c>
    </row>
    <row r="1919" spans="1:10" x14ac:dyDescent="0.3">
      <c r="A1919" s="2" t="s">
        <v>1802</v>
      </c>
      <c r="B1919" s="1" t="s">
        <v>2152</v>
      </c>
      <c r="C1919" s="6" t="s">
        <v>3957</v>
      </c>
      <c r="D1919" s="6" t="s">
        <v>6116</v>
      </c>
      <c r="E1919" s="20">
        <f t="shared" si="140"/>
        <v>0</v>
      </c>
      <c r="F1919" s="20">
        <f>4.29*42.3</f>
        <v>181.46699999999998</v>
      </c>
      <c r="G1919" s="24" t="s">
        <v>8374</v>
      </c>
      <c r="H1919" s="20">
        <f t="shared" si="141"/>
        <v>0</v>
      </c>
      <c r="I1919" s="21">
        <f t="shared" si="144"/>
        <v>0</v>
      </c>
      <c r="J1919" s="21">
        <f t="shared" si="144"/>
        <v>0</v>
      </c>
    </row>
    <row r="1920" spans="1:10" x14ac:dyDescent="0.3">
      <c r="A1920" s="2" t="s">
        <v>1803</v>
      </c>
      <c r="B1920" s="1" t="s">
        <v>2152</v>
      </c>
      <c r="C1920" s="6" t="s">
        <v>3958</v>
      </c>
      <c r="D1920" s="6" t="s">
        <v>6117</v>
      </c>
      <c r="E1920" s="20">
        <f t="shared" si="140"/>
        <v>0</v>
      </c>
      <c r="F1920" s="20">
        <f>4.63*42.3</f>
        <v>195.84899999999999</v>
      </c>
      <c r="G1920" s="24" t="s">
        <v>8375</v>
      </c>
      <c r="H1920" s="20">
        <f t="shared" si="141"/>
        <v>0</v>
      </c>
      <c r="I1920" s="21">
        <f t="shared" si="144"/>
        <v>0</v>
      </c>
      <c r="J1920" s="21">
        <f t="shared" si="144"/>
        <v>0</v>
      </c>
    </row>
    <row r="1921" spans="1:10" x14ac:dyDescent="0.3">
      <c r="A1921" s="2" t="s">
        <v>1804</v>
      </c>
      <c r="B1921" s="1" t="s">
        <v>2152</v>
      </c>
      <c r="C1921" s="6" t="s">
        <v>3959</v>
      </c>
      <c r="D1921" s="6" t="s">
        <v>6118</v>
      </c>
      <c r="E1921" s="20">
        <f t="shared" si="140"/>
        <v>0</v>
      </c>
      <c r="F1921" s="20">
        <f>6.64*42.3</f>
        <v>280.87199999999996</v>
      </c>
      <c r="G1921" s="24" t="s">
        <v>8376</v>
      </c>
      <c r="H1921" s="20">
        <f t="shared" si="141"/>
        <v>0</v>
      </c>
      <c r="I1921" s="21">
        <f t="shared" si="144"/>
        <v>0</v>
      </c>
      <c r="J1921" s="21">
        <f t="shared" si="144"/>
        <v>0</v>
      </c>
    </row>
    <row r="1922" spans="1:10" x14ac:dyDescent="0.3">
      <c r="A1922" s="2" t="s">
        <v>1805</v>
      </c>
      <c r="B1922" s="1" t="s">
        <v>2152</v>
      </c>
      <c r="C1922" s="6" t="s">
        <v>3960</v>
      </c>
      <c r="D1922" s="6" t="s">
        <v>6119</v>
      </c>
      <c r="E1922" s="20">
        <f t="shared" si="140"/>
        <v>0</v>
      </c>
      <c r="F1922" s="20">
        <f>10.97*42.3</f>
        <v>464.03100000000001</v>
      </c>
      <c r="G1922" s="24" t="s">
        <v>8377</v>
      </c>
      <c r="H1922" s="20">
        <f t="shared" si="141"/>
        <v>0</v>
      </c>
      <c r="I1922" s="21">
        <f t="shared" si="144"/>
        <v>0</v>
      </c>
      <c r="J1922" s="21">
        <f t="shared" si="144"/>
        <v>0</v>
      </c>
    </row>
    <row r="1923" spans="1:10" x14ac:dyDescent="0.3">
      <c r="A1923" s="2" t="s">
        <v>1806</v>
      </c>
      <c r="B1923" s="1" t="s">
        <v>2152</v>
      </c>
      <c r="C1923" s="6" t="s">
        <v>3961</v>
      </c>
      <c r="D1923" s="6" t="s">
        <v>6120</v>
      </c>
      <c r="E1923" s="20">
        <f t="shared" si="140"/>
        <v>0</v>
      </c>
      <c r="F1923" s="20">
        <f>22.64*42.3</f>
        <v>957.67199999999991</v>
      </c>
      <c r="G1923" s="24" t="s">
        <v>8378</v>
      </c>
      <c r="H1923" s="20">
        <f t="shared" si="141"/>
        <v>0</v>
      </c>
      <c r="I1923" s="21">
        <f t="shared" si="144"/>
        <v>0</v>
      </c>
      <c r="J1923" s="21">
        <f t="shared" si="144"/>
        <v>0</v>
      </c>
    </row>
    <row r="1924" spans="1:10" x14ac:dyDescent="0.3">
      <c r="A1924" s="2" t="s">
        <v>1807</v>
      </c>
      <c r="B1924" s="1" t="s">
        <v>2152</v>
      </c>
      <c r="C1924" s="6" t="s">
        <v>3962</v>
      </c>
      <c r="D1924" s="6" t="s">
        <v>6121</v>
      </c>
      <c r="E1924" s="20">
        <f t="shared" si="140"/>
        <v>0</v>
      </c>
      <c r="F1924" s="20">
        <f>1.92*42.3</f>
        <v>81.215999999999994</v>
      </c>
      <c r="G1924" s="24" t="s">
        <v>8379</v>
      </c>
      <c r="H1924" s="20">
        <f t="shared" si="141"/>
        <v>0</v>
      </c>
      <c r="I1924" s="21">
        <f t="shared" si="144"/>
        <v>0</v>
      </c>
      <c r="J1924" s="21">
        <f t="shared" si="144"/>
        <v>0</v>
      </c>
    </row>
    <row r="1925" spans="1:10" x14ac:dyDescent="0.3">
      <c r="A1925" s="2" t="s">
        <v>1808</v>
      </c>
      <c r="B1925" s="1" t="s">
        <v>2152</v>
      </c>
      <c r="C1925" s="6" t="s">
        <v>3963</v>
      </c>
      <c r="D1925" s="6" t="s">
        <v>6122</v>
      </c>
      <c r="E1925" s="20">
        <f t="shared" si="140"/>
        <v>0</v>
      </c>
      <c r="F1925" s="20">
        <f>1.92*42.3</f>
        <v>81.215999999999994</v>
      </c>
      <c r="G1925" s="24" t="s">
        <v>8380</v>
      </c>
      <c r="H1925" s="20">
        <f t="shared" si="141"/>
        <v>0</v>
      </c>
      <c r="I1925" s="21">
        <f t="shared" si="144"/>
        <v>0</v>
      </c>
      <c r="J1925" s="21">
        <f t="shared" si="144"/>
        <v>0</v>
      </c>
    </row>
    <row r="1926" spans="1:10" x14ac:dyDescent="0.3">
      <c r="A1926" s="2" t="s">
        <v>1809</v>
      </c>
      <c r="B1926" s="1" t="s">
        <v>2152</v>
      </c>
      <c r="C1926" s="6" t="s">
        <v>3964</v>
      </c>
      <c r="D1926" s="6" t="s">
        <v>6123</v>
      </c>
      <c r="E1926" s="20">
        <f t="shared" si="140"/>
        <v>0</v>
      </c>
      <c r="F1926" s="20">
        <f>2.15*42.3</f>
        <v>90.944999999999993</v>
      </c>
      <c r="G1926" s="24" t="s">
        <v>8381</v>
      </c>
      <c r="H1926" s="20">
        <f t="shared" si="141"/>
        <v>0</v>
      </c>
      <c r="I1926" s="21">
        <f t="shared" si="144"/>
        <v>0</v>
      </c>
      <c r="J1926" s="21">
        <f t="shared" si="144"/>
        <v>0</v>
      </c>
    </row>
    <row r="1927" spans="1:10" x14ac:dyDescent="0.3">
      <c r="A1927" s="2" t="s">
        <v>1810</v>
      </c>
      <c r="B1927" s="1" t="s">
        <v>2152</v>
      </c>
      <c r="C1927" s="6" t="s">
        <v>3965</v>
      </c>
      <c r="D1927" s="6" t="s">
        <v>6124</v>
      </c>
      <c r="E1927" s="20">
        <f t="shared" si="140"/>
        <v>0</v>
      </c>
      <c r="F1927" s="20">
        <f>3.03*42.3</f>
        <v>128.16899999999998</v>
      </c>
      <c r="G1927" s="24" t="s">
        <v>8382</v>
      </c>
      <c r="H1927" s="20">
        <f t="shared" si="141"/>
        <v>0</v>
      </c>
      <c r="I1927" s="21">
        <f t="shared" si="144"/>
        <v>0</v>
      </c>
      <c r="J1927" s="21">
        <f t="shared" si="144"/>
        <v>0</v>
      </c>
    </row>
    <row r="1928" spans="1:10" x14ac:dyDescent="0.3">
      <c r="A1928" s="2" t="s">
        <v>1220</v>
      </c>
      <c r="B1928" s="1" t="s">
        <v>2152</v>
      </c>
      <c r="C1928" s="6" t="s">
        <v>3368</v>
      </c>
      <c r="D1928" s="6" t="s">
        <v>6125</v>
      </c>
      <c r="E1928" s="20">
        <f t="shared" si="140"/>
        <v>0</v>
      </c>
      <c r="F1928" s="20">
        <f>5.02*42.3</f>
        <v>212.34599999999998</v>
      </c>
      <c r="G1928" s="24" t="s">
        <v>8383</v>
      </c>
      <c r="H1928" s="20">
        <f t="shared" si="141"/>
        <v>0</v>
      </c>
      <c r="I1928" s="21">
        <f t="shared" si="144"/>
        <v>0</v>
      </c>
      <c r="J1928" s="21">
        <f t="shared" si="144"/>
        <v>0</v>
      </c>
    </row>
    <row r="1929" spans="1:10" x14ac:dyDescent="0.3">
      <c r="A1929" s="2" t="s">
        <v>1811</v>
      </c>
      <c r="B1929" s="1" t="s">
        <v>2152</v>
      </c>
      <c r="C1929" s="6" t="s">
        <v>3966</v>
      </c>
      <c r="D1929" s="6" t="s">
        <v>6126</v>
      </c>
      <c r="E1929" s="20">
        <f t="shared" ref="E1929:E1992" si="145">H1929*1.8*1.4</f>
        <v>0</v>
      </c>
      <c r="F1929" s="20">
        <f>7.3*42.3</f>
        <v>308.78999999999996</v>
      </c>
      <c r="G1929" s="24" t="s">
        <v>8384</v>
      </c>
      <c r="H1929" s="20">
        <f t="shared" ref="H1929:H1992" si="146">K1929*1.8*1.4</f>
        <v>0</v>
      </c>
      <c r="I1929" s="21">
        <f t="shared" si="144"/>
        <v>0</v>
      </c>
      <c r="J1929" s="21">
        <f t="shared" si="144"/>
        <v>0</v>
      </c>
    </row>
    <row r="1930" spans="1:10" x14ac:dyDescent="0.3">
      <c r="A1930" s="2" t="s">
        <v>1812</v>
      </c>
      <c r="B1930" s="1" t="s">
        <v>2152</v>
      </c>
      <c r="C1930" s="6" t="s">
        <v>3967</v>
      </c>
      <c r="D1930" s="6" t="s">
        <v>6127</v>
      </c>
      <c r="E1930" s="20">
        <f t="shared" si="145"/>
        <v>0</v>
      </c>
      <c r="F1930" s="20">
        <f>9.15*42.3</f>
        <v>387.04500000000002</v>
      </c>
      <c r="G1930" s="24" t="s">
        <v>8385</v>
      </c>
      <c r="H1930" s="20">
        <f t="shared" si="146"/>
        <v>0</v>
      </c>
      <c r="I1930" s="21">
        <f t="shared" si="144"/>
        <v>0</v>
      </c>
      <c r="J1930" s="21">
        <f t="shared" si="144"/>
        <v>0</v>
      </c>
    </row>
    <row r="1931" spans="1:10" x14ac:dyDescent="0.3">
      <c r="A1931" s="2" t="s">
        <v>1813</v>
      </c>
      <c r="B1931" s="1" t="s">
        <v>2152</v>
      </c>
      <c r="C1931" s="6" t="s">
        <v>3968</v>
      </c>
      <c r="D1931" s="6" t="s">
        <v>6128</v>
      </c>
      <c r="E1931" s="20">
        <f t="shared" si="145"/>
        <v>0</v>
      </c>
      <c r="F1931" s="20">
        <f>21.83*42.3</f>
        <v>923.40899999999988</v>
      </c>
      <c r="G1931" s="24" t="s">
        <v>8386</v>
      </c>
      <c r="H1931" s="20">
        <f t="shared" si="146"/>
        <v>0</v>
      </c>
      <c r="I1931" s="21">
        <f t="shared" si="144"/>
        <v>0</v>
      </c>
      <c r="J1931" s="21">
        <f t="shared" si="144"/>
        <v>0</v>
      </c>
    </row>
    <row r="1932" spans="1:10" x14ac:dyDescent="0.3">
      <c r="A1932" s="2" t="s">
        <v>1814</v>
      </c>
      <c r="B1932" s="1" t="s">
        <v>2152</v>
      </c>
      <c r="C1932" s="6" t="s">
        <v>3969</v>
      </c>
      <c r="D1932" s="6" t="s">
        <v>6129</v>
      </c>
      <c r="E1932" s="20">
        <f t="shared" si="145"/>
        <v>0</v>
      </c>
      <c r="F1932" s="20">
        <f>11.7*42.3</f>
        <v>494.90999999999991</v>
      </c>
      <c r="G1932" s="24" t="s">
        <v>8387</v>
      </c>
      <c r="H1932" s="20">
        <f t="shared" si="146"/>
        <v>0</v>
      </c>
      <c r="I1932" s="21">
        <f t="shared" si="144"/>
        <v>0</v>
      </c>
      <c r="J1932" s="21">
        <f t="shared" si="144"/>
        <v>0</v>
      </c>
    </row>
    <row r="1933" spans="1:10" x14ac:dyDescent="0.3">
      <c r="A1933" s="2" t="s">
        <v>1815</v>
      </c>
      <c r="B1933" s="1" t="s">
        <v>2152</v>
      </c>
      <c r="C1933" s="6" t="s">
        <v>3970</v>
      </c>
      <c r="D1933" s="6" t="s">
        <v>6130</v>
      </c>
      <c r="E1933" s="20">
        <f t="shared" si="145"/>
        <v>0</v>
      </c>
      <c r="F1933" s="20">
        <f>11.94*42.3</f>
        <v>505.06199999999995</v>
      </c>
      <c r="G1933" s="24" t="s">
        <v>8388</v>
      </c>
      <c r="H1933" s="20">
        <f t="shared" si="146"/>
        <v>0</v>
      </c>
      <c r="I1933" s="21">
        <f>W1933</f>
        <v>0</v>
      </c>
      <c r="J1933" s="21">
        <f>X1933</f>
        <v>0</v>
      </c>
    </row>
    <row r="1934" spans="1:10" x14ac:dyDescent="0.3">
      <c r="A1934" s="2" t="s">
        <v>719</v>
      </c>
      <c r="B1934" s="1" t="s">
        <v>2152</v>
      </c>
      <c r="C1934" s="6" t="s">
        <v>3971</v>
      </c>
      <c r="D1934" s="6" t="s">
        <v>6131</v>
      </c>
      <c r="E1934" s="20">
        <f t="shared" si="145"/>
        <v>0</v>
      </c>
      <c r="F1934" s="20">
        <v>110</v>
      </c>
      <c r="G1934" s="24" t="s">
        <v>8389</v>
      </c>
      <c r="H1934" s="20">
        <f t="shared" si="146"/>
        <v>0</v>
      </c>
      <c r="I1934" s="21">
        <v>15</v>
      </c>
      <c r="J1934" s="21">
        <f t="shared" ref="J1934:J1997" si="147">X1934</f>
        <v>0</v>
      </c>
    </row>
    <row r="1935" spans="1:10" x14ac:dyDescent="0.3">
      <c r="A1935" s="2" t="s">
        <v>1816</v>
      </c>
      <c r="B1935" s="1" t="s">
        <v>2152</v>
      </c>
      <c r="C1935" s="6" t="s">
        <v>3972</v>
      </c>
      <c r="D1935" s="6" t="s">
        <v>6132</v>
      </c>
      <c r="E1935" s="20"/>
      <c r="F1935" s="20"/>
      <c r="G1935" s="24" t="s">
        <v>8390</v>
      </c>
      <c r="H1935" s="20"/>
    </row>
    <row r="1936" spans="1:10" ht="27.6" x14ac:dyDescent="0.3">
      <c r="A1936" s="2" t="s">
        <v>1817</v>
      </c>
      <c r="B1936" s="1" t="s">
        <v>2152</v>
      </c>
      <c r="C1936" s="6" t="s">
        <v>3973</v>
      </c>
      <c r="D1936" s="6" t="s">
        <v>6133</v>
      </c>
      <c r="E1936" s="20">
        <f>H1936*1.8*1.4</f>
        <v>0</v>
      </c>
      <c r="F1936" s="20">
        <v>250</v>
      </c>
      <c r="G1936" s="24" t="s">
        <v>8391</v>
      </c>
      <c r="H1936" s="20">
        <f>K1936*1.8*1.4</f>
        <v>0</v>
      </c>
      <c r="I1936" s="21">
        <f t="shared" ref="I1936:I1997" si="148">W1936</f>
        <v>0</v>
      </c>
      <c r="J1936" s="21">
        <f t="shared" si="147"/>
        <v>0</v>
      </c>
    </row>
    <row r="1937" spans="1:10" x14ac:dyDescent="0.3">
      <c r="A1937" s="2" t="s">
        <v>1818</v>
      </c>
      <c r="B1937" s="1" t="s">
        <v>2152</v>
      </c>
      <c r="C1937" s="6" t="s">
        <v>3974</v>
      </c>
      <c r="D1937" s="6" t="s">
        <v>6134</v>
      </c>
      <c r="E1937" s="20">
        <f t="shared" si="145"/>
        <v>0</v>
      </c>
      <c r="F1937" s="20">
        <v>250</v>
      </c>
      <c r="G1937" s="24" t="s">
        <v>8392</v>
      </c>
      <c r="H1937" s="20">
        <f t="shared" si="146"/>
        <v>0</v>
      </c>
      <c r="I1937" s="21">
        <f t="shared" si="148"/>
        <v>0</v>
      </c>
      <c r="J1937" s="21">
        <f t="shared" si="147"/>
        <v>0</v>
      </c>
    </row>
    <row r="1938" spans="1:10" x14ac:dyDescent="0.3">
      <c r="A1938" s="2" t="s">
        <v>1819</v>
      </c>
      <c r="B1938" s="1" t="s">
        <v>2152</v>
      </c>
      <c r="C1938" s="6" t="s">
        <v>3975</v>
      </c>
      <c r="D1938" s="6" t="s">
        <v>6135</v>
      </c>
      <c r="E1938" s="20">
        <f t="shared" si="145"/>
        <v>0</v>
      </c>
      <c r="F1938" s="20">
        <v>500</v>
      </c>
      <c r="G1938" s="24" t="s">
        <v>8393</v>
      </c>
      <c r="H1938" s="20">
        <f t="shared" si="146"/>
        <v>0</v>
      </c>
      <c r="I1938" s="21">
        <f t="shared" si="148"/>
        <v>0</v>
      </c>
      <c r="J1938" s="21">
        <f t="shared" si="147"/>
        <v>0</v>
      </c>
    </row>
    <row r="1939" spans="1:10" x14ac:dyDescent="0.3">
      <c r="A1939" s="2" t="s">
        <v>1820</v>
      </c>
      <c r="B1939" s="1" t="s">
        <v>2152</v>
      </c>
      <c r="C1939" s="6" t="s">
        <v>3976</v>
      </c>
      <c r="D1939" s="6" t="s">
        <v>6136</v>
      </c>
      <c r="E1939" s="20">
        <f t="shared" si="145"/>
        <v>0</v>
      </c>
      <c r="F1939" s="20"/>
      <c r="G1939" s="24" t="s">
        <v>8394</v>
      </c>
      <c r="H1939" s="20">
        <f t="shared" si="146"/>
        <v>0</v>
      </c>
      <c r="I1939" s="21">
        <f t="shared" si="148"/>
        <v>0</v>
      </c>
      <c r="J1939" s="21">
        <f t="shared" si="147"/>
        <v>0</v>
      </c>
    </row>
    <row r="1940" spans="1:10" x14ac:dyDescent="0.3">
      <c r="A1940" s="2" t="s">
        <v>1821</v>
      </c>
      <c r="B1940" s="1" t="s">
        <v>2152</v>
      </c>
      <c r="C1940" s="6" t="s">
        <v>3977</v>
      </c>
      <c r="D1940" s="6" t="s">
        <v>6137</v>
      </c>
      <c r="E1940" s="20">
        <f t="shared" si="145"/>
        <v>0</v>
      </c>
      <c r="F1940" s="20"/>
      <c r="G1940" s="24" t="s">
        <v>8395</v>
      </c>
      <c r="H1940" s="20">
        <f t="shared" si="146"/>
        <v>0</v>
      </c>
      <c r="I1940" s="21">
        <f t="shared" si="148"/>
        <v>0</v>
      </c>
      <c r="J1940" s="21">
        <f t="shared" si="147"/>
        <v>0</v>
      </c>
    </row>
    <row r="1941" spans="1:10" x14ac:dyDescent="0.3">
      <c r="A1941" s="2" t="s">
        <v>709</v>
      </c>
      <c r="B1941" s="1" t="s">
        <v>2152</v>
      </c>
      <c r="C1941" s="6" t="s">
        <v>3978</v>
      </c>
      <c r="D1941" s="6" t="s">
        <v>6138</v>
      </c>
      <c r="E1941" s="20">
        <f t="shared" si="145"/>
        <v>0</v>
      </c>
      <c r="F1941" s="20">
        <v>88</v>
      </c>
      <c r="G1941" s="24" t="s">
        <v>8396</v>
      </c>
      <c r="H1941" s="20">
        <f t="shared" si="146"/>
        <v>0</v>
      </c>
      <c r="I1941" s="21">
        <f t="shared" si="148"/>
        <v>0</v>
      </c>
      <c r="J1941" s="21">
        <f t="shared" si="147"/>
        <v>0</v>
      </c>
    </row>
    <row r="1942" spans="1:10" x14ac:dyDescent="0.3">
      <c r="A1942" s="2" t="s">
        <v>1822</v>
      </c>
      <c r="B1942" s="1" t="s">
        <v>2152</v>
      </c>
      <c r="C1942" s="6" t="s">
        <v>3979</v>
      </c>
      <c r="D1942" s="6" t="s">
        <v>6139</v>
      </c>
      <c r="E1942" s="20">
        <f t="shared" si="145"/>
        <v>0</v>
      </c>
      <c r="F1942" s="20">
        <v>137</v>
      </c>
      <c r="G1942" s="24" t="s">
        <v>8397</v>
      </c>
      <c r="H1942" s="20">
        <f t="shared" si="146"/>
        <v>0</v>
      </c>
      <c r="I1942" s="21">
        <f t="shared" si="148"/>
        <v>0</v>
      </c>
      <c r="J1942" s="21">
        <f t="shared" si="147"/>
        <v>0</v>
      </c>
    </row>
    <row r="1943" spans="1:10" x14ac:dyDescent="0.3">
      <c r="A1943" s="2" t="s">
        <v>1823</v>
      </c>
      <c r="B1943" s="1" t="s">
        <v>2152</v>
      </c>
      <c r="C1943" s="6" t="s">
        <v>3980</v>
      </c>
      <c r="D1943" s="6" t="s">
        <v>6140</v>
      </c>
      <c r="E1943" s="20">
        <f t="shared" si="145"/>
        <v>0</v>
      </c>
      <c r="F1943" s="20">
        <v>300</v>
      </c>
      <c r="G1943" s="24" t="s">
        <v>8398</v>
      </c>
      <c r="H1943" s="20">
        <f t="shared" si="146"/>
        <v>0</v>
      </c>
      <c r="I1943" s="21">
        <f t="shared" si="148"/>
        <v>0</v>
      </c>
      <c r="J1943" s="21">
        <f t="shared" si="147"/>
        <v>0</v>
      </c>
    </row>
    <row r="1944" spans="1:10" x14ac:dyDescent="0.3">
      <c r="A1944" s="2" t="s">
        <v>1824</v>
      </c>
      <c r="B1944" s="1" t="s">
        <v>2152</v>
      </c>
      <c r="C1944" s="6" t="s">
        <v>3981</v>
      </c>
      <c r="D1944" s="6" t="s">
        <v>6141</v>
      </c>
      <c r="E1944" s="20">
        <f t="shared" si="145"/>
        <v>0</v>
      </c>
      <c r="F1944" s="20">
        <v>200</v>
      </c>
      <c r="G1944" s="24" t="s">
        <v>8399</v>
      </c>
      <c r="H1944" s="20">
        <f t="shared" si="146"/>
        <v>0</v>
      </c>
      <c r="I1944" s="21">
        <f t="shared" si="148"/>
        <v>0</v>
      </c>
      <c r="J1944" s="21">
        <f t="shared" si="147"/>
        <v>0</v>
      </c>
    </row>
    <row r="1945" spans="1:10" x14ac:dyDescent="0.3">
      <c r="A1945" s="2" t="s">
        <v>1825</v>
      </c>
      <c r="B1945" s="1" t="s">
        <v>2152</v>
      </c>
      <c r="C1945" s="6" t="s">
        <v>3982</v>
      </c>
      <c r="D1945" s="6" t="s">
        <v>6142</v>
      </c>
      <c r="E1945" s="20">
        <f t="shared" si="145"/>
        <v>0</v>
      </c>
      <c r="F1945" s="20">
        <v>650</v>
      </c>
      <c r="G1945" s="24" t="s">
        <v>8400</v>
      </c>
      <c r="H1945" s="20">
        <f t="shared" si="146"/>
        <v>0</v>
      </c>
      <c r="I1945" s="21">
        <f t="shared" si="148"/>
        <v>0</v>
      </c>
      <c r="J1945" s="21">
        <f t="shared" si="147"/>
        <v>0</v>
      </c>
    </row>
    <row r="1946" spans="1:10" x14ac:dyDescent="0.3">
      <c r="A1946" s="2" t="s">
        <v>1826</v>
      </c>
      <c r="B1946" s="1" t="s">
        <v>2152</v>
      </c>
      <c r="C1946" s="6" t="s">
        <v>3983</v>
      </c>
      <c r="D1946" s="6" t="s">
        <v>6143</v>
      </c>
      <c r="E1946" s="20">
        <f t="shared" si="145"/>
        <v>0</v>
      </c>
      <c r="F1946" s="20">
        <v>950</v>
      </c>
      <c r="G1946" s="24" t="s">
        <v>8401</v>
      </c>
      <c r="H1946" s="20">
        <f t="shared" si="146"/>
        <v>0</v>
      </c>
      <c r="I1946" s="21">
        <f t="shared" si="148"/>
        <v>0</v>
      </c>
      <c r="J1946" s="21">
        <f t="shared" si="147"/>
        <v>0</v>
      </c>
    </row>
    <row r="1947" spans="1:10" x14ac:dyDescent="0.3">
      <c r="A1947" s="2" t="s">
        <v>1827</v>
      </c>
      <c r="B1947" s="1" t="s">
        <v>2152</v>
      </c>
      <c r="C1947" s="6" t="s">
        <v>3984</v>
      </c>
      <c r="D1947" s="6" t="s">
        <v>6144</v>
      </c>
      <c r="E1947" s="20">
        <f t="shared" si="145"/>
        <v>0</v>
      </c>
      <c r="F1947" s="20">
        <v>1750</v>
      </c>
      <c r="G1947" s="24" t="s">
        <v>8402</v>
      </c>
      <c r="H1947" s="20">
        <f t="shared" si="146"/>
        <v>0</v>
      </c>
      <c r="I1947" s="21">
        <f t="shared" si="148"/>
        <v>0</v>
      </c>
      <c r="J1947" s="21">
        <f t="shared" si="147"/>
        <v>0</v>
      </c>
    </row>
    <row r="1948" spans="1:10" x14ac:dyDescent="0.3">
      <c r="A1948" s="2" t="s">
        <v>1828</v>
      </c>
      <c r="B1948" s="1" t="s">
        <v>2152</v>
      </c>
      <c r="C1948" s="6" t="s">
        <v>3985</v>
      </c>
      <c r="D1948" s="6" t="s">
        <v>6145</v>
      </c>
      <c r="E1948" s="20">
        <f t="shared" si="145"/>
        <v>0</v>
      </c>
      <c r="F1948" s="20">
        <v>1450</v>
      </c>
      <c r="G1948" s="24" t="s">
        <v>8403</v>
      </c>
      <c r="H1948" s="20">
        <f t="shared" si="146"/>
        <v>0</v>
      </c>
      <c r="I1948" s="21">
        <f t="shared" si="148"/>
        <v>0</v>
      </c>
      <c r="J1948" s="21">
        <f t="shared" si="147"/>
        <v>0</v>
      </c>
    </row>
    <row r="1949" spans="1:10" x14ac:dyDescent="0.3">
      <c r="A1949" s="2" t="s">
        <v>1829</v>
      </c>
      <c r="B1949" s="1" t="s">
        <v>2152</v>
      </c>
      <c r="C1949" s="6" t="s">
        <v>3986</v>
      </c>
      <c r="D1949" s="6" t="s">
        <v>6146</v>
      </c>
      <c r="E1949" s="20">
        <f t="shared" si="145"/>
        <v>0</v>
      </c>
      <c r="F1949" s="20">
        <v>4150</v>
      </c>
      <c r="G1949" s="24" t="s">
        <v>8404</v>
      </c>
      <c r="H1949" s="20">
        <f t="shared" si="146"/>
        <v>0</v>
      </c>
      <c r="I1949" s="21">
        <f t="shared" si="148"/>
        <v>0</v>
      </c>
      <c r="J1949" s="21">
        <f t="shared" si="147"/>
        <v>0</v>
      </c>
    </row>
    <row r="1950" spans="1:10" x14ac:dyDescent="0.3">
      <c r="A1950" s="2" t="s">
        <v>1830</v>
      </c>
      <c r="B1950" s="1" t="s">
        <v>2152</v>
      </c>
      <c r="C1950" s="6" t="s">
        <v>3987</v>
      </c>
      <c r="D1950" s="6" t="s">
        <v>6147</v>
      </c>
      <c r="E1950" s="20">
        <f t="shared" si="145"/>
        <v>0</v>
      </c>
      <c r="F1950" s="20">
        <v>700</v>
      </c>
      <c r="G1950" s="24" t="s">
        <v>8405</v>
      </c>
      <c r="H1950" s="20">
        <f t="shared" si="146"/>
        <v>0</v>
      </c>
      <c r="I1950" s="21">
        <f t="shared" si="148"/>
        <v>0</v>
      </c>
      <c r="J1950" s="21">
        <f t="shared" si="147"/>
        <v>0</v>
      </c>
    </row>
    <row r="1951" spans="1:10" x14ac:dyDescent="0.3">
      <c r="A1951" s="2" t="s">
        <v>1831</v>
      </c>
      <c r="B1951" s="1" t="s">
        <v>2152</v>
      </c>
      <c r="C1951" s="6" t="s">
        <v>3988</v>
      </c>
      <c r="D1951" s="6" t="s">
        <v>6148</v>
      </c>
      <c r="E1951" s="20">
        <f t="shared" si="145"/>
        <v>0</v>
      </c>
      <c r="F1951" s="20">
        <v>850</v>
      </c>
      <c r="G1951" s="24" t="s">
        <v>8406</v>
      </c>
      <c r="H1951" s="20">
        <f t="shared" si="146"/>
        <v>0</v>
      </c>
      <c r="I1951" s="21">
        <f t="shared" si="148"/>
        <v>0</v>
      </c>
      <c r="J1951" s="21">
        <f t="shared" si="147"/>
        <v>0</v>
      </c>
    </row>
    <row r="1952" spans="1:10" x14ac:dyDescent="0.3">
      <c r="A1952" s="2" t="s">
        <v>1832</v>
      </c>
      <c r="B1952" s="1" t="s">
        <v>2152</v>
      </c>
      <c r="C1952" s="6" t="s">
        <v>3989</v>
      </c>
      <c r="D1952" s="6" t="s">
        <v>6149</v>
      </c>
      <c r="E1952" s="20">
        <f t="shared" si="145"/>
        <v>0</v>
      </c>
      <c r="F1952" s="20">
        <v>1700</v>
      </c>
      <c r="G1952" s="24" t="s">
        <v>8407</v>
      </c>
      <c r="H1952" s="20">
        <f t="shared" si="146"/>
        <v>0</v>
      </c>
      <c r="I1952" s="21">
        <f t="shared" si="148"/>
        <v>0</v>
      </c>
      <c r="J1952" s="21">
        <f t="shared" si="147"/>
        <v>0</v>
      </c>
    </row>
    <row r="1953" spans="1:10" x14ac:dyDescent="0.3">
      <c r="A1953" s="2" t="s">
        <v>1833</v>
      </c>
      <c r="B1953" s="1" t="s">
        <v>2152</v>
      </c>
      <c r="C1953" s="6" t="s">
        <v>3990</v>
      </c>
      <c r="D1953" s="6" t="s">
        <v>6150</v>
      </c>
      <c r="E1953" s="20">
        <f t="shared" si="145"/>
        <v>0</v>
      </c>
      <c r="F1953" s="20">
        <v>3500</v>
      </c>
      <c r="G1953" s="24" t="s">
        <v>8408</v>
      </c>
      <c r="H1953" s="20">
        <f t="shared" si="146"/>
        <v>0</v>
      </c>
      <c r="I1953" s="21">
        <f t="shared" si="148"/>
        <v>0</v>
      </c>
      <c r="J1953" s="21">
        <f t="shared" si="147"/>
        <v>0</v>
      </c>
    </row>
    <row r="1954" spans="1:10" x14ac:dyDescent="0.3">
      <c r="A1954" s="2" t="s">
        <v>1834</v>
      </c>
      <c r="B1954" s="1" t="s">
        <v>2152</v>
      </c>
      <c r="C1954" s="6" t="s">
        <v>3991</v>
      </c>
      <c r="D1954" s="18" t="s">
        <v>6151</v>
      </c>
      <c r="E1954" s="20"/>
      <c r="F1954" s="20"/>
      <c r="G1954" s="24" t="s">
        <v>8409</v>
      </c>
      <c r="H1954" s="20"/>
    </row>
    <row r="1955" spans="1:10" x14ac:dyDescent="0.3">
      <c r="A1955" s="2" t="s">
        <v>1835</v>
      </c>
      <c r="B1955" s="1" t="s">
        <v>2152</v>
      </c>
      <c r="C1955" s="6" t="s">
        <v>3992</v>
      </c>
      <c r="D1955" s="6" t="s">
        <v>6152</v>
      </c>
      <c r="E1955" s="20">
        <f t="shared" si="145"/>
        <v>0</v>
      </c>
      <c r="F1955" s="20">
        <v>100</v>
      </c>
      <c r="G1955" s="24" t="s">
        <v>8410</v>
      </c>
      <c r="H1955" s="20">
        <f t="shared" si="146"/>
        <v>0</v>
      </c>
      <c r="I1955" s="21">
        <f t="shared" si="148"/>
        <v>0</v>
      </c>
      <c r="J1955" s="21">
        <f t="shared" si="147"/>
        <v>0</v>
      </c>
    </row>
    <row r="1956" spans="1:10" x14ac:dyDescent="0.3">
      <c r="A1956" s="2" t="s">
        <v>1836</v>
      </c>
      <c r="B1956" s="1" t="s">
        <v>2152</v>
      </c>
      <c r="C1956" s="6" t="s">
        <v>3993</v>
      </c>
      <c r="D1956" s="6" t="s">
        <v>6153</v>
      </c>
      <c r="E1956" s="20">
        <f t="shared" si="145"/>
        <v>0</v>
      </c>
      <c r="F1956" s="20">
        <v>300</v>
      </c>
      <c r="G1956" s="24" t="s">
        <v>8411</v>
      </c>
      <c r="H1956" s="20">
        <f t="shared" si="146"/>
        <v>0</v>
      </c>
      <c r="I1956" s="21">
        <f t="shared" si="148"/>
        <v>0</v>
      </c>
      <c r="J1956" s="21">
        <f t="shared" si="147"/>
        <v>0</v>
      </c>
    </row>
    <row r="1957" spans="1:10" x14ac:dyDescent="0.3">
      <c r="A1957" s="2" t="s">
        <v>1837</v>
      </c>
      <c r="B1957" s="1" t="s">
        <v>2152</v>
      </c>
      <c r="C1957" s="6" t="s">
        <v>3994</v>
      </c>
      <c r="D1957" s="6" t="s">
        <v>6154</v>
      </c>
      <c r="E1957" s="20">
        <f t="shared" si="145"/>
        <v>0</v>
      </c>
      <c r="F1957" s="20"/>
      <c r="G1957" s="24" t="s">
        <v>8412</v>
      </c>
      <c r="H1957" s="20">
        <f t="shared" si="146"/>
        <v>0</v>
      </c>
      <c r="I1957" s="21">
        <f t="shared" si="148"/>
        <v>0</v>
      </c>
      <c r="J1957" s="21">
        <f t="shared" si="147"/>
        <v>0</v>
      </c>
    </row>
    <row r="1958" spans="1:10" x14ac:dyDescent="0.3">
      <c r="A1958" s="2" t="s">
        <v>1838</v>
      </c>
      <c r="B1958" s="1" t="s">
        <v>2152</v>
      </c>
      <c r="C1958" s="6" t="s">
        <v>3995</v>
      </c>
      <c r="D1958" s="6" t="s">
        <v>6155</v>
      </c>
      <c r="E1958" s="20">
        <f t="shared" si="145"/>
        <v>0</v>
      </c>
      <c r="F1958" s="20"/>
      <c r="G1958" s="24" t="s">
        <v>8413</v>
      </c>
      <c r="H1958" s="20">
        <f t="shared" si="146"/>
        <v>0</v>
      </c>
      <c r="I1958" s="21">
        <f t="shared" si="148"/>
        <v>0</v>
      </c>
      <c r="J1958" s="21">
        <f t="shared" si="147"/>
        <v>0</v>
      </c>
    </row>
    <row r="1959" spans="1:10" x14ac:dyDescent="0.3">
      <c r="A1959" s="2" t="s">
        <v>1839</v>
      </c>
      <c r="B1959" s="1" t="s">
        <v>2152</v>
      </c>
      <c r="C1959" s="6" t="s">
        <v>3996</v>
      </c>
      <c r="D1959" s="6" t="s">
        <v>6156</v>
      </c>
      <c r="E1959" s="20">
        <f t="shared" si="145"/>
        <v>0</v>
      </c>
      <c r="F1959" s="20"/>
      <c r="G1959" s="24" t="s">
        <v>8414</v>
      </c>
      <c r="H1959" s="20">
        <f t="shared" si="146"/>
        <v>0</v>
      </c>
      <c r="I1959" s="21">
        <f t="shared" si="148"/>
        <v>0</v>
      </c>
      <c r="J1959" s="21">
        <f t="shared" si="147"/>
        <v>0</v>
      </c>
    </row>
    <row r="1960" spans="1:10" x14ac:dyDescent="0.3">
      <c r="A1960" s="2" t="s">
        <v>1840</v>
      </c>
      <c r="B1960" s="1" t="s">
        <v>2152</v>
      </c>
      <c r="C1960" s="6" t="s">
        <v>3997</v>
      </c>
      <c r="D1960" s="6" t="s">
        <v>6157</v>
      </c>
      <c r="E1960" s="20">
        <f t="shared" si="145"/>
        <v>0</v>
      </c>
      <c r="F1960" s="20"/>
      <c r="G1960" s="24" t="s">
        <v>8415</v>
      </c>
      <c r="H1960" s="20">
        <f t="shared" si="146"/>
        <v>0</v>
      </c>
      <c r="I1960" s="21">
        <f t="shared" si="148"/>
        <v>0</v>
      </c>
      <c r="J1960" s="21">
        <f t="shared" si="147"/>
        <v>0</v>
      </c>
    </row>
    <row r="1961" spans="1:10" x14ac:dyDescent="0.3">
      <c r="A1961" s="2" t="s">
        <v>1841</v>
      </c>
      <c r="B1961" s="1" t="s">
        <v>2152</v>
      </c>
      <c r="C1961" s="6" t="s">
        <v>3998</v>
      </c>
      <c r="D1961" s="6" t="s">
        <v>6158</v>
      </c>
      <c r="E1961" s="20">
        <f t="shared" si="145"/>
        <v>0</v>
      </c>
      <c r="F1961" s="20"/>
      <c r="G1961" s="24" t="s">
        <v>8416</v>
      </c>
      <c r="H1961" s="20">
        <f t="shared" si="146"/>
        <v>0</v>
      </c>
      <c r="I1961" s="21">
        <f t="shared" si="148"/>
        <v>0</v>
      </c>
      <c r="J1961" s="21">
        <f t="shared" si="147"/>
        <v>0</v>
      </c>
    </row>
    <row r="1962" spans="1:10" x14ac:dyDescent="0.3">
      <c r="A1962" s="2" t="s">
        <v>1842</v>
      </c>
      <c r="B1962" s="1" t="s">
        <v>2152</v>
      </c>
      <c r="C1962" s="6" t="s">
        <v>3999</v>
      </c>
      <c r="D1962" s="6" t="s">
        <v>6159</v>
      </c>
      <c r="E1962" s="20">
        <f t="shared" si="145"/>
        <v>0</v>
      </c>
      <c r="F1962" s="20"/>
      <c r="G1962" s="24" t="s">
        <v>8417</v>
      </c>
      <c r="H1962" s="20">
        <f t="shared" si="146"/>
        <v>0</v>
      </c>
      <c r="I1962" s="21">
        <f t="shared" si="148"/>
        <v>0</v>
      </c>
      <c r="J1962" s="21">
        <f t="shared" si="147"/>
        <v>0</v>
      </c>
    </row>
    <row r="1963" spans="1:10" x14ac:dyDescent="0.3">
      <c r="A1963" s="2" t="s">
        <v>1843</v>
      </c>
      <c r="B1963" s="1" t="s">
        <v>2152</v>
      </c>
      <c r="C1963" s="6" t="s">
        <v>4000</v>
      </c>
      <c r="D1963" s="6" t="s">
        <v>6160</v>
      </c>
      <c r="E1963" s="20">
        <f t="shared" si="145"/>
        <v>0</v>
      </c>
      <c r="F1963" s="20"/>
      <c r="G1963" s="24" t="s">
        <v>8418</v>
      </c>
      <c r="H1963" s="20">
        <f t="shared" si="146"/>
        <v>0</v>
      </c>
      <c r="I1963" s="21">
        <f t="shared" si="148"/>
        <v>0</v>
      </c>
      <c r="J1963" s="21">
        <f t="shared" si="147"/>
        <v>0</v>
      </c>
    </row>
    <row r="1964" spans="1:10" x14ac:dyDescent="0.3">
      <c r="A1964" s="2" t="s">
        <v>1844</v>
      </c>
      <c r="B1964" s="1" t="s">
        <v>2152</v>
      </c>
      <c r="C1964" s="6" t="s">
        <v>4001</v>
      </c>
      <c r="D1964" s="6" t="s">
        <v>6161</v>
      </c>
      <c r="E1964" s="20">
        <f t="shared" si="145"/>
        <v>0</v>
      </c>
      <c r="F1964" s="20"/>
      <c r="G1964" s="24" t="s">
        <v>8419</v>
      </c>
      <c r="H1964" s="20">
        <f t="shared" si="146"/>
        <v>0</v>
      </c>
      <c r="I1964" s="21">
        <f t="shared" si="148"/>
        <v>0</v>
      </c>
      <c r="J1964" s="21">
        <f t="shared" si="147"/>
        <v>0</v>
      </c>
    </row>
    <row r="1965" spans="1:10" x14ac:dyDescent="0.3">
      <c r="A1965" s="2" t="s">
        <v>1845</v>
      </c>
      <c r="B1965" s="1" t="s">
        <v>2152</v>
      </c>
      <c r="C1965" s="6" t="s">
        <v>4002</v>
      </c>
      <c r="D1965" s="6" t="s">
        <v>6162</v>
      </c>
      <c r="E1965" s="20">
        <f t="shared" si="145"/>
        <v>0</v>
      </c>
      <c r="F1965" s="20"/>
      <c r="G1965" s="24" t="s">
        <v>8420</v>
      </c>
      <c r="H1965" s="20">
        <f t="shared" si="146"/>
        <v>0</v>
      </c>
      <c r="I1965" s="21">
        <f t="shared" si="148"/>
        <v>0</v>
      </c>
      <c r="J1965" s="21">
        <f t="shared" si="147"/>
        <v>0</v>
      </c>
    </row>
    <row r="1966" spans="1:10" x14ac:dyDescent="0.3">
      <c r="A1966" s="2" t="s">
        <v>1846</v>
      </c>
      <c r="B1966" s="1" t="s">
        <v>2152</v>
      </c>
      <c r="C1966" s="6" t="s">
        <v>4003</v>
      </c>
      <c r="D1966" s="6" t="s">
        <v>6163</v>
      </c>
      <c r="E1966" s="20">
        <f t="shared" si="145"/>
        <v>0</v>
      </c>
      <c r="F1966" s="20"/>
      <c r="G1966" s="24" t="s">
        <v>8421</v>
      </c>
      <c r="H1966" s="20">
        <f t="shared" si="146"/>
        <v>0</v>
      </c>
      <c r="I1966" s="21">
        <f t="shared" si="148"/>
        <v>0</v>
      </c>
      <c r="J1966" s="21">
        <f t="shared" si="147"/>
        <v>0</v>
      </c>
    </row>
    <row r="1967" spans="1:10" x14ac:dyDescent="0.3">
      <c r="A1967" s="2" t="s">
        <v>1847</v>
      </c>
      <c r="B1967" s="1" t="s">
        <v>2152</v>
      </c>
      <c r="C1967" s="6" t="s">
        <v>4004</v>
      </c>
      <c r="D1967" s="6" t="s">
        <v>6164</v>
      </c>
      <c r="E1967" s="20">
        <f t="shared" si="145"/>
        <v>0</v>
      </c>
      <c r="F1967" s="20"/>
      <c r="G1967" s="24" t="s">
        <v>8422</v>
      </c>
      <c r="H1967" s="20">
        <f t="shared" si="146"/>
        <v>0</v>
      </c>
      <c r="I1967" s="21">
        <f t="shared" si="148"/>
        <v>0</v>
      </c>
      <c r="J1967" s="21">
        <f t="shared" si="147"/>
        <v>0</v>
      </c>
    </row>
    <row r="1968" spans="1:10" x14ac:dyDescent="0.3">
      <c r="A1968" s="2" t="s">
        <v>1848</v>
      </c>
      <c r="B1968" s="1" t="s">
        <v>2152</v>
      </c>
      <c r="C1968" s="6" t="s">
        <v>4005</v>
      </c>
      <c r="D1968" s="6" t="s">
        <v>6165</v>
      </c>
      <c r="E1968" s="20">
        <f t="shared" si="145"/>
        <v>0</v>
      </c>
      <c r="F1968" s="20"/>
      <c r="G1968" s="24" t="s">
        <v>8423</v>
      </c>
      <c r="H1968" s="20">
        <f t="shared" si="146"/>
        <v>0</v>
      </c>
      <c r="I1968" s="21">
        <f t="shared" si="148"/>
        <v>0</v>
      </c>
      <c r="J1968" s="21">
        <f t="shared" si="147"/>
        <v>0</v>
      </c>
    </row>
    <row r="1969" spans="1:10" x14ac:dyDescent="0.3">
      <c r="A1969" s="2" t="s">
        <v>1849</v>
      </c>
      <c r="B1969" s="1" t="s">
        <v>2152</v>
      </c>
      <c r="C1969" s="6" t="s">
        <v>4006</v>
      </c>
      <c r="D1969" s="6" t="s">
        <v>6166</v>
      </c>
      <c r="E1969" s="20">
        <f t="shared" si="145"/>
        <v>0</v>
      </c>
      <c r="F1969" s="20"/>
      <c r="G1969" s="24" t="s">
        <v>8424</v>
      </c>
      <c r="H1969" s="20">
        <f t="shared" si="146"/>
        <v>0</v>
      </c>
      <c r="I1969" s="21">
        <f t="shared" si="148"/>
        <v>0</v>
      </c>
      <c r="J1969" s="21">
        <f t="shared" si="147"/>
        <v>0</v>
      </c>
    </row>
    <row r="1970" spans="1:10" x14ac:dyDescent="0.3">
      <c r="A1970" s="2" t="s">
        <v>1850</v>
      </c>
      <c r="B1970" s="1" t="s">
        <v>2152</v>
      </c>
      <c r="C1970" s="6" t="s">
        <v>4007</v>
      </c>
      <c r="D1970" s="6" t="s">
        <v>6167</v>
      </c>
      <c r="E1970" s="20">
        <f t="shared" si="145"/>
        <v>0</v>
      </c>
      <c r="F1970" s="20"/>
      <c r="G1970" s="24" t="s">
        <v>8425</v>
      </c>
      <c r="H1970" s="20">
        <f t="shared" si="146"/>
        <v>0</v>
      </c>
      <c r="I1970" s="21">
        <f t="shared" si="148"/>
        <v>0</v>
      </c>
      <c r="J1970" s="21">
        <f t="shared" si="147"/>
        <v>0</v>
      </c>
    </row>
    <row r="1971" spans="1:10" x14ac:dyDescent="0.3">
      <c r="A1971" s="2" t="s">
        <v>1851</v>
      </c>
      <c r="B1971" s="1" t="s">
        <v>2152</v>
      </c>
      <c r="C1971" s="6" t="s">
        <v>4008</v>
      </c>
      <c r="D1971" s="6" t="s">
        <v>6168</v>
      </c>
      <c r="E1971" s="20">
        <f t="shared" si="145"/>
        <v>0</v>
      </c>
      <c r="F1971" s="20"/>
      <c r="G1971" s="24" t="s">
        <v>8426</v>
      </c>
      <c r="H1971" s="20">
        <f t="shared" si="146"/>
        <v>0</v>
      </c>
      <c r="I1971" s="21">
        <f t="shared" si="148"/>
        <v>0</v>
      </c>
      <c r="J1971" s="21">
        <f t="shared" si="147"/>
        <v>0</v>
      </c>
    </row>
    <row r="1972" spans="1:10" x14ac:dyDescent="0.3">
      <c r="A1972" s="2" t="s">
        <v>1852</v>
      </c>
      <c r="B1972" s="1" t="s">
        <v>2152</v>
      </c>
      <c r="C1972" s="6" t="s">
        <v>4009</v>
      </c>
      <c r="D1972" s="6" t="s">
        <v>6169</v>
      </c>
      <c r="E1972" s="20">
        <f t="shared" si="145"/>
        <v>0</v>
      </c>
      <c r="F1972" s="20"/>
      <c r="G1972" s="24" t="s">
        <v>8427</v>
      </c>
      <c r="H1972" s="20">
        <f t="shared" si="146"/>
        <v>0</v>
      </c>
      <c r="I1972" s="21">
        <f t="shared" si="148"/>
        <v>0</v>
      </c>
      <c r="J1972" s="21">
        <f t="shared" si="147"/>
        <v>0</v>
      </c>
    </row>
    <row r="1973" spans="1:10" x14ac:dyDescent="0.3">
      <c r="A1973" s="2" t="s">
        <v>1853</v>
      </c>
      <c r="B1973" s="1" t="s">
        <v>2152</v>
      </c>
      <c r="C1973" s="6" t="s">
        <v>4010</v>
      </c>
      <c r="D1973" s="6" t="s">
        <v>6170</v>
      </c>
      <c r="E1973" s="20">
        <f t="shared" si="145"/>
        <v>0</v>
      </c>
      <c r="F1973" s="20"/>
      <c r="G1973" s="24" t="s">
        <v>8428</v>
      </c>
      <c r="H1973" s="20">
        <f t="shared" si="146"/>
        <v>0</v>
      </c>
      <c r="I1973" s="21">
        <f t="shared" si="148"/>
        <v>0</v>
      </c>
      <c r="J1973" s="21">
        <f t="shared" si="147"/>
        <v>0</v>
      </c>
    </row>
    <row r="1974" spans="1:10" x14ac:dyDescent="0.3">
      <c r="A1974" s="2" t="s">
        <v>1854</v>
      </c>
      <c r="B1974" s="1" t="s">
        <v>2152</v>
      </c>
      <c r="C1974" s="6" t="s">
        <v>4011</v>
      </c>
      <c r="D1974" s="6" t="s">
        <v>6171</v>
      </c>
      <c r="E1974" s="20">
        <f t="shared" si="145"/>
        <v>0</v>
      </c>
      <c r="F1974" s="20">
        <v>600</v>
      </c>
      <c r="G1974" s="24" t="s">
        <v>8429</v>
      </c>
      <c r="H1974" s="20">
        <f t="shared" si="146"/>
        <v>0</v>
      </c>
      <c r="I1974" s="21">
        <f t="shared" si="148"/>
        <v>0</v>
      </c>
      <c r="J1974" s="21">
        <f t="shared" si="147"/>
        <v>0</v>
      </c>
    </row>
    <row r="1975" spans="1:10" ht="27.6" x14ac:dyDescent="0.3">
      <c r="A1975" s="2" t="s">
        <v>1855</v>
      </c>
      <c r="B1975" s="1" t="s">
        <v>2152</v>
      </c>
      <c r="C1975" s="6" t="s">
        <v>4012</v>
      </c>
      <c r="D1975" s="6" t="s">
        <v>6172</v>
      </c>
      <c r="E1975" s="20">
        <f t="shared" si="145"/>
        <v>0</v>
      </c>
      <c r="F1975" s="20"/>
      <c r="G1975" s="24" t="s">
        <v>8430</v>
      </c>
      <c r="H1975" s="20">
        <f t="shared" si="146"/>
        <v>0</v>
      </c>
      <c r="I1975" s="21">
        <f t="shared" si="148"/>
        <v>0</v>
      </c>
      <c r="J1975" s="21">
        <f t="shared" si="147"/>
        <v>0</v>
      </c>
    </row>
    <row r="1976" spans="1:10" ht="27.6" x14ac:dyDescent="0.3">
      <c r="A1976" s="2" t="s">
        <v>1856</v>
      </c>
      <c r="B1976" s="1" t="s">
        <v>2152</v>
      </c>
      <c r="C1976" s="6" t="s">
        <v>4013</v>
      </c>
      <c r="D1976" s="6" t="s">
        <v>6173</v>
      </c>
      <c r="E1976" s="20">
        <f t="shared" si="145"/>
        <v>0</v>
      </c>
      <c r="F1976" s="20">
        <v>90</v>
      </c>
      <c r="G1976" s="24" t="s">
        <v>8431</v>
      </c>
      <c r="H1976" s="20">
        <f t="shared" si="146"/>
        <v>0</v>
      </c>
      <c r="I1976" s="21">
        <f t="shared" si="148"/>
        <v>0</v>
      </c>
      <c r="J1976" s="21">
        <f t="shared" si="147"/>
        <v>0</v>
      </c>
    </row>
    <row r="1977" spans="1:10" x14ac:dyDescent="0.3">
      <c r="A1977" s="2" t="s">
        <v>1857</v>
      </c>
      <c r="B1977" s="1" t="s">
        <v>2152</v>
      </c>
      <c r="C1977" s="6" t="s">
        <v>4014</v>
      </c>
      <c r="D1977" s="6" t="s">
        <v>6174</v>
      </c>
      <c r="E1977" s="20">
        <f t="shared" si="145"/>
        <v>0</v>
      </c>
      <c r="F1977" s="20">
        <v>85</v>
      </c>
      <c r="G1977" s="24" t="s">
        <v>8432</v>
      </c>
      <c r="H1977" s="20">
        <f t="shared" si="146"/>
        <v>0</v>
      </c>
      <c r="I1977" s="21">
        <f t="shared" si="148"/>
        <v>0</v>
      </c>
      <c r="J1977" s="21">
        <f t="shared" si="147"/>
        <v>0</v>
      </c>
    </row>
    <row r="1978" spans="1:10" x14ac:dyDescent="0.3">
      <c r="A1978" s="2" t="s">
        <v>489</v>
      </c>
      <c r="B1978" s="1" t="s">
        <v>2152</v>
      </c>
      <c r="C1978" s="6" t="s">
        <v>4015</v>
      </c>
      <c r="D1978" s="6" t="s">
        <v>6175</v>
      </c>
      <c r="E1978" s="20">
        <f t="shared" si="145"/>
        <v>0</v>
      </c>
      <c r="F1978" s="20">
        <v>100</v>
      </c>
      <c r="G1978" s="24" t="s">
        <v>8433</v>
      </c>
      <c r="H1978" s="20">
        <f t="shared" si="146"/>
        <v>0</v>
      </c>
      <c r="I1978" s="21">
        <f t="shared" si="148"/>
        <v>0</v>
      </c>
      <c r="J1978" s="21">
        <f t="shared" si="147"/>
        <v>0</v>
      </c>
    </row>
    <row r="1979" spans="1:10" x14ac:dyDescent="0.3">
      <c r="A1979" s="2" t="s">
        <v>1858</v>
      </c>
      <c r="B1979" s="1" t="s">
        <v>2152</v>
      </c>
      <c r="C1979" s="6" t="s">
        <v>4016</v>
      </c>
      <c r="D1979" s="6" t="s">
        <v>6176</v>
      </c>
      <c r="E1979" s="20">
        <f t="shared" si="145"/>
        <v>0</v>
      </c>
      <c r="F1979" s="20">
        <v>200</v>
      </c>
      <c r="G1979" s="24" t="s">
        <v>8434</v>
      </c>
      <c r="H1979" s="20">
        <f t="shared" si="146"/>
        <v>0</v>
      </c>
      <c r="I1979" s="21">
        <f t="shared" si="148"/>
        <v>0</v>
      </c>
      <c r="J1979" s="21">
        <f t="shared" si="147"/>
        <v>0</v>
      </c>
    </row>
    <row r="1980" spans="1:10" x14ac:dyDescent="0.3">
      <c r="A1980" s="2" t="s">
        <v>1345</v>
      </c>
      <c r="B1980" s="1" t="s">
        <v>2152</v>
      </c>
      <c r="C1980" s="6" t="s">
        <v>4017</v>
      </c>
      <c r="D1980" s="6" t="s">
        <v>6177</v>
      </c>
      <c r="E1980" s="20">
        <f t="shared" si="145"/>
        <v>0</v>
      </c>
      <c r="F1980" s="20">
        <v>400</v>
      </c>
      <c r="G1980" s="24" t="s">
        <v>8435</v>
      </c>
      <c r="H1980" s="20">
        <f t="shared" si="146"/>
        <v>0</v>
      </c>
      <c r="I1980" s="21">
        <f t="shared" si="148"/>
        <v>0</v>
      </c>
      <c r="J1980" s="21">
        <f t="shared" si="147"/>
        <v>0</v>
      </c>
    </row>
    <row r="1981" spans="1:10" x14ac:dyDescent="0.3">
      <c r="A1981" s="2" t="s">
        <v>1859</v>
      </c>
      <c r="B1981" s="1" t="s">
        <v>2152</v>
      </c>
      <c r="C1981" s="6" t="s">
        <v>4018</v>
      </c>
      <c r="D1981" s="6" t="s">
        <v>6178</v>
      </c>
      <c r="E1981" s="20">
        <f t="shared" si="145"/>
        <v>0</v>
      </c>
      <c r="F1981" s="20">
        <f>18.2*42.3</f>
        <v>769.8599999999999</v>
      </c>
      <c r="G1981" s="24" t="s">
        <v>8436</v>
      </c>
      <c r="H1981" s="20">
        <f t="shared" si="146"/>
        <v>0</v>
      </c>
      <c r="I1981" s="21">
        <f t="shared" si="148"/>
        <v>0</v>
      </c>
      <c r="J1981" s="21">
        <f t="shared" si="147"/>
        <v>0</v>
      </c>
    </row>
    <row r="1982" spans="1:10" x14ac:dyDescent="0.3">
      <c r="A1982" s="2" t="s">
        <v>1860</v>
      </c>
      <c r="B1982" s="1" t="s">
        <v>2152</v>
      </c>
      <c r="C1982" s="6" t="s">
        <v>4019</v>
      </c>
      <c r="D1982" s="6" t="s">
        <v>6179</v>
      </c>
      <c r="E1982" s="20">
        <f t="shared" si="145"/>
        <v>0</v>
      </c>
      <c r="F1982" s="20">
        <f>21.45*42.3</f>
        <v>907.33499999999992</v>
      </c>
      <c r="G1982" s="24" t="s">
        <v>8437</v>
      </c>
      <c r="H1982" s="20">
        <f t="shared" si="146"/>
        <v>0</v>
      </c>
      <c r="I1982" s="21">
        <f t="shared" si="148"/>
        <v>0</v>
      </c>
      <c r="J1982" s="21">
        <f t="shared" si="147"/>
        <v>0</v>
      </c>
    </row>
    <row r="1983" spans="1:10" x14ac:dyDescent="0.3">
      <c r="A1983" s="2" t="s">
        <v>1861</v>
      </c>
      <c r="B1983" s="1" t="s">
        <v>2152</v>
      </c>
      <c r="C1983" s="6" t="s">
        <v>4020</v>
      </c>
      <c r="D1983" s="6" t="s">
        <v>6180</v>
      </c>
      <c r="E1983" s="20">
        <f t="shared" si="145"/>
        <v>0</v>
      </c>
      <c r="F1983" s="20">
        <f>24.7*42.3</f>
        <v>1044.81</v>
      </c>
      <c r="G1983" s="24" t="s">
        <v>8438</v>
      </c>
      <c r="H1983" s="20">
        <f t="shared" si="146"/>
        <v>0</v>
      </c>
      <c r="I1983" s="21">
        <f t="shared" si="148"/>
        <v>0</v>
      </c>
      <c r="J1983" s="21">
        <f t="shared" si="147"/>
        <v>0</v>
      </c>
    </row>
    <row r="1984" spans="1:10" x14ac:dyDescent="0.3">
      <c r="A1984" s="2" t="s">
        <v>1862</v>
      </c>
      <c r="B1984" s="1" t="s">
        <v>2152</v>
      </c>
      <c r="C1984" s="6" t="s">
        <v>4021</v>
      </c>
      <c r="D1984" s="6" t="s">
        <v>6181</v>
      </c>
      <c r="E1984" s="20">
        <f t="shared" si="145"/>
        <v>0</v>
      </c>
      <c r="F1984" s="20">
        <f>29.9*42.3</f>
        <v>1264.7699999999998</v>
      </c>
      <c r="G1984" s="24" t="s">
        <v>8439</v>
      </c>
      <c r="H1984" s="20">
        <f t="shared" si="146"/>
        <v>0</v>
      </c>
      <c r="I1984" s="21">
        <f t="shared" si="148"/>
        <v>0</v>
      </c>
      <c r="J1984" s="21">
        <f t="shared" si="147"/>
        <v>0</v>
      </c>
    </row>
    <row r="1985" spans="1:10" x14ac:dyDescent="0.3">
      <c r="A1985" s="2" t="s">
        <v>1863</v>
      </c>
      <c r="B1985" s="1" t="s">
        <v>2152</v>
      </c>
      <c r="C1985" s="6" t="s">
        <v>4022</v>
      </c>
      <c r="D1985" s="6" t="s">
        <v>6182</v>
      </c>
      <c r="E1985" s="20">
        <f t="shared" si="145"/>
        <v>0</v>
      </c>
      <c r="F1985" s="20">
        <f>44.2*42.3</f>
        <v>1869.66</v>
      </c>
      <c r="G1985" s="24" t="s">
        <v>8440</v>
      </c>
      <c r="H1985" s="20">
        <f t="shared" si="146"/>
        <v>0</v>
      </c>
      <c r="I1985" s="21">
        <f t="shared" si="148"/>
        <v>0</v>
      </c>
      <c r="J1985" s="21">
        <f t="shared" si="147"/>
        <v>0</v>
      </c>
    </row>
    <row r="1986" spans="1:10" x14ac:dyDescent="0.3">
      <c r="A1986" s="2" t="s">
        <v>1864</v>
      </c>
      <c r="B1986" s="1" t="s">
        <v>2152</v>
      </c>
      <c r="C1986" s="6" t="s">
        <v>4023</v>
      </c>
      <c r="D1986" s="6" t="s">
        <v>6183</v>
      </c>
      <c r="E1986" s="20">
        <f t="shared" si="145"/>
        <v>0</v>
      </c>
      <c r="F1986" s="20">
        <f>12.35*42.3</f>
        <v>522.40499999999997</v>
      </c>
      <c r="G1986" s="24" t="s">
        <v>8441</v>
      </c>
      <c r="H1986" s="20">
        <f t="shared" si="146"/>
        <v>0</v>
      </c>
      <c r="I1986" s="21">
        <f t="shared" si="148"/>
        <v>0</v>
      </c>
      <c r="J1986" s="21">
        <f t="shared" si="147"/>
        <v>0</v>
      </c>
    </row>
    <row r="1987" spans="1:10" x14ac:dyDescent="0.3">
      <c r="A1987" s="2" t="s">
        <v>1865</v>
      </c>
      <c r="B1987" s="1" t="s">
        <v>2152</v>
      </c>
      <c r="C1987" s="6" t="s">
        <v>4024</v>
      </c>
      <c r="D1987" s="6" t="s">
        <v>6184</v>
      </c>
      <c r="E1987" s="20">
        <f t="shared" si="145"/>
        <v>0</v>
      </c>
      <c r="F1987" s="20">
        <f>15.6*42.3</f>
        <v>659.88</v>
      </c>
      <c r="G1987" s="24" t="s">
        <v>8442</v>
      </c>
      <c r="H1987" s="20">
        <f t="shared" si="146"/>
        <v>0</v>
      </c>
      <c r="I1987" s="21">
        <f t="shared" si="148"/>
        <v>0</v>
      </c>
      <c r="J1987" s="21">
        <f t="shared" si="147"/>
        <v>0</v>
      </c>
    </row>
    <row r="1988" spans="1:10" x14ac:dyDescent="0.3">
      <c r="A1988" s="2" t="s">
        <v>1866</v>
      </c>
      <c r="B1988" s="1" t="s">
        <v>2152</v>
      </c>
      <c r="C1988" s="6" t="s">
        <v>4025</v>
      </c>
      <c r="D1988" s="6" t="s">
        <v>6185</v>
      </c>
      <c r="E1988" s="20">
        <f t="shared" si="145"/>
        <v>0</v>
      </c>
      <c r="F1988" s="20">
        <f>17.55*42.3</f>
        <v>742.36500000000001</v>
      </c>
      <c r="G1988" s="24" t="s">
        <v>8443</v>
      </c>
      <c r="H1988" s="20">
        <f t="shared" si="146"/>
        <v>0</v>
      </c>
      <c r="I1988" s="21">
        <f t="shared" si="148"/>
        <v>0</v>
      </c>
      <c r="J1988" s="21">
        <f t="shared" si="147"/>
        <v>0</v>
      </c>
    </row>
    <row r="1989" spans="1:10" x14ac:dyDescent="0.3">
      <c r="A1989" s="2" t="s">
        <v>1867</v>
      </c>
      <c r="B1989" s="1" t="s">
        <v>2152</v>
      </c>
      <c r="C1989" s="6" t="s">
        <v>4026</v>
      </c>
      <c r="D1989" s="6" t="s">
        <v>6186</v>
      </c>
      <c r="E1989" s="20">
        <f t="shared" si="145"/>
        <v>0</v>
      </c>
      <c r="F1989" s="20">
        <f>27.95*42.3</f>
        <v>1182.2849999999999</v>
      </c>
      <c r="G1989" s="24" t="s">
        <v>8444</v>
      </c>
      <c r="H1989" s="20">
        <f t="shared" si="146"/>
        <v>0</v>
      </c>
      <c r="I1989" s="21">
        <f t="shared" si="148"/>
        <v>0</v>
      </c>
      <c r="J1989" s="21">
        <f t="shared" si="147"/>
        <v>0</v>
      </c>
    </row>
    <row r="1990" spans="1:10" x14ac:dyDescent="0.3">
      <c r="A1990" s="2" t="s">
        <v>1868</v>
      </c>
      <c r="B1990" s="1" t="s">
        <v>2152</v>
      </c>
      <c r="C1990" s="6" t="s">
        <v>4027</v>
      </c>
      <c r="D1990" s="6" t="s">
        <v>6187</v>
      </c>
      <c r="E1990" s="20">
        <f t="shared" si="145"/>
        <v>0</v>
      </c>
      <c r="F1990" s="20">
        <f>33.8*42.3</f>
        <v>1429.7399999999998</v>
      </c>
      <c r="G1990" s="24" t="s">
        <v>8445</v>
      </c>
      <c r="H1990" s="20">
        <f t="shared" si="146"/>
        <v>0</v>
      </c>
      <c r="I1990" s="21">
        <f t="shared" si="148"/>
        <v>0</v>
      </c>
      <c r="J1990" s="21">
        <f t="shared" si="147"/>
        <v>0</v>
      </c>
    </row>
    <row r="1991" spans="1:10" x14ac:dyDescent="0.3">
      <c r="A1991" s="2" t="s">
        <v>1869</v>
      </c>
      <c r="B1991" s="1" t="s">
        <v>2152</v>
      </c>
      <c r="C1991" s="6" t="s">
        <v>4028</v>
      </c>
      <c r="D1991" s="6" t="s">
        <v>6188</v>
      </c>
      <c r="E1991" s="20">
        <f t="shared" si="145"/>
        <v>0</v>
      </c>
      <c r="F1991" s="20">
        <f>8.45*42.3</f>
        <v>357.43499999999995</v>
      </c>
      <c r="G1991" s="24" t="s">
        <v>8446</v>
      </c>
      <c r="H1991" s="20">
        <f t="shared" si="146"/>
        <v>0</v>
      </c>
      <c r="I1991" s="21">
        <f t="shared" si="148"/>
        <v>0</v>
      </c>
      <c r="J1991" s="21">
        <f t="shared" si="147"/>
        <v>0</v>
      </c>
    </row>
    <row r="1992" spans="1:10" x14ac:dyDescent="0.3">
      <c r="A1992" s="2" t="s">
        <v>1870</v>
      </c>
      <c r="B1992" s="1" t="s">
        <v>2152</v>
      </c>
      <c r="C1992" s="6" t="s">
        <v>4029</v>
      </c>
      <c r="D1992" s="6" t="s">
        <v>6189</v>
      </c>
      <c r="E1992" s="20">
        <f t="shared" si="145"/>
        <v>0</v>
      </c>
      <c r="F1992" s="20">
        <f>13*42.3</f>
        <v>549.9</v>
      </c>
      <c r="G1992" s="24" t="s">
        <v>8447</v>
      </c>
      <c r="H1992" s="20">
        <f t="shared" si="146"/>
        <v>0</v>
      </c>
      <c r="I1992" s="21">
        <f t="shared" si="148"/>
        <v>0</v>
      </c>
      <c r="J1992" s="21">
        <f t="shared" si="147"/>
        <v>0</v>
      </c>
    </row>
    <row r="1993" spans="1:10" x14ac:dyDescent="0.3">
      <c r="A1993" s="2" t="s">
        <v>1871</v>
      </c>
      <c r="B1993" s="1" t="s">
        <v>2152</v>
      </c>
      <c r="C1993" s="6" t="s">
        <v>4030</v>
      </c>
      <c r="D1993" s="6" t="s">
        <v>6190</v>
      </c>
      <c r="E1993" s="20">
        <f t="shared" ref="E1993:E2056" si="149">H1993*1.8*1.4</f>
        <v>0</v>
      </c>
      <c r="F1993" s="20">
        <f>16.25*42.3</f>
        <v>687.375</v>
      </c>
      <c r="G1993" s="24" t="s">
        <v>8448</v>
      </c>
      <c r="H1993" s="20">
        <f t="shared" ref="H1993:H2056" si="150">K1993*1.8*1.4</f>
        <v>0</v>
      </c>
      <c r="I1993" s="21">
        <f t="shared" si="148"/>
        <v>0</v>
      </c>
      <c r="J1993" s="21">
        <f t="shared" si="147"/>
        <v>0</v>
      </c>
    </row>
    <row r="1994" spans="1:10" x14ac:dyDescent="0.3">
      <c r="A1994" s="2" t="s">
        <v>1872</v>
      </c>
      <c r="B1994" s="1" t="s">
        <v>2152</v>
      </c>
      <c r="C1994" s="6" t="s">
        <v>4031</v>
      </c>
      <c r="D1994" s="6" t="s">
        <v>6191</v>
      </c>
      <c r="E1994" s="20">
        <f t="shared" si="149"/>
        <v>0</v>
      </c>
      <c r="F1994" s="20">
        <f>22.1*42.3</f>
        <v>934.83</v>
      </c>
      <c r="G1994" s="24" t="s">
        <v>8449</v>
      </c>
      <c r="H1994" s="20">
        <f t="shared" si="150"/>
        <v>0</v>
      </c>
      <c r="I1994" s="21">
        <f t="shared" si="148"/>
        <v>0</v>
      </c>
      <c r="J1994" s="21">
        <f t="shared" si="147"/>
        <v>0</v>
      </c>
    </row>
    <row r="1995" spans="1:10" x14ac:dyDescent="0.3">
      <c r="A1995" s="2" t="s">
        <v>1873</v>
      </c>
      <c r="B1995" s="1" t="s">
        <v>2152</v>
      </c>
      <c r="C1995" s="6" t="s">
        <v>4032</v>
      </c>
      <c r="D1995" s="6" t="s">
        <v>6192</v>
      </c>
      <c r="E1995" s="20">
        <f t="shared" si="149"/>
        <v>0</v>
      </c>
      <c r="F1995" s="20">
        <f>26*42.3</f>
        <v>1099.8</v>
      </c>
      <c r="G1995" s="24" t="s">
        <v>8450</v>
      </c>
      <c r="H1995" s="20">
        <f t="shared" si="150"/>
        <v>0</v>
      </c>
      <c r="I1995" s="21">
        <f t="shared" si="148"/>
        <v>0</v>
      </c>
      <c r="J1995" s="21">
        <f t="shared" si="147"/>
        <v>0</v>
      </c>
    </row>
    <row r="1996" spans="1:10" x14ac:dyDescent="0.3">
      <c r="A1996" s="2" t="s">
        <v>1874</v>
      </c>
      <c r="B1996" s="1" t="s">
        <v>2152</v>
      </c>
      <c r="C1996" s="6" t="s">
        <v>4033</v>
      </c>
      <c r="D1996" s="6" t="s">
        <v>6193</v>
      </c>
      <c r="E1996" s="20">
        <f t="shared" si="149"/>
        <v>0</v>
      </c>
      <c r="F1996" s="20">
        <f>44.2*42.3</f>
        <v>1869.66</v>
      </c>
      <c r="G1996" s="24" t="s">
        <v>8451</v>
      </c>
      <c r="H1996" s="20">
        <f t="shared" si="150"/>
        <v>0</v>
      </c>
      <c r="I1996" s="21">
        <f t="shared" si="148"/>
        <v>0</v>
      </c>
      <c r="J1996" s="21">
        <f t="shared" si="147"/>
        <v>0</v>
      </c>
    </row>
    <row r="1997" spans="1:10" x14ac:dyDescent="0.3">
      <c r="A1997" s="2" t="s">
        <v>1875</v>
      </c>
      <c r="B1997" s="1" t="s">
        <v>2152</v>
      </c>
      <c r="C1997" s="6" t="s">
        <v>4034</v>
      </c>
      <c r="D1997" s="6" t="s">
        <v>6194</v>
      </c>
      <c r="E1997" s="20">
        <f t="shared" si="149"/>
        <v>0</v>
      </c>
      <c r="F1997" s="20">
        <f>56.55*42.3</f>
        <v>2392.0649999999996</v>
      </c>
      <c r="G1997" s="24" t="s">
        <v>8452</v>
      </c>
      <c r="H1997" s="20">
        <f t="shared" si="150"/>
        <v>0</v>
      </c>
      <c r="I1997" s="21">
        <f t="shared" si="148"/>
        <v>0</v>
      </c>
      <c r="J1997" s="21">
        <f t="shared" si="147"/>
        <v>0</v>
      </c>
    </row>
    <row r="1998" spans="1:10" x14ac:dyDescent="0.3">
      <c r="A1998" s="2" t="s">
        <v>1876</v>
      </c>
      <c r="B1998" s="1" t="s">
        <v>2152</v>
      </c>
      <c r="C1998" s="6" t="s">
        <v>4035</v>
      </c>
      <c r="D1998" s="6" t="s">
        <v>6195</v>
      </c>
      <c r="E1998" s="20">
        <f t="shared" si="149"/>
        <v>0</v>
      </c>
      <c r="F1998" s="20">
        <f>5.2*42.3</f>
        <v>219.95999999999998</v>
      </c>
      <c r="G1998" s="24" t="s">
        <v>8453</v>
      </c>
      <c r="H1998" s="20">
        <f t="shared" si="150"/>
        <v>0</v>
      </c>
      <c r="I1998" s="21">
        <f>W1998</f>
        <v>0</v>
      </c>
      <c r="J1998" s="21">
        <f>X1998</f>
        <v>0</v>
      </c>
    </row>
    <row r="1999" spans="1:10" x14ac:dyDescent="0.3">
      <c r="A1999" s="2" t="s">
        <v>1877</v>
      </c>
      <c r="B1999" s="1" t="s">
        <v>2152</v>
      </c>
      <c r="C1999" s="6" t="s">
        <v>4036</v>
      </c>
      <c r="D1999" s="6" t="s">
        <v>6196</v>
      </c>
      <c r="E1999" s="20">
        <f t="shared" si="149"/>
        <v>0</v>
      </c>
      <c r="F1999" s="20">
        <f>7.8*42.3</f>
        <v>329.94</v>
      </c>
      <c r="G1999" s="24" t="s">
        <v>8454</v>
      </c>
      <c r="H1999" s="20">
        <f t="shared" si="150"/>
        <v>0</v>
      </c>
      <c r="I1999" s="21">
        <f t="shared" ref="I1999:J2004" si="151">W1999</f>
        <v>0</v>
      </c>
      <c r="J1999" s="21">
        <f t="shared" si="151"/>
        <v>0</v>
      </c>
    </row>
    <row r="2000" spans="1:10" x14ac:dyDescent="0.3">
      <c r="A2000" s="2" t="s">
        <v>1878</v>
      </c>
      <c r="B2000" s="1" t="s">
        <v>2152</v>
      </c>
      <c r="C2000" s="6" t="s">
        <v>4037</v>
      </c>
      <c r="D2000" s="6" t="s">
        <v>6197</v>
      </c>
      <c r="E2000" s="20">
        <f t="shared" si="149"/>
        <v>0</v>
      </c>
      <c r="F2000" s="20">
        <f>11.05*42.3</f>
        <v>467.41500000000002</v>
      </c>
      <c r="G2000" s="24" t="s">
        <v>8455</v>
      </c>
      <c r="H2000" s="20">
        <f t="shared" si="150"/>
        <v>0</v>
      </c>
      <c r="I2000" s="21">
        <f t="shared" si="151"/>
        <v>0</v>
      </c>
      <c r="J2000" s="21">
        <f t="shared" si="151"/>
        <v>0</v>
      </c>
    </row>
    <row r="2001" spans="1:10" x14ac:dyDescent="0.3">
      <c r="A2001" s="2" t="s">
        <v>1879</v>
      </c>
      <c r="B2001" s="1" t="s">
        <v>2152</v>
      </c>
      <c r="C2001" s="6" t="s">
        <v>4038</v>
      </c>
      <c r="D2001" s="6" t="s">
        <v>6198</v>
      </c>
      <c r="E2001" s="20">
        <f t="shared" si="149"/>
        <v>0</v>
      </c>
      <c r="F2001" s="20">
        <f>16.25*42.3</f>
        <v>687.375</v>
      </c>
      <c r="G2001" s="24" t="s">
        <v>8456</v>
      </c>
      <c r="H2001" s="20">
        <f t="shared" si="150"/>
        <v>0</v>
      </c>
      <c r="I2001" s="21">
        <f t="shared" si="151"/>
        <v>0</v>
      </c>
      <c r="J2001" s="21">
        <f t="shared" si="151"/>
        <v>0</v>
      </c>
    </row>
    <row r="2002" spans="1:10" x14ac:dyDescent="0.3">
      <c r="A2002" s="2" t="s">
        <v>1880</v>
      </c>
      <c r="B2002" s="1" t="s">
        <v>2152</v>
      </c>
      <c r="C2002" s="6" t="s">
        <v>4039</v>
      </c>
      <c r="D2002" s="6" t="s">
        <v>6199</v>
      </c>
      <c r="E2002" s="20">
        <f t="shared" si="149"/>
        <v>0</v>
      </c>
      <c r="F2002" s="20">
        <f>19.5*42.3</f>
        <v>824.84999999999991</v>
      </c>
      <c r="G2002" s="24" t="s">
        <v>8457</v>
      </c>
      <c r="H2002" s="20">
        <f t="shared" si="150"/>
        <v>0</v>
      </c>
      <c r="I2002" s="21">
        <f t="shared" si="151"/>
        <v>0</v>
      </c>
      <c r="J2002" s="21">
        <f t="shared" si="151"/>
        <v>0</v>
      </c>
    </row>
    <row r="2003" spans="1:10" x14ac:dyDescent="0.3">
      <c r="A2003" s="2" t="s">
        <v>1881</v>
      </c>
      <c r="B2003" s="1" t="s">
        <v>2152</v>
      </c>
      <c r="C2003" s="6" t="s">
        <v>4040</v>
      </c>
      <c r="D2003" s="6" t="s">
        <v>6200</v>
      </c>
      <c r="E2003" s="20">
        <f t="shared" si="149"/>
        <v>0</v>
      </c>
      <c r="F2003" s="20">
        <f>36.4*42.3</f>
        <v>1539.7199999999998</v>
      </c>
      <c r="G2003" s="24" t="s">
        <v>8458</v>
      </c>
      <c r="H2003" s="20">
        <f t="shared" si="150"/>
        <v>0</v>
      </c>
      <c r="I2003" s="21">
        <f t="shared" si="151"/>
        <v>0</v>
      </c>
      <c r="J2003" s="21">
        <f t="shared" si="151"/>
        <v>0</v>
      </c>
    </row>
    <row r="2004" spans="1:10" x14ac:dyDescent="0.3">
      <c r="A2004" s="2" t="s">
        <v>1882</v>
      </c>
      <c r="B2004" s="1" t="s">
        <v>2152</v>
      </c>
      <c r="C2004" s="6" t="s">
        <v>4041</v>
      </c>
      <c r="D2004" s="6" t="s">
        <v>6201</v>
      </c>
      <c r="E2004" s="20">
        <f t="shared" si="149"/>
        <v>0</v>
      </c>
      <c r="F2004" s="20">
        <f>50.7*42.3</f>
        <v>2144.61</v>
      </c>
      <c r="G2004" s="24" t="s">
        <v>8459</v>
      </c>
      <c r="H2004" s="20">
        <f t="shared" si="150"/>
        <v>0</v>
      </c>
      <c r="I2004" s="21">
        <f t="shared" si="151"/>
        <v>0</v>
      </c>
      <c r="J2004" s="21">
        <f t="shared" si="151"/>
        <v>0</v>
      </c>
    </row>
    <row r="2005" spans="1:10" x14ac:dyDescent="0.3">
      <c r="A2005" s="2" t="s">
        <v>1883</v>
      </c>
      <c r="B2005" s="1" t="s">
        <v>2152</v>
      </c>
      <c r="C2005" s="6" t="s">
        <v>4042</v>
      </c>
      <c r="D2005" s="6" t="s">
        <v>6202</v>
      </c>
      <c r="E2005" s="20">
        <f t="shared" si="149"/>
        <v>0</v>
      </c>
      <c r="F2005" s="20"/>
      <c r="G2005" s="24" t="s">
        <v>8460</v>
      </c>
      <c r="H2005" s="20">
        <f t="shared" si="150"/>
        <v>0</v>
      </c>
      <c r="I2005" s="21">
        <f>W2005</f>
        <v>0</v>
      </c>
      <c r="J2005" s="21">
        <f>X2005</f>
        <v>0</v>
      </c>
    </row>
    <row r="2006" spans="1:10" x14ac:dyDescent="0.3">
      <c r="A2006" s="2" t="s">
        <v>1884</v>
      </c>
      <c r="B2006" s="1" t="s">
        <v>2152</v>
      </c>
      <c r="C2006" s="6" t="s">
        <v>4043</v>
      </c>
      <c r="D2006" s="6" t="s">
        <v>6203</v>
      </c>
      <c r="E2006" s="20">
        <f t="shared" si="149"/>
        <v>0</v>
      </c>
      <c r="F2006" s="20">
        <v>150</v>
      </c>
      <c r="G2006" s="24" t="s">
        <v>8461</v>
      </c>
      <c r="H2006" s="20">
        <f t="shared" si="150"/>
        <v>0</v>
      </c>
      <c r="I2006" s="21">
        <f t="shared" ref="I2006:J2047" si="152">W2006</f>
        <v>0</v>
      </c>
      <c r="J2006" s="21">
        <f t="shared" si="152"/>
        <v>0</v>
      </c>
    </row>
    <row r="2007" spans="1:10" x14ac:dyDescent="0.3">
      <c r="A2007" s="2" t="s">
        <v>697</v>
      </c>
      <c r="B2007" s="1" t="s">
        <v>2152</v>
      </c>
      <c r="C2007" s="6" t="s">
        <v>4044</v>
      </c>
      <c r="D2007" s="6" t="s">
        <v>6204</v>
      </c>
      <c r="E2007" s="20">
        <f t="shared" si="149"/>
        <v>0</v>
      </c>
      <c r="F2007" s="20">
        <v>145</v>
      </c>
      <c r="G2007" s="24" t="s">
        <v>8462</v>
      </c>
      <c r="H2007" s="20">
        <f t="shared" si="150"/>
        <v>0</v>
      </c>
      <c r="I2007" s="21">
        <f t="shared" si="152"/>
        <v>0</v>
      </c>
      <c r="J2007" s="21">
        <f t="shared" si="152"/>
        <v>0</v>
      </c>
    </row>
    <row r="2008" spans="1:10" x14ac:dyDescent="0.3">
      <c r="A2008" s="2" t="s">
        <v>1885</v>
      </c>
      <c r="B2008" s="1" t="s">
        <v>2152</v>
      </c>
      <c r="C2008" s="6" t="s">
        <v>4045</v>
      </c>
      <c r="D2008" s="6" t="s">
        <v>6205</v>
      </c>
      <c r="E2008" s="20">
        <f t="shared" si="149"/>
        <v>0</v>
      </c>
      <c r="F2008" s="20">
        <v>140</v>
      </c>
      <c r="G2008" s="24" t="s">
        <v>8463</v>
      </c>
      <c r="H2008" s="20">
        <f t="shared" si="150"/>
        <v>0</v>
      </c>
      <c r="I2008" s="21">
        <f t="shared" si="152"/>
        <v>0</v>
      </c>
      <c r="J2008" s="21">
        <f t="shared" si="152"/>
        <v>0</v>
      </c>
    </row>
    <row r="2009" spans="1:10" x14ac:dyDescent="0.3">
      <c r="A2009" s="2" t="s">
        <v>1886</v>
      </c>
      <c r="B2009" s="1" t="s">
        <v>2152</v>
      </c>
      <c r="C2009" s="6" t="s">
        <v>4046</v>
      </c>
      <c r="D2009" s="6" t="s">
        <v>6206</v>
      </c>
      <c r="E2009" s="20">
        <f t="shared" si="149"/>
        <v>0</v>
      </c>
      <c r="F2009" s="20">
        <v>135</v>
      </c>
      <c r="G2009" s="24" t="s">
        <v>8464</v>
      </c>
      <c r="H2009" s="20">
        <f t="shared" si="150"/>
        <v>0</v>
      </c>
      <c r="I2009" s="21">
        <f t="shared" si="152"/>
        <v>0</v>
      </c>
      <c r="J2009" s="21">
        <f t="shared" si="152"/>
        <v>0</v>
      </c>
    </row>
    <row r="2010" spans="1:10" x14ac:dyDescent="0.3">
      <c r="A2010" s="2" t="s">
        <v>1887</v>
      </c>
      <c r="B2010" s="1" t="s">
        <v>2152</v>
      </c>
      <c r="C2010" s="6" t="s">
        <v>4047</v>
      </c>
      <c r="D2010" s="6" t="s">
        <v>6207</v>
      </c>
      <c r="E2010" s="20">
        <f t="shared" si="149"/>
        <v>0</v>
      </c>
      <c r="F2010" s="20">
        <v>130</v>
      </c>
      <c r="G2010" s="24" t="s">
        <v>8465</v>
      </c>
      <c r="H2010" s="20">
        <f t="shared" si="150"/>
        <v>0</v>
      </c>
      <c r="I2010" s="21">
        <f t="shared" si="152"/>
        <v>0</v>
      </c>
      <c r="J2010" s="21">
        <f t="shared" si="152"/>
        <v>0</v>
      </c>
    </row>
    <row r="2011" spans="1:10" x14ac:dyDescent="0.3">
      <c r="A2011" s="2" t="s">
        <v>1888</v>
      </c>
      <c r="B2011" s="1" t="s">
        <v>2152</v>
      </c>
      <c r="C2011" s="6" t="s">
        <v>4048</v>
      </c>
      <c r="D2011" s="6" t="s">
        <v>6208</v>
      </c>
      <c r="E2011" s="20">
        <f t="shared" si="149"/>
        <v>0</v>
      </c>
      <c r="F2011" s="20">
        <v>125</v>
      </c>
      <c r="G2011" s="24" t="s">
        <v>8466</v>
      </c>
      <c r="H2011" s="20">
        <f t="shared" si="150"/>
        <v>0</v>
      </c>
      <c r="I2011" s="21">
        <f t="shared" si="152"/>
        <v>0</v>
      </c>
      <c r="J2011" s="21">
        <f t="shared" si="152"/>
        <v>0</v>
      </c>
    </row>
    <row r="2012" spans="1:10" x14ac:dyDescent="0.3">
      <c r="A2012" s="2" t="s">
        <v>1889</v>
      </c>
      <c r="B2012" s="1" t="s">
        <v>2152</v>
      </c>
      <c r="C2012" s="6" t="s">
        <v>4049</v>
      </c>
      <c r="D2012" s="6" t="s">
        <v>6209</v>
      </c>
      <c r="E2012" s="20">
        <f t="shared" si="149"/>
        <v>0</v>
      </c>
      <c r="F2012" s="20">
        <v>100</v>
      </c>
      <c r="G2012" s="24" t="s">
        <v>8467</v>
      </c>
      <c r="H2012" s="20">
        <f t="shared" si="150"/>
        <v>0</v>
      </c>
      <c r="I2012" s="21">
        <f t="shared" si="152"/>
        <v>0</v>
      </c>
      <c r="J2012" s="21">
        <f t="shared" si="152"/>
        <v>0</v>
      </c>
    </row>
    <row r="2013" spans="1:10" x14ac:dyDescent="0.3">
      <c r="A2013" s="2" t="s">
        <v>1890</v>
      </c>
      <c r="B2013" s="1" t="s">
        <v>2152</v>
      </c>
      <c r="C2013" s="6" t="s">
        <v>4050</v>
      </c>
      <c r="D2013" s="6" t="s">
        <v>6210</v>
      </c>
      <c r="E2013" s="20">
        <f t="shared" si="149"/>
        <v>0</v>
      </c>
      <c r="F2013" s="20">
        <v>75</v>
      </c>
      <c r="G2013" s="24" t="s">
        <v>8468</v>
      </c>
      <c r="H2013" s="20">
        <f t="shared" si="150"/>
        <v>0</v>
      </c>
      <c r="I2013" s="21">
        <f t="shared" si="152"/>
        <v>0</v>
      </c>
      <c r="J2013" s="21">
        <f t="shared" si="152"/>
        <v>0</v>
      </c>
    </row>
    <row r="2014" spans="1:10" x14ac:dyDescent="0.3">
      <c r="A2014" s="2" t="s">
        <v>683</v>
      </c>
      <c r="B2014" s="1" t="s">
        <v>2152</v>
      </c>
      <c r="C2014" s="6" t="s">
        <v>4051</v>
      </c>
      <c r="D2014" s="6" t="s">
        <v>6211</v>
      </c>
      <c r="E2014" s="20">
        <f t="shared" si="149"/>
        <v>0</v>
      </c>
      <c r="F2014" s="20">
        <v>50</v>
      </c>
      <c r="G2014" s="24" t="s">
        <v>8469</v>
      </c>
      <c r="H2014" s="20">
        <f t="shared" si="150"/>
        <v>0</v>
      </c>
      <c r="I2014" s="21">
        <f t="shared" si="152"/>
        <v>0</v>
      </c>
      <c r="J2014" s="21">
        <f t="shared" si="152"/>
        <v>0</v>
      </c>
    </row>
    <row r="2015" spans="1:10" x14ac:dyDescent="0.3">
      <c r="A2015" s="2" t="s">
        <v>1891</v>
      </c>
      <c r="B2015" s="1" t="s">
        <v>2152</v>
      </c>
      <c r="C2015" s="6" t="s">
        <v>4052</v>
      </c>
      <c r="D2015" s="6" t="s">
        <v>6212</v>
      </c>
      <c r="E2015" s="20">
        <f t="shared" si="149"/>
        <v>0</v>
      </c>
      <c r="F2015" s="20">
        <v>45</v>
      </c>
      <c r="G2015" s="24" t="s">
        <v>8470</v>
      </c>
      <c r="H2015" s="20">
        <f t="shared" si="150"/>
        <v>0</v>
      </c>
      <c r="I2015" s="21">
        <f t="shared" si="152"/>
        <v>0</v>
      </c>
      <c r="J2015" s="21">
        <f t="shared" si="152"/>
        <v>0</v>
      </c>
    </row>
    <row r="2016" spans="1:10" x14ac:dyDescent="0.3">
      <c r="A2016" s="2" t="s">
        <v>491</v>
      </c>
      <c r="B2016" s="1" t="s">
        <v>2152</v>
      </c>
      <c r="C2016" s="6" t="s">
        <v>3367</v>
      </c>
      <c r="D2016" s="6" t="s">
        <v>5528</v>
      </c>
      <c r="E2016" s="20">
        <f t="shared" si="149"/>
        <v>0</v>
      </c>
      <c r="F2016" s="20">
        <v>40</v>
      </c>
      <c r="G2016" s="24" t="s">
        <v>8471</v>
      </c>
      <c r="H2016" s="20">
        <f t="shared" si="150"/>
        <v>0</v>
      </c>
      <c r="I2016" s="21">
        <f t="shared" si="152"/>
        <v>0</v>
      </c>
      <c r="J2016" s="21">
        <f t="shared" si="152"/>
        <v>0</v>
      </c>
    </row>
    <row r="2017" spans="1:10" x14ac:dyDescent="0.3">
      <c r="A2017" s="2" t="s">
        <v>1219</v>
      </c>
      <c r="B2017" s="1" t="s">
        <v>2152</v>
      </c>
      <c r="C2017" s="6" t="s">
        <v>3366</v>
      </c>
      <c r="D2017" s="6" t="s">
        <v>5527</v>
      </c>
      <c r="E2017" s="20">
        <f t="shared" si="149"/>
        <v>0</v>
      </c>
      <c r="F2017" s="20">
        <v>35</v>
      </c>
      <c r="G2017" s="24" t="s">
        <v>8472</v>
      </c>
      <c r="H2017" s="20">
        <f t="shared" si="150"/>
        <v>0</v>
      </c>
      <c r="I2017" s="21">
        <f t="shared" si="152"/>
        <v>0</v>
      </c>
      <c r="J2017" s="21">
        <f t="shared" si="152"/>
        <v>0</v>
      </c>
    </row>
    <row r="2018" spans="1:10" x14ac:dyDescent="0.3">
      <c r="A2018" s="2" t="s">
        <v>1892</v>
      </c>
      <c r="B2018" s="1" t="s">
        <v>2152</v>
      </c>
      <c r="C2018" s="6" t="s">
        <v>4053</v>
      </c>
      <c r="D2018" s="6" t="s">
        <v>6213</v>
      </c>
      <c r="E2018" s="20">
        <f t="shared" si="149"/>
        <v>0</v>
      </c>
      <c r="F2018" s="20">
        <v>100</v>
      </c>
      <c r="G2018" s="24" t="s">
        <v>8473</v>
      </c>
      <c r="H2018" s="20">
        <f t="shared" si="150"/>
        <v>0</v>
      </c>
      <c r="I2018" s="21">
        <v>12</v>
      </c>
      <c r="J2018" s="21">
        <v>12</v>
      </c>
    </row>
    <row r="2019" spans="1:10" x14ac:dyDescent="0.3">
      <c r="A2019" s="2" t="s">
        <v>836</v>
      </c>
      <c r="B2019" s="1" t="s">
        <v>2152</v>
      </c>
      <c r="C2019" s="6" t="s">
        <v>4054</v>
      </c>
      <c r="D2019" s="6" t="s">
        <v>6214</v>
      </c>
      <c r="E2019" s="20">
        <f t="shared" si="149"/>
        <v>0</v>
      </c>
      <c r="F2019" s="20">
        <v>150</v>
      </c>
      <c r="G2019" s="24" t="s">
        <v>8474</v>
      </c>
      <c r="H2019" s="20">
        <f t="shared" si="150"/>
        <v>0</v>
      </c>
      <c r="I2019" s="21">
        <v>15</v>
      </c>
      <c r="J2019" s="21">
        <v>15</v>
      </c>
    </row>
    <row r="2020" spans="1:10" x14ac:dyDescent="0.3">
      <c r="A2020" s="2" t="s">
        <v>1893</v>
      </c>
      <c r="B2020" s="1" t="s">
        <v>2152</v>
      </c>
      <c r="C2020" s="6" t="s">
        <v>4055</v>
      </c>
      <c r="D2020" s="6" t="s">
        <v>6215</v>
      </c>
      <c r="E2020" s="20">
        <f t="shared" si="149"/>
        <v>0</v>
      </c>
      <c r="F2020" s="20">
        <v>200</v>
      </c>
      <c r="G2020" s="24" t="s">
        <v>8475</v>
      </c>
      <c r="H2020" s="20">
        <f t="shared" si="150"/>
        <v>0</v>
      </c>
      <c r="I2020" s="21">
        <v>17</v>
      </c>
      <c r="J2020" s="21">
        <v>16</v>
      </c>
    </row>
    <row r="2021" spans="1:10" x14ac:dyDescent="0.3">
      <c r="A2021" s="2" t="s">
        <v>1894</v>
      </c>
      <c r="B2021" s="1" t="s">
        <v>2152</v>
      </c>
      <c r="C2021" s="6" t="s">
        <v>4056</v>
      </c>
      <c r="D2021" s="6" t="s">
        <v>6216</v>
      </c>
      <c r="E2021" s="20">
        <f t="shared" si="149"/>
        <v>0</v>
      </c>
      <c r="F2021" s="20">
        <v>250</v>
      </c>
      <c r="G2021" s="24" t="s">
        <v>8476</v>
      </c>
      <c r="H2021" s="20">
        <f t="shared" si="150"/>
        <v>0</v>
      </c>
      <c r="I2021" s="21">
        <v>20</v>
      </c>
      <c r="J2021" s="21">
        <v>20</v>
      </c>
    </row>
    <row r="2022" spans="1:10" ht="27.6" x14ac:dyDescent="0.3">
      <c r="A2022" s="2" t="s">
        <v>1895</v>
      </c>
      <c r="B2022" s="1" t="s">
        <v>2152</v>
      </c>
      <c r="C2022" s="6" t="s">
        <v>4057</v>
      </c>
      <c r="D2022" s="6" t="s">
        <v>6217</v>
      </c>
      <c r="E2022" s="20">
        <f t="shared" si="149"/>
        <v>0</v>
      </c>
      <c r="F2022" s="20"/>
      <c r="G2022" s="24" t="s">
        <v>8477</v>
      </c>
      <c r="H2022" s="20">
        <f t="shared" si="150"/>
        <v>0</v>
      </c>
      <c r="I2022" s="21">
        <f t="shared" si="152"/>
        <v>0</v>
      </c>
      <c r="J2022" s="21">
        <f t="shared" si="152"/>
        <v>0</v>
      </c>
    </row>
    <row r="2023" spans="1:10" x14ac:dyDescent="0.3">
      <c r="A2023" s="2" t="s">
        <v>1896</v>
      </c>
      <c r="B2023" s="1" t="s">
        <v>2152</v>
      </c>
      <c r="C2023" s="6" t="s">
        <v>4058</v>
      </c>
      <c r="D2023" s="6" t="s">
        <v>6218</v>
      </c>
      <c r="E2023" s="20">
        <f>H2023*1.8*1.4</f>
        <v>0</v>
      </c>
      <c r="F2023" s="20">
        <v>105</v>
      </c>
      <c r="G2023" s="24" t="s">
        <v>8478</v>
      </c>
      <c r="H2023" s="20">
        <f>K2023*1.8*1.4</f>
        <v>0</v>
      </c>
      <c r="I2023" s="21">
        <f t="shared" si="152"/>
        <v>0</v>
      </c>
      <c r="J2023" s="21">
        <f t="shared" si="152"/>
        <v>0</v>
      </c>
    </row>
    <row r="2024" spans="1:10" x14ac:dyDescent="0.3">
      <c r="A2024" s="2" t="s">
        <v>1897</v>
      </c>
      <c r="B2024" s="1" t="s">
        <v>2152</v>
      </c>
      <c r="C2024" s="6" t="s">
        <v>4059</v>
      </c>
      <c r="D2024" s="6" t="s">
        <v>6219</v>
      </c>
      <c r="E2024" s="20">
        <f t="shared" si="149"/>
        <v>0</v>
      </c>
      <c r="F2024" s="20">
        <v>118</v>
      </c>
      <c r="G2024" s="24" t="s">
        <v>8479</v>
      </c>
      <c r="H2024" s="20">
        <f t="shared" si="150"/>
        <v>0</v>
      </c>
      <c r="I2024" s="21">
        <f t="shared" si="152"/>
        <v>0</v>
      </c>
      <c r="J2024" s="21">
        <f t="shared" si="152"/>
        <v>0</v>
      </c>
    </row>
    <row r="2025" spans="1:10" x14ac:dyDescent="0.3">
      <c r="A2025" s="2" t="s">
        <v>1898</v>
      </c>
      <c r="B2025" s="1" t="s">
        <v>2152</v>
      </c>
      <c r="C2025" s="6" t="s">
        <v>4060</v>
      </c>
      <c r="D2025" s="6" t="s">
        <v>6220</v>
      </c>
      <c r="E2025" s="20">
        <f t="shared" si="149"/>
        <v>0</v>
      </c>
      <c r="F2025" s="20">
        <v>137</v>
      </c>
      <c r="G2025" s="24" t="s">
        <v>8480</v>
      </c>
      <c r="H2025" s="20">
        <f t="shared" si="150"/>
        <v>0</v>
      </c>
      <c r="I2025" s="21">
        <f t="shared" si="152"/>
        <v>0</v>
      </c>
      <c r="J2025" s="21">
        <f t="shared" si="152"/>
        <v>0</v>
      </c>
    </row>
    <row r="2026" spans="1:10" x14ac:dyDescent="0.3">
      <c r="A2026" s="2" t="s">
        <v>1899</v>
      </c>
      <c r="B2026" s="1" t="s">
        <v>2152</v>
      </c>
      <c r="C2026" s="6" t="s">
        <v>4061</v>
      </c>
      <c r="D2026" s="6" t="s">
        <v>6221</v>
      </c>
      <c r="E2026" s="20">
        <f t="shared" si="149"/>
        <v>0</v>
      </c>
      <c r="F2026" s="20">
        <v>166</v>
      </c>
      <c r="G2026" s="24" t="s">
        <v>8481</v>
      </c>
      <c r="H2026" s="20">
        <f t="shared" si="150"/>
        <v>0</v>
      </c>
      <c r="I2026" s="21">
        <f t="shared" si="152"/>
        <v>0</v>
      </c>
      <c r="J2026" s="21">
        <f t="shared" si="152"/>
        <v>0</v>
      </c>
    </row>
    <row r="2027" spans="1:10" x14ac:dyDescent="0.3">
      <c r="A2027" s="2" t="s">
        <v>1900</v>
      </c>
      <c r="B2027" s="1" t="s">
        <v>2152</v>
      </c>
      <c r="C2027" s="6" t="s">
        <v>4062</v>
      </c>
      <c r="D2027" s="6" t="s">
        <v>6222</v>
      </c>
      <c r="E2027" s="20">
        <f t="shared" si="149"/>
        <v>0</v>
      </c>
      <c r="F2027" s="20">
        <v>206</v>
      </c>
      <c r="G2027" s="24" t="s">
        <v>8482</v>
      </c>
      <c r="H2027" s="20">
        <f t="shared" si="150"/>
        <v>0</v>
      </c>
      <c r="I2027" s="21">
        <f t="shared" si="152"/>
        <v>0</v>
      </c>
      <c r="J2027" s="21">
        <f t="shared" si="152"/>
        <v>0</v>
      </c>
    </row>
    <row r="2028" spans="1:10" x14ac:dyDescent="0.3">
      <c r="A2028" s="2" t="s">
        <v>1901</v>
      </c>
      <c r="B2028" s="1" t="s">
        <v>2152</v>
      </c>
      <c r="C2028" s="6" t="s">
        <v>4063</v>
      </c>
      <c r="D2028" s="6" t="s">
        <v>6223</v>
      </c>
      <c r="E2028" s="20">
        <f t="shared" si="149"/>
        <v>0</v>
      </c>
      <c r="F2028" s="20">
        <v>35</v>
      </c>
      <c r="G2028" s="24" t="s">
        <v>8483</v>
      </c>
      <c r="H2028" s="20">
        <f t="shared" si="150"/>
        <v>0</v>
      </c>
      <c r="I2028" s="21">
        <f t="shared" si="152"/>
        <v>0</v>
      </c>
      <c r="J2028" s="21">
        <f t="shared" si="152"/>
        <v>0</v>
      </c>
    </row>
    <row r="2029" spans="1:10" x14ac:dyDescent="0.3">
      <c r="A2029" s="2" t="s">
        <v>1902</v>
      </c>
      <c r="B2029" s="1" t="s">
        <v>2152</v>
      </c>
      <c r="C2029" s="6" t="s">
        <v>4064</v>
      </c>
      <c r="D2029" s="6" t="s">
        <v>6224</v>
      </c>
      <c r="E2029" s="20">
        <f t="shared" si="149"/>
        <v>0</v>
      </c>
      <c r="F2029" s="20">
        <v>260</v>
      </c>
      <c r="G2029" s="24" t="s">
        <v>8484</v>
      </c>
      <c r="H2029" s="20">
        <f t="shared" si="150"/>
        <v>0</v>
      </c>
      <c r="I2029" s="21">
        <f t="shared" si="152"/>
        <v>0</v>
      </c>
      <c r="J2029" s="21">
        <f t="shared" si="152"/>
        <v>0</v>
      </c>
    </row>
    <row r="2030" spans="1:10" x14ac:dyDescent="0.3">
      <c r="A2030" s="2" t="s">
        <v>1903</v>
      </c>
      <c r="B2030" s="1" t="s">
        <v>2152</v>
      </c>
      <c r="C2030" s="6" t="s">
        <v>4065</v>
      </c>
      <c r="D2030" s="6" t="s">
        <v>6225</v>
      </c>
      <c r="E2030" s="20">
        <f t="shared" si="149"/>
        <v>0</v>
      </c>
      <c r="F2030" s="20">
        <v>300</v>
      </c>
      <c r="G2030" s="24" t="s">
        <v>8485</v>
      </c>
      <c r="H2030" s="20">
        <f t="shared" si="150"/>
        <v>0</v>
      </c>
      <c r="I2030" s="21">
        <f t="shared" si="152"/>
        <v>0</v>
      </c>
      <c r="J2030" s="21">
        <f t="shared" si="152"/>
        <v>0</v>
      </c>
    </row>
    <row r="2031" spans="1:10" x14ac:dyDescent="0.3">
      <c r="A2031" s="2" t="s">
        <v>1904</v>
      </c>
      <c r="B2031" s="1" t="s">
        <v>2152</v>
      </c>
      <c r="C2031" s="6" t="s">
        <v>4066</v>
      </c>
      <c r="D2031" s="6" t="s">
        <v>6226</v>
      </c>
      <c r="E2031" s="20">
        <f t="shared" si="149"/>
        <v>0</v>
      </c>
      <c r="F2031" s="20">
        <v>550</v>
      </c>
      <c r="G2031" s="24" t="s">
        <v>8486</v>
      </c>
      <c r="H2031" s="20">
        <f t="shared" si="150"/>
        <v>0</v>
      </c>
      <c r="I2031" s="21">
        <f t="shared" si="152"/>
        <v>0</v>
      </c>
      <c r="J2031" s="21">
        <f t="shared" si="152"/>
        <v>0</v>
      </c>
    </row>
    <row r="2032" spans="1:10" x14ac:dyDescent="0.3">
      <c r="A2032" s="2" t="s">
        <v>1905</v>
      </c>
      <c r="B2032" s="1" t="s">
        <v>2152</v>
      </c>
      <c r="C2032" s="6" t="s">
        <v>4067</v>
      </c>
      <c r="D2032" s="6" t="s">
        <v>6227</v>
      </c>
      <c r="E2032" s="20">
        <f t="shared" si="149"/>
        <v>0</v>
      </c>
      <c r="F2032" s="20">
        <v>155</v>
      </c>
      <c r="G2032" s="24" t="s">
        <v>8487</v>
      </c>
      <c r="H2032" s="20">
        <f t="shared" si="150"/>
        <v>0</v>
      </c>
      <c r="I2032" s="21">
        <f t="shared" si="152"/>
        <v>0</v>
      </c>
      <c r="J2032" s="21">
        <f t="shared" si="152"/>
        <v>0</v>
      </c>
    </row>
    <row r="2033" spans="1:10" x14ac:dyDescent="0.3">
      <c r="A2033" s="2" t="s">
        <v>1906</v>
      </c>
      <c r="B2033" s="1" t="s">
        <v>2152</v>
      </c>
      <c r="C2033" s="6" t="s">
        <v>4068</v>
      </c>
      <c r="D2033" s="6" t="s">
        <v>6228</v>
      </c>
      <c r="E2033" s="20">
        <f>H2033*1.8*1.4</f>
        <v>0</v>
      </c>
      <c r="F2033" s="20">
        <v>1500</v>
      </c>
      <c r="G2033" s="24" t="s">
        <v>8488</v>
      </c>
      <c r="H2033" s="20">
        <f>K2033*1.8*1.4</f>
        <v>0</v>
      </c>
      <c r="I2033" s="21">
        <f t="shared" si="152"/>
        <v>0</v>
      </c>
      <c r="J2033" s="21">
        <f t="shared" si="152"/>
        <v>0</v>
      </c>
    </row>
    <row r="2034" spans="1:10" x14ac:dyDescent="0.3">
      <c r="A2034" s="2" t="s">
        <v>1907</v>
      </c>
      <c r="B2034" s="1" t="s">
        <v>2152</v>
      </c>
      <c r="C2034" s="6" t="s">
        <v>4069</v>
      </c>
      <c r="D2034" s="6" t="s">
        <v>6229</v>
      </c>
      <c r="E2034" s="20">
        <f t="shared" si="149"/>
        <v>0</v>
      </c>
      <c r="F2034" s="20"/>
      <c r="G2034" s="24" t="s">
        <v>8489</v>
      </c>
      <c r="H2034" s="20">
        <f t="shared" si="150"/>
        <v>0</v>
      </c>
      <c r="I2034" s="21">
        <f t="shared" si="152"/>
        <v>0</v>
      </c>
      <c r="J2034" s="21">
        <f t="shared" si="152"/>
        <v>0</v>
      </c>
    </row>
    <row r="2035" spans="1:10" x14ac:dyDescent="0.3">
      <c r="A2035" s="2" t="s">
        <v>1908</v>
      </c>
      <c r="B2035" s="1" t="s">
        <v>2152</v>
      </c>
      <c r="C2035" s="6" t="s">
        <v>4070</v>
      </c>
      <c r="D2035" s="6" t="s">
        <v>6230</v>
      </c>
      <c r="E2035" s="20">
        <f t="shared" si="149"/>
        <v>0</v>
      </c>
      <c r="F2035" s="20"/>
      <c r="G2035" s="24" t="s">
        <v>8490</v>
      </c>
      <c r="H2035" s="20">
        <f t="shared" si="150"/>
        <v>0</v>
      </c>
      <c r="I2035" s="21">
        <f t="shared" si="152"/>
        <v>0</v>
      </c>
      <c r="J2035" s="21">
        <f t="shared" si="152"/>
        <v>0</v>
      </c>
    </row>
    <row r="2036" spans="1:10" x14ac:dyDescent="0.3">
      <c r="A2036" s="2" t="s">
        <v>1909</v>
      </c>
      <c r="B2036" s="1" t="s">
        <v>2152</v>
      </c>
      <c r="C2036" s="6" t="s">
        <v>4071</v>
      </c>
      <c r="D2036" s="6" t="s">
        <v>6231</v>
      </c>
      <c r="E2036" s="20">
        <f t="shared" si="149"/>
        <v>0</v>
      </c>
      <c r="F2036" s="20"/>
      <c r="G2036" s="24" t="s">
        <v>8491</v>
      </c>
      <c r="H2036" s="20">
        <f t="shared" si="150"/>
        <v>0</v>
      </c>
      <c r="I2036" s="21">
        <f t="shared" si="152"/>
        <v>0</v>
      </c>
      <c r="J2036" s="21">
        <f t="shared" si="152"/>
        <v>0</v>
      </c>
    </row>
    <row r="2037" spans="1:10" x14ac:dyDescent="0.3">
      <c r="A2037" s="2" t="s">
        <v>1910</v>
      </c>
      <c r="B2037" s="1" t="s">
        <v>2152</v>
      </c>
      <c r="C2037" s="6" t="s">
        <v>4072</v>
      </c>
      <c r="D2037" s="6" t="s">
        <v>6232</v>
      </c>
      <c r="E2037" s="20">
        <f t="shared" si="149"/>
        <v>0</v>
      </c>
      <c r="F2037" s="20"/>
      <c r="G2037" s="24" t="s">
        <v>8492</v>
      </c>
      <c r="H2037" s="20">
        <f t="shared" si="150"/>
        <v>0</v>
      </c>
      <c r="I2037" s="21">
        <f t="shared" si="152"/>
        <v>0</v>
      </c>
      <c r="J2037" s="21">
        <f t="shared" si="152"/>
        <v>0</v>
      </c>
    </row>
    <row r="2038" spans="1:10" x14ac:dyDescent="0.3">
      <c r="A2038" s="2" t="s">
        <v>1911</v>
      </c>
      <c r="B2038" s="1" t="s">
        <v>2152</v>
      </c>
      <c r="C2038" s="6" t="s">
        <v>4073</v>
      </c>
      <c r="D2038" s="6" t="s">
        <v>6233</v>
      </c>
      <c r="E2038" s="20">
        <f t="shared" si="149"/>
        <v>0</v>
      </c>
      <c r="F2038" s="20"/>
      <c r="G2038" s="24" t="s">
        <v>8493</v>
      </c>
      <c r="H2038" s="20">
        <f t="shared" si="150"/>
        <v>0</v>
      </c>
      <c r="I2038" s="21">
        <f t="shared" si="152"/>
        <v>0</v>
      </c>
      <c r="J2038" s="21">
        <f t="shared" si="152"/>
        <v>0</v>
      </c>
    </row>
    <row r="2039" spans="1:10" x14ac:dyDescent="0.3">
      <c r="A2039" s="2" t="s">
        <v>1912</v>
      </c>
      <c r="B2039" s="1" t="s">
        <v>2152</v>
      </c>
      <c r="C2039" s="6" t="s">
        <v>4074</v>
      </c>
      <c r="D2039" s="6" t="s">
        <v>6234</v>
      </c>
      <c r="E2039" s="20">
        <f t="shared" si="149"/>
        <v>0</v>
      </c>
      <c r="F2039" s="20"/>
      <c r="G2039" s="24" t="s">
        <v>8494</v>
      </c>
      <c r="H2039" s="20">
        <f t="shared" si="150"/>
        <v>0</v>
      </c>
      <c r="I2039" s="21">
        <f t="shared" si="152"/>
        <v>0</v>
      </c>
      <c r="J2039" s="21">
        <f t="shared" si="152"/>
        <v>0</v>
      </c>
    </row>
    <row r="2040" spans="1:10" x14ac:dyDescent="0.3">
      <c r="A2040" s="2" t="s">
        <v>1913</v>
      </c>
      <c r="B2040" s="1" t="s">
        <v>2152</v>
      </c>
      <c r="C2040" s="6" t="s">
        <v>4075</v>
      </c>
      <c r="D2040" s="6" t="s">
        <v>6235</v>
      </c>
      <c r="E2040" s="20">
        <f t="shared" si="149"/>
        <v>0</v>
      </c>
      <c r="F2040" s="20"/>
      <c r="G2040" s="24" t="s">
        <v>8495</v>
      </c>
      <c r="H2040" s="20">
        <f t="shared" si="150"/>
        <v>0</v>
      </c>
      <c r="I2040" s="21">
        <f t="shared" si="152"/>
        <v>0</v>
      </c>
      <c r="J2040" s="21">
        <f t="shared" si="152"/>
        <v>0</v>
      </c>
    </row>
    <row r="2041" spans="1:10" x14ac:dyDescent="0.3">
      <c r="A2041" s="2" t="s">
        <v>1914</v>
      </c>
      <c r="B2041" s="1" t="s">
        <v>2152</v>
      </c>
      <c r="C2041" s="6" t="s">
        <v>4076</v>
      </c>
      <c r="D2041" s="6" t="s">
        <v>6236</v>
      </c>
      <c r="E2041" s="20">
        <f t="shared" si="149"/>
        <v>0</v>
      </c>
      <c r="F2041" s="20"/>
      <c r="G2041" s="24" t="s">
        <v>8496</v>
      </c>
      <c r="H2041" s="20">
        <f t="shared" si="150"/>
        <v>0</v>
      </c>
      <c r="I2041" s="21">
        <f t="shared" si="152"/>
        <v>0</v>
      </c>
      <c r="J2041" s="21">
        <f t="shared" si="152"/>
        <v>0</v>
      </c>
    </row>
    <row r="2042" spans="1:10" x14ac:dyDescent="0.3">
      <c r="A2042" s="2" t="s">
        <v>1915</v>
      </c>
      <c r="B2042" s="1" t="s">
        <v>2152</v>
      </c>
      <c r="C2042" s="6" t="s">
        <v>4077</v>
      </c>
      <c r="D2042" s="6" t="s">
        <v>6237</v>
      </c>
      <c r="E2042" s="20">
        <f t="shared" si="149"/>
        <v>0</v>
      </c>
      <c r="F2042" s="20"/>
      <c r="G2042" s="24" t="s">
        <v>8497</v>
      </c>
      <c r="H2042" s="20">
        <f t="shared" si="150"/>
        <v>0</v>
      </c>
      <c r="I2042" s="21">
        <f t="shared" si="152"/>
        <v>0</v>
      </c>
      <c r="J2042" s="21">
        <f t="shared" si="152"/>
        <v>0</v>
      </c>
    </row>
    <row r="2043" spans="1:10" x14ac:dyDescent="0.3">
      <c r="A2043" s="2" t="s">
        <v>1916</v>
      </c>
      <c r="B2043" s="1" t="s">
        <v>2152</v>
      </c>
      <c r="C2043" s="6" t="s">
        <v>4078</v>
      </c>
      <c r="D2043" s="6" t="s">
        <v>6238</v>
      </c>
      <c r="E2043" s="20">
        <f t="shared" si="149"/>
        <v>0</v>
      </c>
      <c r="F2043" s="20"/>
      <c r="G2043" s="24" t="s">
        <v>8498</v>
      </c>
      <c r="H2043" s="20">
        <f t="shared" si="150"/>
        <v>0</v>
      </c>
      <c r="I2043" s="21">
        <f t="shared" si="152"/>
        <v>0</v>
      </c>
      <c r="J2043" s="21">
        <f t="shared" si="152"/>
        <v>0</v>
      </c>
    </row>
    <row r="2044" spans="1:10" x14ac:dyDescent="0.3">
      <c r="A2044" s="2" t="s">
        <v>1917</v>
      </c>
      <c r="B2044" s="1" t="s">
        <v>2152</v>
      </c>
      <c r="C2044" s="6" t="s">
        <v>4079</v>
      </c>
      <c r="D2044" s="6" t="s">
        <v>6239</v>
      </c>
      <c r="E2044" s="20">
        <f t="shared" si="149"/>
        <v>0</v>
      </c>
      <c r="F2044" s="20"/>
      <c r="G2044" s="24" t="s">
        <v>8499</v>
      </c>
      <c r="H2044" s="20">
        <f t="shared" si="150"/>
        <v>0</v>
      </c>
      <c r="I2044" s="21">
        <f t="shared" si="152"/>
        <v>0</v>
      </c>
      <c r="J2044" s="21">
        <f t="shared" si="152"/>
        <v>0</v>
      </c>
    </row>
    <row r="2045" spans="1:10" x14ac:dyDescent="0.3">
      <c r="A2045" s="2" t="s">
        <v>1918</v>
      </c>
      <c r="B2045" s="1" t="s">
        <v>2152</v>
      </c>
      <c r="C2045" s="6" t="s">
        <v>4080</v>
      </c>
      <c r="D2045" s="6" t="s">
        <v>6240</v>
      </c>
      <c r="E2045" s="20">
        <f t="shared" si="149"/>
        <v>0</v>
      </c>
      <c r="F2045" s="20">
        <v>220</v>
      </c>
      <c r="G2045" s="24" t="s">
        <v>8500</v>
      </c>
      <c r="H2045" s="20">
        <f t="shared" si="150"/>
        <v>0</v>
      </c>
      <c r="I2045" s="21">
        <f t="shared" si="152"/>
        <v>0</v>
      </c>
      <c r="J2045" s="21">
        <f t="shared" si="152"/>
        <v>0</v>
      </c>
    </row>
    <row r="2046" spans="1:10" x14ac:dyDescent="0.3">
      <c r="A2046" s="2" t="s">
        <v>1919</v>
      </c>
      <c r="B2046" s="1" t="s">
        <v>2152</v>
      </c>
      <c r="C2046" s="6" t="s">
        <v>4081</v>
      </c>
      <c r="D2046" s="6" t="s">
        <v>6241</v>
      </c>
      <c r="E2046" s="20">
        <f t="shared" si="149"/>
        <v>0</v>
      </c>
      <c r="F2046" s="20"/>
      <c r="G2046" s="24" t="s">
        <v>8501</v>
      </c>
      <c r="H2046" s="20">
        <f t="shared" si="150"/>
        <v>0</v>
      </c>
      <c r="I2046" s="21">
        <f t="shared" si="152"/>
        <v>0</v>
      </c>
      <c r="J2046" s="21">
        <f t="shared" si="152"/>
        <v>0</v>
      </c>
    </row>
    <row r="2047" spans="1:10" x14ac:dyDescent="0.3">
      <c r="A2047" s="2" t="s">
        <v>1920</v>
      </c>
      <c r="B2047" s="1" t="s">
        <v>2152</v>
      </c>
      <c r="C2047" s="6" t="s">
        <v>4082</v>
      </c>
      <c r="D2047" s="6" t="s">
        <v>6242</v>
      </c>
      <c r="E2047" s="20">
        <f t="shared" si="149"/>
        <v>0</v>
      </c>
      <c r="F2047" s="20"/>
      <c r="G2047" s="24" t="s">
        <v>8502</v>
      </c>
      <c r="H2047" s="20">
        <f t="shared" si="150"/>
        <v>0</v>
      </c>
      <c r="I2047" s="21">
        <f t="shared" si="152"/>
        <v>0</v>
      </c>
      <c r="J2047" s="21">
        <f t="shared" si="152"/>
        <v>0</v>
      </c>
    </row>
    <row r="2048" spans="1:10" x14ac:dyDescent="0.3">
      <c r="A2048" s="2" t="s">
        <v>1921</v>
      </c>
      <c r="B2048" s="1" t="s">
        <v>2152</v>
      </c>
      <c r="C2048" s="6" t="s">
        <v>4083</v>
      </c>
      <c r="D2048" s="6" t="s">
        <v>6243</v>
      </c>
      <c r="E2048" s="20">
        <f t="shared" si="149"/>
        <v>0</v>
      </c>
      <c r="F2048" s="20">
        <v>203</v>
      </c>
      <c r="G2048" s="24" t="s">
        <v>8503</v>
      </c>
      <c r="H2048" s="20">
        <f t="shared" si="150"/>
        <v>0</v>
      </c>
      <c r="I2048" s="21">
        <v>13</v>
      </c>
      <c r="J2048" s="21">
        <v>13</v>
      </c>
    </row>
    <row r="2049" spans="1:10" x14ac:dyDescent="0.3">
      <c r="A2049" s="2" t="s">
        <v>1922</v>
      </c>
      <c r="B2049" s="1" t="s">
        <v>2152</v>
      </c>
      <c r="C2049" s="6" t="s">
        <v>4084</v>
      </c>
      <c r="D2049" s="6" t="s">
        <v>6244</v>
      </c>
      <c r="E2049" s="20">
        <f t="shared" si="149"/>
        <v>0</v>
      </c>
      <c r="F2049" s="20">
        <v>235</v>
      </c>
      <c r="G2049" s="24" t="s">
        <v>8504</v>
      </c>
      <c r="H2049" s="20">
        <f t="shared" si="150"/>
        <v>0</v>
      </c>
      <c r="I2049" s="21">
        <v>15</v>
      </c>
      <c r="J2049" s="21">
        <v>15</v>
      </c>
    </row>
    <row r="2050" spans="1:10" x14ac:dyDescent="0.3">
      <c r="A2050" s="2" t="s">
        <v>1923</v>
      </c>
      <c r="B2050" s="1" t="s">
        <v>2152</v>
      </c>
      <c r="C2050" s="6" t="s">
        <v>4085</v>
      </c>
      <c r="D2050" s="6" t="s">
        <v>6245</v>
      </c>
      <c r="E2050" s="20">
        <f t="shared" si="149"/>
        <v>0</v>
      </c>
      <c r="F2050" s="20">
        <v>288</v>
      </c>
      <c r="G2050" s="24" t="s">
        <v>8505</v>
      </c>
      <c r="H2050" s="20">
        <f t="shared" si="150"/>
        <v>0</v>
      </c>
      <c r="I2050" s="21">
        <v>16</v>
      </c>
      <c r="J2050" s="21">
        <v>16</v>
      </c>
    </row>
    <row r="2051" spans="1:10" x14ac:dyDescent="0.3">
      <c r="A2051" s="2" t="s">
        <v>1924</v>
      </c>
      <c r="B2051" s="1" t="s">
        <v>2152</v>
      </c>
      <c r="C2051" s="6" t="s">
        <v>4086</v>
      </c>
      <c r="D2051" s="6" t="s">
        <v>6246</v>
      </c>
      <c r="E2051" s="20">
        <f t="shared" si="149"/>
        <v>0</v>
      </c>
      <c r="F2051" s="20">
        <v>130</v>
      </c>
      <c r="G2051" s="24" t="s">
        <v>8506</v>
      </c>
      <c r="H2051" s="20">
        <f t="shared" si="150"/>
        <v>0</v>
      </c>
      <c r="I2051" s="21">
        <f t="shared" ref="I2051:J2103" si="153">W2051</f>
        <v>0</v>
      </c>
      <c r="J2051" s="21">
        <f t="shared" si="153"/>
        <v>0</v>
      </c>
    </row>
    <row r="2052" spans="1:10" x14ac:dyDescent="0.3">
      <c r="A2052" s="2" t="s">
        <v>1925</v>
      </c>
      <c r="B2052" s="1" t="s">
        <v>2152</v>
      </c>
      <c r="C2052" s="6" t="s">
        <v>4087</v>
      </c>
      <c r="D2052" s="6" t="s">
        <v>6247</v>
      </c>
      <c r="E2052" s="20">
        <f t="shared" si="149"/>
        <v>0</v>
      </c>
      <c r="F2052" s="20">
        <v>145</v>
      </c>
      <c r="G2052" s="24" t="s">
        <v>8507</v>
      </c>
      <c r="H2052" s="20">
        <f t="shared" si="150"/>
        <v>0</v>
      </c>
      <c r="I2052" s="21">
        <f t="shared" si="153"/>
        <v>0</v>
      </c>
      <c r="J2052" s="21">
        <f t="shared" si="153"/>
        <v>0</v>
      </c>
    </row>
    <row r="2053" spans="1:10" x14ac:dyDescent="0.3">
      <c r="A2053" s="2" t="s">
        <v>1926</v>
      </c>
      <c r="B2053" s="1" t="s">
        <v>2152</v>
      </c>
      <c r="C2053" s="6" t="s">
        <v>4088</v>
      </c>
      <c r="D2053" s="6" t="s">
        <v>6248</v>
      </c>
      <c r="E2053" s="20">
        <f t="shared" si="149"/>
        <v>0</v>
      </c>
      <c r="F2053" s="20">
        <v>165</v>
      </c>
      <c r="G2053" s="24" t="s">
        <v>8508</v>
      </c>
      <c r="H2053" s="20">
        <f t="shared" si="150"/>
        <v>0</v>
      </c>
      <c r="I2053" s="21">
        <f t="shared" si="153"/>
        <v>0</v>
      </c>
      <c r="J2053" s="21">
        <f t="shared" si="153"/>
        <v>0</v>
      </c>
    </row>
    <row r="2054" spans="1:10" x14ac:dyDescent="0.3">
      <c r="A2054" s="2" t="s">
        <v>1927</v>
      </c>
      <c r="B2054" s="1" t="s">
        <v>2152</v>
      </c>
      <c r="C2054" s="6" t="s">
        <v>4089</v>
      </c>
      <c r="D2054" s="6" t="s">
        <v>6249</v>
      </c>
      <c r="E2054" s="20">
        <f>H2054*1.8*1.4</f>
        <v>0</v>
      </c>
      <c r="F2054" s="20">
        <v>310</v>
      </c>
      <c r="G2054" s="24" t="s">
        <v>8509</v>
      </c>
      <c r="H2054" s="20">
        <f>K2054*1.8*1.4</f>
        <v>0</v>
      </c>
      <c r="I2054" s="21">
        <f t="shared" si="153"/>
        <v>0</v>
      </c>
      <c r="J2054" s="21">
        <f t="shared" si="153"/>
        <v>0</v>
      </c>
    </row>
    <row r="2055" spans="1:10" x14ac:dyDescent="0.3">
      <c r="A2055" s="2" t="s">
        <v>1928</v>
      </c>
      <c r="B2055" s="1" t="s">
        <v>2152</v>
      </c>
      <c r="C2055" s="6" t="s">
        <v>4090</v>
      </c>
      <c r="D2055" s="6" t="s">
        <v>6250</v>
      </c>
      <c r="E2055" s="20">
        <f t="shared" si="149"/>
        <v>0</v>
      </c>
      <c r="F2055" s="20">
        <v>388</v>
      </c>
      <c r="G2055" s="24" t="s">
        <v>8510</v>
      </c>
      <c r="H2055" s="20">
        <f t="shared" si="150"/>
        <v>0</v>
      </c>
      <c r="I2055" s="21">
        <f t="shared" si="153"/>
        <v>0</v>
      </c>
      <c r="J2055" s="21">
        <f t="shared" si="153"/>
        <v>0</v>
      </c>
    </row>
    <row r="2056" spans="1:10" x14ac:dyDescent="0.3">
      <c r="A2056" s="2" t="s">
        <v>1929</v>
      </c>
      <c r="B2056" s="1" t="s">
        <v>2152</v>
      </c>
      <c r="C2056" s="6" t="s">
        <v>4091</v>
      </c>
      <c r="D2056" s="6" t="s">
        <v>6251</v>
      </c>
      <c r="E2056" s="20">
        <f t="shared" si="149"/>
        <v>0</v>
      </c>
      <c r="F2056" s="20">
        <v>925</v>
      </c>
      <c r="G2056" s="24" t="s">
        <v>8511</v>
      </c>
      <c r="H2056" s="20">
        <f t="shared" si="150"/>
        <v>0</v>
      </c>
      <c r="I2056" s="21">
        <f t="shared" si="153"/>
        <v>0</v>
      </c>
      <c r="J2056" s="21">
        <f t="shared" si="153"/>
        <v>0</v>
      </c>
    </row>
    <row r="2057" spans="1:10" x14ac:dyDescent="0.3">
      <c r="A2057" s="2" t="s">
        <v>1930</v>
      </c>
      <c r="B2057" s="1" t="s">
        <v>2152</v>
      </c>
      <c r="C2057" s="6" t="s">
        <v>4092</v>
      </c>
      <c r="D2057" s="6" t="s">
        <v>6252</v>
      </c>
      <c r="E2057" s="20">
        <f t="shared" ref="E2057:E2120" si="154">H2057*1.8*1.4</f>
        <v>0</v>
      </c>
      <c r="F2057" s="20"/>
      <c r="G2057" s="24" t="s">
        <v>8512</v>
      </c>
      <c r="H2057" s="20">
        <f t="shared" ref="H2057:H2120" si="155">K2057*1.8*1.4</f>
        <v>0</v>
      </c>
      <c r="I2057" s="21">
        <f t="shared" si="153"/>
        <v>0</v>
      </c>
      <c r="J2057" s="21">
        <f t="shared" si="153"/>
        <v>0</v>
      </c>
    </row>
    <row r="2058" spans="1:10" x14ac:dyDescent="0.3">
      <c r="A2058" s="2" t="s">
        <v>1931</v>
      </c>
      <c r="B2058" s="1" t="s">
        <v>2152</v>
      </c>
      <c r="C2058" s="6" t="s">
        <v>4093</v>
      </c>
      <c r="D2058" s="6" t="s">
        <v>6253</v>
      </c>
      <c r="E2058" s="20">
        <f t="shared" si="154"/>
        <v>0</v>
      </c>
      <c r="F2058" s="20">
        <v>95</v>
      </c>
      <c r="G2058" s="24" t="s">
        <v>8513</v>
      </c>
      <c r="H2058" s="20">
        <f t="shared" si="155"/>
        <v>0</v>
      </c>
      <c r="I2058" s="21">
        <f t="shared" si="153"/>
        <v>0</v>
      </c>
      <c r="J2058" s="21">
        <f t="shared" si="153"/>
        <v>0</v>
      </c>
    </row>
    <row r="2059" spans="1:10" x14ac:dyDescent="0.3">
      <c r="A2059" s="2" t="s">
        <v>1932</v>
      </c>
      <c r="B2059" s="1" t="s">
        <v>2152</v>
      </c>
      <c r="C2059" s="6" t="s">
        <v>4094</v>
      </c>
      <c r="D2059" s="6" t="s">
        <v>6254</v>
      </c>
      <c r="E2059" s="20">
        <f t="shared" si="154"/>
        <v>0</v>
      </c>
      <c r="F2059" s="20">
        <v>152</v>
      </c>
      <c r="G2059" s="24" t="s">
        <v>8514</v>
      </c>
      <c r="H2059" s="20">
        <f t="shared" si="155"/>
        <v>0</v>
      </c>
      <c r="I2059" s="21">
        <f t="shared" si="153"/>
        <v>0</v>
      </c>
      <c r="J2059" s="21">
        <f t="shared" si="153"/>
        <v>0</v>
      </c>
    </row>
    <row r="2060" spans="1:10" x14ac:dyDescent="0.3">
      <c r="A2060" s="2" t="s">
        <v>1933</v>
      </c>
      <c r="B2060" s="1" t="s">
        <v>2152</v>
      </c>
      <c r="C2060" s="6" t="s">
        <v>4095</v>
      </c>
      <c r="D2060" s="6" t="s">
        <v>6255</v>
      </c>
      <c r="E2060" s="20">
        <f t="shared" si="154"/>
        <v>0</v>
      </c>
      <c r="F2060" s="20">
        <v>280</v>
      </c>
      <c r="G2060" s="24" t="s">
        <v>8515</v>
      </c>
      <c r="H2060" s="20">
        <f t="shared" si="155"/>
        <v>0</v>
      </c>
      <c r="I2060" s="21">
        <f t="shared" si="153"/>
        <v>0</v>
      </c>
      <c r="J2060" s="21">
        <f t="shared" si="153"/>
        <v>0</v>
      </c>
    </row>
    <row r="2061" spans="1:10" x14ac:dyDescent="0.3">
      <c r="A2061" s="2" t="s">
        <v>1934</v>
      </c>
      <c r="B2061" s="1" t="s">
        <v>2152</v>
      </c>
      <c r="C2061" s="6" t="s">
        <v>4096</v>
      </c>
      <c r="D2061" s="6" t="s">
        <v>6256</v>
      </c>
      <c r="E2061" s="20">
        <f t="shared" si="154"/>
        <v>0</v>
      </c>
      <c r="F2061" s="20"/>
      <c r="G2061" s="24" t="s">
        <v>8516</v>
      </c>
      <c r="H2061" s="20">
        <f t="shared" si="155"/>
        <v>0</v>
      </c>
      <c r="I2061" s="21">
        <f t="shared" si="153"/>
        <v>0</v>
      </c>
      <c r="J2061" s="21">
        <f t="shared" si="153"/>
        <v>0</v>
      </c>
    </row>
    <row r="2062" spans="1:10" x14ac:dyDescent="0.3">
      <c r="A2062" s="2" t="s">
        <v>1935</v>
      </c>
      <c r="B2062" s="1" t="s">
        <v>2152</v>
      </c>
      <c r="C2062" s="6" t="s">
        <v>4097</v>
      </c>
      <c r="D2062" s="6" t="s">
        <v>6257</v>
      </c>
      <c r="E2062" s="20">
        <f t="shared" si="154"/>
        <v>0</v>
      </c>
      <c r="F2062" s="20"/>
      <c r="G2062" s="24" t="s">
        <v>8517</v>
      </c>
      <c r="H2062" s="20">
        <f t="shared" si="155"/>
        <v>0</v>
      </c>
      <c r="I2062" s="21">
        <f t="shared" si="153"/>
        <v>0</v>
      </c>
      <c r="J2062" s="21">
        <f t="shared" si="153"/>
        <v>0</v>
      </c>
    </row>
    <row r="2063" spans="1:10" x14ac:dyDescent="0.3">
      <c r="A2063" s="2" t="s">
        <v>1936</v>
      </c>
      <c r="B2063" s="1" t="s">
        <v>2152</v>
      </c>
      <c r="C2063" s="6" t="s">
        <v>4098</v>
      </c>
      <c r="D2063" s="6" t="s">
        <v>6258</v>
      </c>
      <c r="E2063" s="20">
        <f t="shared" si="154"/>
        <v>0</v>
      </c>
      <c r="F2063" s="20"/>
      <c r="G2063" s="24" t="s">
        <v>8518</v>
      </c>
      <c r="H2063" s="20">
        <f t="shared" si="155"/>
        <v>0</v>
      </c>
      <c r="I2063" s="21">
        <f t="shared" si="153"/>
        <v>0</v>
      </c>
      <c r="J2063" s="21">
        <f t="shared" si="153"/>
        <v>0</v>
      </c>
    </row>
    <row r="2064" spans="1:10" x14ac:dyDescent="0.3">
      <c r="A2064" s="2" t="s">
        <v>1937</v>
      </c>
      <c r="B2064" s="1" t="s">
        <v>2152</v>
      </c>
      <c r="C2064" s="6" t="s">
        <v>4099</v>
      </c>
      <c r="D2064" s="6" t="s">
        <v>6259</v>
      </c>
      <c r="E2064" s="20">
        <f t="shared" si="154"/>
        <v>0</v>
      </c>
      <c r="F2064" s="20"/>
      <c r="G2064" s="24" t="s">
        <v>8519</v>
      </c>
      <c r="H2064" s="20">
        <f t="shared" si="155"/>
        <v>0</v>
      </c>
      <c r="I2064" s="21">
        <f t="shared" si="153"/>
        <v>0</v>
      </c>
      <c r="J2064" s="21">
        <f t="shared" si="153"/>
        <v>0</v>
      </c>
    </row>
    <row r="2065" spans="1:10" x14ac:dyDescent="0.3">
      <c r="A2065" s="2" t="s">
        <v>1938</v>
      </c>
      <c r="B2065" s="1" t="s">
        <v>2152</v>
      </c>
      <c r="C2065" s="6" t="s">
        <v>4100</v>
      </c>
      <c r="D2065" s="6" t="s">
        <v>6260</v>
      </c>
      <c r="E2065" s="20">
        <f t="shared" si="154"/>
        <v>0</v>
      </c>
      <c r="F2065" s="20"/>
      <c r="G2065" s="24" t="s">
        <v>8520</v>
      </c>
      <c r="H2065" s="20">
        <f t="shared" si="155"/>
        <v>0</v>
      </c>
      <c r="I2065" s="21">
        <f t="shared" si="153"/>
        <v>0</v>
      </c>
      <c r="J2065" s="21">
        <f t="shared" si="153"/>
        <v>0</v>
      </c>
    </row>
    <row r="2066" spans="1:10" x14ac:dyDescent="0.3">
      <c r="A2066" s="2" t="s">
        <v>1939</v>
      </c>
      <c r="B2066" s="1" t="s">
        <v>2152</v>
      </c>
      <c r="C2066" s="6" t="s">
        <v>4101</v>
      </c>
      <c r="D2066" s="6" t="s">
        <v>6261</v>
      </c>
      <c r="E2066" s="20">
        <f t="shared" si="154"/>
        <v>0</v>
      </c>
      <c r="F2066" s="20">
        <v>15</v>
      </c>
      <c r="G2066" s="24" t="s">
        <v>8521</v>
      </c>
      <c r="H2066" s="20">
        <f t="shared" si="155"/>
        <v>0</v>
      </c>
      <c r="I2066" s="21">
        <f t="shared" si="153"/>
        <v>0</v>
      </c>
      <c r="J2066" s="21">
        <f t="shared" si="153"/>
        <v>0</v>
      </c>
    </row>
    <row r="2067" spans="1:10" x14ac:dyDescent="0.3">
      <c r="A2067" s="2" t="s">
        <v>1940</v>
      </c>
      <c r="B2067" s="1" t="s">
        <v>2152</v>
      </c>
      <c r="C2067" s="6" t="s">
        <v>4102</v>
      </c>
      <c r="D2067" s="6" t="s">
        <v>6262</v>
      </c>
      <c r="E2067" s="20">
        <f t="shared" si="154"/>
        <v>0</v>
      </c>
      <c r="F2067" s="20"/>
      <c r="G2067" s="24" t="s">
        <v>8522</v>
      </c>
      <c r="H2067" s="20">
        <f t="shared" si="155"/>
        <v>0</v>
      </c>
      <c r="I2067" s="21">
        <f t="shared" si="153"/>
        <v>0</v>
      </c>
      <c r="J2067" s="21">
        <f t="shared" si="153"/>
        <v>0</v>
      </c>
    </row>
    <row r="2068" spans="1:10" x14ac:dyDescent="0.3">
      <c r="A2068" s="2" t="s">
        <v>1941</v>
      </c>
      <c r="B2068" s="1" t="s">
        <v>2152</v>
      </c>
      <c r="C2068" s="6" t="s">
        <v>4103</v>
      </c>
      <c r="D2068" s="6" t="s">
        <v>6263</v>
      </c>
      <c r="E2068" s="20">
        <f t="shared" si="154"/>
        <v>0</v>
      </c>
      <c r="F2068" s="20"/>
      <c r="G2068" s="24" t="s">
        <v>8523</v>
      </c>
      <c r="H2068" s="20">
        <f t="shared" si="155"/>
        <v>0</v>
      </c>
      <c r="I2068" s="21">
        <f t="shared" si="153"/>
        <v>0</v>
      </c>
      <c r="J2068" s="21">
        <f t="shared" si="153"/>
        <v>0</v>
      </c>
    </row>
    <row r="2069" spans="1:10" x14ac:dyDescent="0.3">
      <c r="A2069" s="2" t="s">
        <v>1942</v>
      </c>
      <c r="B2069" s="1" t="s">
        <v>2152</v>
      </c>
      <c r="C2069" s="6" t="s">
        <v>3105</v>
      </c>
      <c r="D2069" s="6" t="s">
        <v>6264</v>
      </c>
      <c r="E2069" s="20">
        <f t="shared" si="154"/>
        <v>0</v>
      </c>
      <c r="F2069" s="20"/>
      <c r="G2069" s="24" t="s">
        <v>8524</v>
      </c>
      <c r="H2069" s="20">
        <f t="shared" si="155"/>
        <v>0</v>
      </c>
      <c r="I2069" s="21">
        <f t="shared" si="153"/>
        <v>0</v>
      </c>
      <c r="J2069" s="21">
        <f t="shared" si="153"/>
        <v>0</v>
      </c>
    </row>
    <row r="2070" spans="1:10" x14ac:dyDescent="0.3">
      <c r="A2070" s="2" t="s">
        <v>1943</v>
      </c>
      <c r="B2070" s="1" t="s">
        <v>2152</v>
      </c>
      <c r="C2070" s="6" t="s">
        <v>4104</v>
      </c>
      <c r="D2070" s="6" t="s">
        <v>6265</v>
      </c>
      <c r="E2070" s="20">
        <f t="shared" si="154"/>
        <v>0</v>
      </c>
      <c r="F2070" s="20">
        <v>200</v>
      </c>
      <c r="G2070" s="24" t="s">
        <v>8525</v>
      </c>
      <c r="H2070" s="20">
        <f t="shared" si="155"/>
        <v>0</v>
      </c>
      <c r="I2070" s="21">
        <f t="shared" si="153"/>
        <v>0</v>
      </c>
      <c r="J2070" s="21">
        <f t="shared" si="153"/>
        <v>0</v>
      </c>
    </row>
    <row r="2071" spans="1:10" x14ac:dyDescent="0.3">
      <c r="A2071" s="2" t="s">
        <v>1944</v>
      </c>
      <c r="B2071" s="1" t="s">
        <v>2152</v>
      </c>
      <c r="C2071" s="6" t="s">
        <v>4105</v>
      </c>
      <c r="D2071" s="6" t="s">
        <v>6266</v>
      </c>
      <c r="E2071" s="20">
        <f t="shared" si="154"/>
        <v>0</v>
      </c>
      <c r="F2071" s="20"/>
      <c r="G2071" s="24" t="s">
        <v>8526</v>
      </c>
      <c r="H2071" s="20">
        <f t="shared" si="155"/>
        <v>0</v>
      </c>
      <c r="I2071" s="21">
        <f t="shared" si="153"/>
        <v>0</v>
      </c>
      <c r="J2071" s="21">
        <f t="shared" si="153"/>
        <v>0</v>
      </c>
    </row>
    <row r="2072" spans="1:10" x14ac:dyDescent="0.3">
      <c r="A2072" s="2" t="s">
        <v>1945</v>
      </c>
      <c r="B2072" s="1" t="s">
        <v>2152</v>
      </c>
      <c r="C2072" s="6" t="s">
        <v>4106</v>
      </c>
      <c r="D2072" s="6" t="s">
        <v>6267</v>
      </c>
      <c r="E2072" s="20">
        <f t="shared" si="154"/>
        <v>0</v>
      </c>
      <c r="F2072" s="20"/>
      <c r="G2072" s="24" t="s">
        <v>8527</v>
      </c>
      <c r="H2072" s="20">
        <f t="shared" si="155"/>
        <v>0</v>
      </c>
      <c r="I2072" s="21">
        <f t="shared" si="153"/>
        <v>0</v>
      </c>
      <c r="J2072" s="21">
        <f t="shared" si="153"/>
        <v>0</v>
      </c>
    </row>
    <row r="2073" spans="1:10" x14ac:dyDescent="0.3">
      <c r="A2073" s="2" t="s">
        <v>1946</v>
      </c>
      <c r="B2073" s="1" t="s">
        <v>2152</v>
      </c>
      <c r="C2073" s="6" t="s">
        <v>4107</v>
      </c>
      <c r="D2073" s="6" t="s">
        <v>6268</v>
      </c>
      <c r="E2073" s="20">
        <f t="shared" si="154"/>
        <v>0</v>
      </c>
      <c r="F2073" s="20">
        <v>90</v>
      </c>
      <c r="G2073" s="24" t="s">
        <v>8528</v>
      </c>
      <c r="H2073" s="20">
        <f t="shared" si="155"/>
        <v>0</v>
      </c>
      <c r="I2073" s="21">
        <f t="shared" si="153"/>
        <v>0</v>
      </c>
      <c r="J2073" s="21">
        <f t="shared" si="153"/>
        <v>0</v>
      </c>
    </row>
    <row r="2074" spans="1:10" x14ac:dyDescent="0.3">
      <c r="A2074" s="2" t="s">
        <v>1947</v>
      </c>
      <c r="B2074" s="1" t="s">
        <v>2152</v>
      </c>
      <c r="C2074" s="6" t="s">
        <v>4108</v>
      </c>
      <c r="D2074" s="6" t="s">
        <v>6269</v>
      </c>
      <c r="E2074" s="20">
        <f t="shared" si="154"/>
        <v>0</v>
      </c>
      <c r="F2074" s="20"/>
      <c r="G2074" s="24" t="s">
        <v>8529</v>
      </c>
      <c r="H2074" s="20">
        <f t="shared" si="155"/>
        <v>0</v>
      </c>
      <c r="I2074" s="21">
        <f t="shared" si="153"/>
        <v>0</v>
      </c>
      <c r="J2074" s="21">
        <f t="shared" si="153"/>
        <v>0</v>
      </c>
    </row>
    <row r="2075" spans="1:10" x14ac:dyDescent="0.3">
      <c r="A2075" s="2" t="s">
        <v>1948</v>
      </c>
      <c r="B2075" s="1" t="s">
        <v>2152</v>
      </c>
      <c r="C2075" s="6" t="s">
        <v>4109</v>
      </c>
      <c r="D2075" s="6" t="s">
        <v>6270</v>
      </c>
      <c r="E2075" s="20">
        <f t="shared" si="154"/>
        <v>0</v>
      </c>
      <c r="F2075" s="20"/>
      <c r="G2075" s="24" t="s">
        <v>8530</v>
      </c>
      <c r="H2075" s="20">
        <f t="shared" si="155"/>
        <v>0</v>
      </c>
      <c r="I2075" s="21">
        <f t="shared" si="153"/>
        <v>0</v>
      </c>
      <c r="J2075" s="21">
        <f t="shared" si="153"/>
        <v>0</v>
      </c>
    </row>
    <row r="2076" spans="1:10" x14ac:dyDescent="0.3">
      <c r="A2076" s="2" t="s">
        <v>1949</v>
      </c>
      <c r="B2076" s="1" t="s">
        <v>2152</v>
      </c>
      <c r="C2076" s="6" t="s">
        <v>4110</v>
      </c>
      <c r="D2076" s="6" t="s">
        <v>6271</v>
      </c>
      <c r="E2076" s="20">
        <f t="shared" si="154"/>
        <v>0</v>
      </c>
      <c r="F2076" s="20"/>
      <c r="G2076" s="24" t="s">
        <v>8531</v>
      </c>
      <c r="H2076" s="20">
        <f t="shared" si="155"/>
        <v>0</v>
      </c>
      <c r="I2076" s="21">
        <f t="shared" si="153"/>
        <v>0</v>
      </c>
      <c r="J2076" s="21">
        <f t="shared" si="153"/>
        <v>0</v>
      </c>
    </row>
    <row r="2077" spans="1:10" x14ac:dyDescent="0.3">
      <c r="A2077" s="2" t="s">
        <v>1950</v>
      </c>
      <c r="B2077" s="1" t="s">
        <v>2152</v>
      </c>
      <c r="C2077" s="6" t="s">
        <v>4111</v>
      </c>
      <c r="D2077" s="6" t="s">
        <v>6272</v>
      </c>
      <c r="E2077" s="20">
        <f t="shared" si="154"/>
        <v>0</v>
      </c>
      <c r="F2077" s="20"/>
      <c r="G2077" s="24" t="s">
        <v>8532</v>
      </c>
      <c r="H2077" s="20">
        <f t="shared" si="155"/>
        <v>0</v>
      </c>
      <c r="I2077" s="21">
        <f t="shared" si="153"/>
        <v>0</v>
      </c>
      <c r="J2077" s="21">
        <f t="shared" si="153"/>
        <v>0</v>
      </c>
    </row>
    <row r="2078" spans="1:10" x14ac:dyDescent="0.3">
      <c r="A2078" s="2" t="s">
        <v>835</v>
      </c>
      <c r="B2078" s="1" t="s">
        <v>2152</v>
      </c>
      <c r="C2078" s="6" t="s">
        <v>2989</v>
      </c>
      <c r="D2078" s="6" t="s">
        <v>5151</v>
      </c>
      <c r="E2078" s="20">
        <f t="shared" si="154"/>
        <v>0</v>
      </c>
      <c r="F2078" s="20">
        <v>55</v>
      </c>
      <c r="G2078" s="24" t="s">
        <v>8533</v>
      </c>
      <c r="H2078" s="20">
        <f t="shared" si="155"/>
        <v>0</v>
      </c>
      <c r="I2078" s="21">
        <f t="shared" si="153"/>
        <v>0</v>
      </c>
      <c r="J2078" s="21">
        <f t="shared" si="153"/>
        <v>0</v>
      </c>
    </row>
    <row r="2079" spans="1:10" x14ac:dyDescent="0.3">
      <c r="A2079" s="2" t="s">
        <v>1951</v>
      </c>
      <c r="B2079" s="1" t="s">
        <v>2152</v>
      </c>
      <c r="C2079" s="6" t="s">
        <v>4112</v>
      </c>
      <c r="D2079" s="6" t="s">
        <v>6273</v>
      </c>
      <c r="E2079" s="20">
        <f t="shared" si="154"/>
        <v>0</v>
      </c>
      <c r="F2079" s="20">
        <v>160</v>
      </c>
      <c r="G2079" s="24" t="s">
        <v>8534</v>
      </c>
      <c r="H2079" s="20">
        <f t="shared" si="155"/>
        <v>0</v>
      </c>
      <c r="I2079" s="21">
        <f t="shared" si="153"/>
        <v>0</v>
      </c>
      <c r="J2079" s="21">
        <f t="shared" si="153"/>
        <v>0</v>
      </c>
    </row>
    <row r="2080" spans="1:10" x14ac:dyDescent="0.3">
      <c r="A2080" s="2" t="s">
        <v>1952</v>
      </c>
      <c r="B2080" s="1" t="s">
        <v>2152</v>
      </c>
      <c r="C2080" s="6" t="s">
        <v>4113</v>
      </c>
      <c r="D2080" s="6" t="s">
        <v>6274</v>
      </c>
      <c r="E2080" s="20">
        <f t="shared" si="154"/>
        <v>0</v>
      </c>
      <c r="F2080" s="20">
        <v>36</v>
      </c>
      <c r="G2080" s="24" t="s">
        <v>8535</v>
      </c>
      <c r="H2080" s="20">
        <f t="shared" si="155"/>
        <v>0</v>
      </c>
      <c r="I2080" s="21">
        <f t="shared" si="153"/>
        <v>0</v>
      </c>
      <c r="J2080" s="21">
        <f t="shared" si="153"/>
        <v>0</v>
      </c>
    </row>
    <row r="2081" spans="1:10" x14ac:dyDescent="0.3">
      <c r="A2081" s="2" t="s">
        <v>1953</v>
      </c>
      <c r="B2081" s="1" t="s">
        <v>2152</v>
      </c>
      <c r="C2081" s="6" t="s">
        <v>4114</v>
      </c>
      <c r="D2081" s="6" t="s">
        <v>6275</v>
      </c>
      <c r="E2081" s="20">
        <f t="shared" si="154"/>
        <v>0</v>
      </c>
      <c r="F2081" s="20"/>
      <c r="G2081" s="24" t="s">
        <v>8536</v>
      </c>
      <c r="H2081" s="20">
        <f t="shared" si="155"/>
        <v>0</v>
      </c>
      <c r="I2081" s="21">
        <f t="shared" si="153"/>
        <v>0</v>
      </c>
      <c r="J2081" s="21">
        <f t="shared" si="153"/>
        <v>0</v>
      </c>
    </row>
    <row r="2082" spans="1:10" x14ac:dyDescent="0.3">
      <c r="A2082" s="2" t="s">
        <v>1954</v>
      </c>
      <c r="B2082" s="1" t="s">
        <v>2152</v>
      </c>
      <c r="C2082" s="6" t="s">
        <v>4115</v>
      </c>
      <c r="D2082" s="6" t="s">
        <v>6276</v>
      </c>
      <c r="E2082" s="20">
        <f t="shared" si="154"/>
        <v>0</v>
      </c>
      <c r="F2082" s="20"/>
      <c r="G2082" s="24" t="s">
        <v>8537</v>
      </c>
      <c r="H2082" s="20">
        <f t="shared" si="155"/>
        <v>0</v>
      </c>
      <c r="I2082" s="21">
        <f t="shared" si="153"/>
        <v>0</v>
      </c>
      <c r="J2082" s="21">
        <f t="shared" si="153"/>
        <v>0</v>
      </c>
    </row>
    <row r="2083" spans="1:10" x14ac:dyDescent="0.3">
      <c r="A2083" s="2" t="s">
        <v>1194</v>
      </c>
      <c r="B2083" s="1" t="s">
        <v>2152</v>
      </c>
      <c r="C2083" s="6" t="s">
        <v>3342</v>
      </c>
      <c r="D2083" s="6" t="s">
        <v>5502</v>
      </c>
      <c r="E2083" s="20">
        <f t="shared" si="154"/>
        <v>0</v>
      </c>
      <c r="F2083" s="20"/>
      <c r="G2083" s="24" t="s">
        <v>8538</v>
      </c>
      <c r="H2083" s="20">
        <f t="shared" si="155"/>
        <v>0</v>
      </c>
      <c r="I2083" s="21">
        <f t="shared" si="153"/>
        <v>0</v>
      </c>
      <c r="J2083" s="21">
        <f t="shared" si="153"/>
        <v>0</v>
      </c>
    </row>
    <row r="2084" spans="1:10" x14ac:dyDescent="0.3">
      <c r="A2084" s="2" t="s">
        <v>1195</v>
      </c>
      <c r="B2084" s="1" t="s">
        <v>2152</v>
      </c>
      <c r="C2084" s="6" t="s">
        <v>4116</v>
      </c>
      <c r="D2084" s="6" t="s">
        <v>6277</v>
      </c>
      <c r="E2084" s="20">
        <f t="shared" si="154"/>
        <v>0</v>
      </c>
      <c r="F2084" s="20"/>
      <c r="G2084" s="24" t="s">
        <v>8539</v>
      </c>
      <c r="H2084" s="20">
        <f t="shared" si="155"/>
        <v>0</v>
      </c>
      <c r="I2084" s="21">
        <f t="shared" si="153"/>
        <v>0</v>
      </c>
      <c r="J2084" s="21">
        <f t="shared" si="153"/>
        <v>0</v>
      </c>
    </row>
    <row r="2085" spans="1:10" x14ac:dyDescent="0.3">
      <c r="A2085" s="2" t="s">
        <v>1196</v>
      </c>
      <c r="B2085" s="1" t="s">
        <v>2152</v>
      </c>
      <c r="C2085" s="6" t="s">
        <v>3344</v>
      </c>
      <c r="D2085" s="6" t="s">
        <v>5504</v>
      </c>
      <c r="E2085" s="20">
        <f t="shared" si="154"/>
        <v>0</v>
      </c>
      <c r="F2085" s="20"/>
      <c r="G2085" s="24" t="s">
        <v>8540</v>
      </c>
      <c r="H2085" s="20">
        <f t="shared" si="155"/>
        <v>0</v>
      </c>
      <c r="I2085" s="21">
        <f t="shared" si="153"/>
        <v>0</v>
      </c>
      <c r="J2085" s="21">
        <f t="shared" si="153"/>
        <v>0</v>
      </c>
    </row>
    <row r="2086" spans="1:10" x14ac:dyDescent="0.3">
      <c r="A2086" s="2" t="s">
        <v>1955</v>
      </c>
      <c r="B2086" s="1" t="s">
        <v>2152</v>
      </c>
      <c r="C2086" s="6" t="s">
        <v>4117</v>
      </c>
      <c r="D2086" s="6" t="s">
        <v>6278</v>
      </c>
      <c r="E2086" s="20">
        <f t="shared" si="154"/>
        <v>0</v>
      </c>
      <c r="F2086" s="20"/>
      <c r="G2086" s="24" t="s">
        <v>8541</v>
      </c>
      <c r="H2086" s="20">
        <f t="shared" si="155"/>
        <v>0</v>
      </c>
      <c r="I2086" s="21">
        <f t="shared" si="153"/>
        <v>0</v>
      </c>
      <c r="J2086" s="21">
        <f t="shared" si="153"/>
        <v>0</v>
      </c>
    </row>
    <row r="2087" spans="1:10" x14ac:dyDescent="0.3">
      <c r="A2087" s="2" t="s">
        <v>618</v>
      </c>
      <c r="B2087" s="1" t="s">
        <v>2152</v>
      </c>
      <c r="C2087" s="6" t="s">
        <v>2765</v>
      </c>
      <c r="D2087" s="6" t="s">
        <v>4931</v>
      </c>
      <c r="E2087" s="20">
        <f t="shared" si="154"/>
        <v>0</v>
      </c>
      <c r="F2087" s="20">
        <v>15.53</v>
      </c>
      <c r="G2087" s="24" t="s">
        <v>8542</v>
      </c>
      <c r="H2087" s="20">
        <f t="shared" si="155"/>
        <v>0</v>
      </c>
      <c r="I2087" s="21">
        <f t="shared" si="153"/>
        <v>0</v>
      </c>
      <c r="J2087" s="21">
        <f t="shared" si="153"/>
        <v>0</v>
      </c>
    </row>
    <row r="2088" spans="1:10" x14ac:dyDescent="0.3">
      <c r="A2088" s="2" t="s">
        <v>624</v>
      </c>
      <c r="B2088" s="1" t="s">
        <v>2152</v>
      </c>
      <c r="C2088" s="6" t="s">
        <v>2771</v>
      </c>
      <c r="D2088" s="6" t="s">
        <v>4937</v>
      </c>
      <c r="E2088" s="20">
        <f t="shared" si="154"/>
        <v>0</v>
      </c>
      <c r="F2088" s="20">
        <v>18.5</v>
      </c>
      <c r="G2088" s="24" t="s">
        <v>8543</v>
      </c>
      <c r="H2088" s="20">
        <f t="shared" si="155"/>
        <v>0</v>
      </c>
      <c r="I2088" s="21">
        <f t="shared" si="153"/>
        <v>0</v>
      </c>
      <c r="J2088" s="21">
        <f t="shared" si="153"/>
        <v>0</v>
      </c>
    </row>
    <row r="2089" spans="1:10" x14ac:dyDescent="0.3">
      <c r="A2089" s="2" t="s">
        <v>1956</v>
      </c>
      <c r="B2089" s="1" t="s">
        <v>2152</v>
      </c>
      <c r="C2089" s="6" t="s">
        <v>4118</v>
      </c>
      <c r="D2089" s="6" t="s">
        <v>6279</v>
      </c>
      <c r="E2089" s="20">
        <f t="shared" si="154"/>
        <v>0</v>
      </c>
      <c r="F2089" s="20"/>
      <c r="G2089" s="24" t="s">
        <v>8544</v>
      </c>
      <c r="H2089" s="20">
        <f t="shared" si="155"/>
        <v>0</v>
      </c>
      <c r="I2089" s="21">
        <f t="shared" si="153"/>
        <v>0</v>
      </c>
      <c r="J2089" s="21">
        <f t="shared" si="153"/>
        <v>0</v>
      </c>
    </row>
    <row r="2090" spans="1:10" x14ac:dyDescent="0.3">
      <c r="A2090" s="2" t="s">
        <v>1957</v>
      </c>
      <c r="B2090" s="1" t="s">
        <v>2152</v>
      </c>
      <c r="C2090" s="6" t="s">
        <v>4119</v>
      </c>
      <c r="D2090" s="6" t="s">
        <v>6280</v>
      </c>
      <c r="E2090" s="20">
        <f t="shared" si="154"/>
        <v>0</v>
      </c>
      <c r="F2090" s="20">
        <v>1100</v>
      </c>
      <c r="G2090" s="24" t="s">
        <v>8545</v>
      </c>
      <c r="H2090" s="20">
        <f t="shared" si="155"/>
        <v>0</v>
      </c>
      <c r="I2090" s="21">
        <f t="shared" si="153"/>
        <v>0</v>
      </c>
      <c r="J2090" s="21">
        <f t="shared" si="153"/>
        <v>0</v>
      </c>
    </row>
    <row r="2091" spans="1:10" x14ac:dyDescent="0.3">
      <c r="A2091" s="2" t="s">
        <v>1958</v>
      </c>
      <c r="B2091" s="1" t="s">
        <v>2152</v>
      </c>
      <c r="C2091" s="6" t="s">
        <v>4120</v>
      </c>
      <c r="D2091" s="6" t="s">
        <v>6281</v>
      </c>
      <c r="E2091" s="20">
        <f t="shared" si="154"/>
        <v>0</v>
      </c>
      <c r="F2091" s="20"/>
      <c r="G2091" s="24" t="s">
        <v>8546</v>
      </c>
      <c r="H2091" s="20">
        <f t="shared" si="155"/>
        <v>0</v>
      </c>
      <c r="I2091" s="21">
        <f t="shared" si="153"/>
        <v>0</v>
      </c>
      <c r="J2091" s="21">
        <f t="shared" si="153"/>
        <v>0</v>
      </c>
    </row>
    <row r="2092" spans="1:10" ht="27.6" x14ac:dyDescent="0.3">
      <c r="A2092" s="2" t="s">
        <v>629</v>
      </c>
      <c r="B2092" s="1" t="s">
        <v>2152</v>
      </c>
      <c r="C2092" s="6" t="s">
        <v>2776</v>
      </c>
      <c r="D2092" s="6" t="s">
        <v>4942</v>
      </c>
      <c r="E2092" s="20">
        <f>H2092*1.8*1.4</f>
        <v>0</v>
      </c>
      <c r="F2092" s="20">
        <v>4300</v>
      </c>
      <c r="G2092" s="24" t="s">
        <v>8547</v>
      </c>
      <c r="H2092" s="20">
        <f>K2092*1.8*1.4</f>
        <v>0</v>
      </c>
      <c r="I2092" s="21">
        <f t="shared" si="153"/>
        <v>0</v>
      </c>
      <c r="J2092" s="21">
        <f t="shared" si="153"/>
        <v>0</v>
      </c>
    </row>
    <row r="2093" spans="1:10" ht="27.6" x14ac:dyDescent="0.3">
      <c r="A2093" s="2" t="s">
        <v>1959</v>
      </c>
      <c r="B2093" s="1" t="s">
        <v>2152</v>
      </c>
      <c r="C2093" s="6" t="s">
        <v>4121</v>
      </c>
      <c r="D2093" s="6" t="s">
        <v>6282</v>
      </c>
      <c r="E2093" s="20">
        <f t="shared" si="154"/>
        <v>0</v>
      </c>
      <c r="F2093" s="20"/>
      <c r="G2093" s="24" t="s">
        <v>8548</v>
      </c>
      <c r="H2093" s="20">
        <f t="shared" si="155"/>
        <v>0</v>
      </c>
      <c r="I2093" s="21">
        <f t="shared" si="153"/>
        <v>0</v>
      </c>
      <c r="J2093" s="21">
        <f t="shared" si="153"/>
        <v>0</v>
      </c>
    </row>
    <row r="2094" spans="1:10" ht="27.6" x14ac:dyDescent="0.3">
      <c r="A2094" s="2" t="s">
        <v>1960</v>
      </c>
      <c r="B2094" s="1" t="s">
        <v>2152</v>
      </c>
      <c r="C2094" s="6" t="s">
        <v>4122</v>
      </c>
      <c r="D2094" s="6" t="s">
        <v>6283</v>
      </c>
      <c r="E2094" s="20">
        <f t="shared" si="154"/>
        <v>0</v>
      </c>
      <c r="F2094" s="20">
        <v>413</v>
      </c>
      <c r="G2094" s="24" t="s">
        <v>8549</v>
      </c>
      <c r="H2094" s="20">
        <f t="shared" si="155"/>
        <v>0</v>
      </c>
      <c r="I2094" s="21">
        <f t="shared" si="153"/>
        <v>0</v>
      </c>
      <c r="J2094" s="21">
        <f t="shared" si="153"/>
        <v>0</v>
      </c>
    </row>
    <row r="2095" spans="1:10" ht="27.6" x14ac:dyDescent="0.3">
      <c r="A2095" s="2" t="s">
        <v>1961</v>
      </c>
      <c r="B2095" s="1" t="s">
        <v>2152</v>
      </c>
      <c r="C2095" s="6" t="s">
        <v>4123</v>
      </c>
      <c r="D2095" s="6" t="s">
        <v>6284</v>
      </c>
      <c r="E2095" s="20">
        <f t="shared" si="154"/>
        <v>0</v>
      </c>
      <c r="F2095" s="20"/>
      <c r="G2095" s="24" t="s">
        <v>8550</v>
      </c>
      <c r="H2095" s="20">
        <f t="shared" si="155"/>
        <v>0</v>
      </c>
      <c r="I2095" s="21">
        <f t="shared" si="153"/>
        <v>0</v>
      </c>
      <c r="J2095" s="21">
        <f t="shared" si="153"/>
        <v>0</v>
      </c>
    </row>
    <row r="2096" spans="1:10" ht="27.6" x14ac:dyDescent="0.3">
      <c r="A2096" s="2" t="s">
        <v>1962</v>
      </c>
      <c r="B2096" s="1" t="s">
        <v>2152</v>
      </c>
      <c r="C2096" s="6" t="s">
        <v>4124</v>
      </c>
      <c r="D2096" s="6" t="s">
        <v>6285</v>
      </c>
      <c r="E2096" s="20">
        <f t="shared" si="154"/>
        <v>0</v>
      </c>
      <c r="F2096" s="20"/>
      <c r="G2096" s="24" t="s">
        <v>8551</v>
      </c>
      <c r="H2096" s="20">
        <f t="shared" si="155"/>
        <v>0</v>
      </c>
      <c r="I2096" s="21">
        <f t="shared" si="153"/>
        <v>0</v>
      </c>
      <c r="J2096" s="21">
        <f t="shared" si="153"/>
        <v>0</v>
      </c>
    </row>
    <row r="2097" spans="1:10" ht="27.6" x14ac:dyDescent="0.3">
      <c r="A2097" s="2" t="s">
        <v>1963</v>
      </c>
      <c r="B2097" s="1" t="s">
        <v>2152</v>
      </c>
      <c r="C2097" s="6" t="s">
        <v>4125</v>
      </c>
      <c r="D2097" s="6" t="s">
        <v>6286</v>
      </c>
      <c r="E2097" s="20">
        <f t="shared" si="154"/>
        <v>0</v>
      </c>
      <c r="F2097" s="20"/>
      <c r="G2097" s="24" t="s">
        <v>8552</v>
      </c>
      <c r="H2097" s="20">
        <f t="shared" si="155"/>
        <v>0</v>
      </c>
      <c r="I2097" s="21">
        <f t="shared" si="153"/>
        <v>0</v>
      </c>
      <c r="J2097" s="21">
        <f t="shared" si="153"/>
        <v>0</v>
      </c>
    </row>
    <row r="2098" spans="1:10" ht="27.6" x14ac:dyDescent="0.3">
      <c r="A2098" s="2" t="s">
        <v>1964</v>
      </c>
      <c r="B2098" s="1" t="s">
        <v>2152</v>
      </c>
      <c r="C2098" s="6" t="s">
        <v>4126</v>
      </c>
      <c r="D2098" s="6" t="s">
        <v>6287</v>
      </c>
      <c r="E2098" s="20">
        <f t="shared" si="154"/>
        <v>0</v>
      </c>
      <c r="F2098" s="20"/>
      <c r="G2098" s="24" t="s">
        <v>8553</v>
      </c>
      <c r="H2098" s="20">
        <f t="shared" si="155"/>
        <v>0</v>
      </c>
      <c r="I2098" s="21">
        <f t="shared" si="153"/>
        <v>0</v>
      </c>
      <c r="J2098" s="21">
        <f t="shared" si="153"/>
        <v>0</v>
      </c>
    </row>
    <row r="2099" spans="1:10" ht="27.6" x14ac:dyDescent="0.3">
      <c r="A2099" s="2" t="s">
        <v>1965</v>
      </c>
      <c r="B2099" s="1" t="s">
        <v>2152</v>
      </c>
      <c r="C2099" s="6" t="s">
        <v>4127</v>
      </c>
      <c r="D2099" s="6" t="s">
        <v>6288</v>
      </c>
      <c r="E2099" s="20">
        <f t="shared" si="154"/>
        <v>0</v>
      </c>
      <c r="F2099" s="20"/>
      <c r="G2099" s="24" t="s">
        <v>8554</v>
      </c>
      <c r="H2099" s="20">
        <f t="shared" si="155"/>
        <v>0</v>
      </c>
      <c r="I2099" s="21">
        <f t="shared" si="153"/>
        <v>0</v>
      </c>
      <c r="J2099" s="21">
        <f t="shared" si="153"/>
        <v>0</v>
      </c>
    </row>
    <row r="2100" spans="1:10" ht="27.6" x14ac:dyDescent="0.3">
      <c r="A2100" s="2" t="s">
        <v>1966</v>
      </c>
      <c r="B2100" s="1" t="s">
        <v>2152</v>
      </c>
      <c r="C2100" s="6" t="s">
        <v>4128</v>
      </c>
      <c r="D2100" s="6" t="s">
        <v>6289</v>
      </c>
      <c r="E2100" s="20">
        <f t="shared" si="154"/>
        <v>0</v>
      </c>
      <c r="F2100" s="20"/>
      <c r="G2100" s="24" t="s">
        <v>8555</v>
      </c>
      <c r="H2100" s="20">
        <f t="shared" si="155"/>
        <v>0</v>
      </c>
      <c r="I2100" s="21">
        <f t="shared" si="153"/>
        <v>0</v>
      </c>
      <c r="J2100" s="21">
        <f t="shared" si="153"/>
        <v>0</v>
      </c>
    </row>
    <row r="2101" spans="1:10" ht="27.6" x14ac:dyDescent="0.3">
      <c r="A2101" s="2" t="s">
        <v>1967</v>
      </c>
      <c r="B2101" s="1" t="s">
        <v>2152</v>
      </c>
      <c r="C2101" s="6" t="s">
        <v>4129</v>
      </c>
      <c r="D2101" s="6" t="s">
        <v>6290</v>
      </c>
      <c r="E2101" s="20">
        <f t="shared" si="154"/>
        <v>0</v>
      </c>
      <c r="F2101" s="20"/>
      <c r="G2101" s="24" t="s">
        <v>8556</v>
      </c>
      <c r="H2101" s="20">
        <f t="shared" si="155"/>
        <v>0</v>
      </c>
      <c r="I2101" s="21">
        <f t="shared" si="153"/>
        <v>0</v>
      </c>
      <c r="J2101" s="21">
        <f t="shared" si="153"/>
        <v>0</v>
      </c>
    </row>
    <row r="2102" spans="1:10" x14ac:dyDescent="0.3">
      <c r="A2102" s="2" t="s">
        <v>630</v>
      </c>
      <c r="B2102" s="1" t="s">
        <v>2152</v>
      </c>
      <c r="C2102" s="6" t="s">
        <v>2777</v>
      </c>
      <c r="D2102" s="6" t="s">
        <v>4943</v>
      </c>
      <c r="E2102" s="20">
        <f t="shared" si="154"/>
        <v>0</v>
      </c>
      <c r="F2102" s="20"/>
      <c r="G2102" s="24" t="s">
        <v>8557</v>
      </c>
      <c r="H2102" s="20">
        <f t="shared" si="155"/>
        <v>0</v>
      </c>
      <c r="I2102" s="21">
        <f t="shared" si="153"/>
        <v>0</v>
      </c>
      <c r="J2102" s="21">
        <f t="shared" si="153"/>
        <v>0</v>
      </c>
    </row>
    <row r="2103" spans="1:10" x14ac:dyDescent="0.3">
      <c r="A2103" s="2" t="s">
        <v>631</v>
      </c>
      <c r="B2103" s="1" t="s">
        <v>2152</v>
      </c>
      <c r="C2103" s="6" t="s">
        <v>4130</v>
      </c>
      <c r="D2103" s="6" t="s">
        <v>4944</v>
      </c>
      <c r="E2103" s="20">
        <f t="shared" si="154"/>
        <v>0</v>
      </c>
      <c r="F2103" s="20">
        <v>90</v>
      </c>
      <c r="G2103" s="24" t="s">
        <v>8558</v>
      </c>
      <c r="H2103" s="20">
        <f t="shared" si="155"/>
        <v>0</v>
      </c>
      <c r="I2103" s="21">
        <f t="shared" si="153"/>
        <v>0</v>
      </c>
      <c r="J2103" s="21">
        <f t="shared" si="153"/>
        <v>0</v>
      </c>
    </row>
    <row r="2104" spans="1:10" ht="27.6" x14ac:dyDescent="0.3">
      <c r="A2104" s="2" t="s">
        <v>693</v>
      </c>
      <c r="B2104" s="1" t="s">
        <v>2152</v>
      </c>
      <c r="C2104" s="6" t="s">
        <v>2838</v>
      </c>
      <c r="D2104" s="6" t="s">
        <v>5007</v>
      </c>
      <c r="E2104" s="20">
        <f t="shared" si="154"/>
        <v>0</v>
      </c>
      <c r="F2104" s="20">
        <v>6500</v>
      </c>
      <c r="G2104" s="24" t="s">
        <v>8559</v>
      </c>
      <c r="H2104" s="20">
        <f t="shared" si="155"/>
        <v>0</v>
      </c>
      <c r="I2104" s="21">
        <f>W2104</f>
        <v>0</v>
      </c>
      <c r="J2104" s="21">
        <f>X2104</f>
        <v>0</v>
      </c>
    </row>
    <row r="2105" spans="1:10" ht="27.6" x14ac:dyDescent="0.3">
      <c r="A2105" s="2" t="s">
        <v>1968</v>
      </c>
      <c r="B2105" s="1" t="s">
        <v>2152</v>
      </c>
      <c r="C2105" s="6" t="s">
        <v>4131</v>
      </c>
      <c r="D2105" s="6" t="s">
        <v>6291</v>
      </c>
      <c r="E2105" s="20">
        <f t="shared" si="154"/>
        <v>0</v>
      </c>
      <c r="F2105" s="20">
        <v>8000</v>
      </c>
      <c r="G2105" s="24" t="s">
        <v>8560</v>
      </c>
      <c r="H2105" s="20">
        <f t="shared" si="155"/>
        <v>0</v>
      </c>
      <c r="I2105" s="21">
        <f>W2105</f>
        <v>0</v>
      </c>
      <c r="J2105" s="21">
        <f>X2105</f>
        <v>0</v>
      </c>
    </row>
    <row r="2106" spans="1:10" ht="27.6" x14ac:dyDescent="0.3">
      <c r="A2106" s="2" t="s">
        <v>1969</v>
      </c>
      <c r="B2106" s="1" t="s">
        <v>2152</v>
      </c>
      <c r="C2106" s="6" t="s">
        <v>4132</v>
      </c>
      <c r="E2106" s="20">
        <f t="shared" si="154"/>
        <v>0</v>
      </c>
      <c r="F2106" s="20">
        <v>14500</v>
      </c>
      <c r="G2106" s="24" t="s">
        <v>8561</v>
      </c>
      <c r="H2106" s="20">
        <f t="shared" si="155"/>
        <v>0</v>
      </c>
    </row>
    <row r="2107" spans="1:10" ht="27.6" x14ac:dyDescent="0.3">
      <c r="A2107" s="2" t="s">
        <v>1970</v>
      </c>
      <c r="B2107" s="1" t="s">
        <v>2152</v>
      </c>
      <c r="C2107" s="14" t="s">
        <v>4133</v>
      </c>
      <c r="D2107" s="6" t="s">
        <v>6292</v>
      </c>
      <c r="E2107" s="20">
        <f t="shared" si="154"/>
        <v>0</v>
      </c>
      <c r="F2107" s="20"/>
      <c r="G2107" s="24" t="s">
        <v>8562</v>
      </c>
      <c r="H2107" s="20">
        <f t="shared" si="155"/>
        <v>0</v>
      </c>
      <c r="I2107" s="21">
        <f t="shared" ref="I2107:J2122" si="156">W2107</f>
        <v>0</v>
      </c>
      <c r="J2107" s="21">
        <f t="shared" si="156"/>
        <v>0</v>
      </c>
    </row>
    <row r="2108" spans="1:10" ht="27.6" x14ac:dyDescent="0.3">
      <c r="A2108" s="2" t="s">
        <v>1971</v>
      </c>
      <c r="B2108" s="1" t="s">
        <v>2152</v>
      </c>
      <c r="C2108" s="6" t="s">
        <v>4134</v>
      </c>
      <c r="D2108" s="6" t="s">
        <v>6293</v>
      </c>
      <c r="E2108" s="20">
        <f t="shared" si="154"/>
        <v>0</v>
      </c>
      <c r="F2108" s="20"/>
      <c r="G2108" s="24" t="s">
        <v>8563</v>
      </c>
      <c r="H2108" s="20">
        <f t="shared" si="155"/>
        <v>0</v>
      </c>
      <c r="I2108" s="21">
        <f t="shared" si="156"/>
        <v>0</v>
      </c>
      <c r="J2108" s="21">
        <f t="shared" si="156"/>
        <v>0</v>
      </c>
    </row>
    <row r="2109" spans="1:10" ht="27.6" x14ac:dyDescent="0.3">
      <c r="A2109" s="2" t="s">
        <v>1972</v>
      </c>
      <c r="B2109" s="1" t="s">
        <v>2152</v>
      </c>
      <c r="C2109" s="6" t="s">
        <v>4135</v>
      </c>
      <c r="D2109" s="6" t="s">
        <v>6294</v>
      </c>
      <c r="E2109" s="20">
        <f t="shared" si="154"/>
        <v>0</v>
      </c>
      <c r="F2109" s="20">
        <v>20000</v>
      </c>
      <c r="G2109" s="24" t="s">
        <v>8564</v>
      </c>
      <c r="H2109" s="20">
        <f t="shared" si="155"/>
        <v>0</v>
      </c>
      <c r="I2109" s="21">
        <f t="shared" si="156"/>
        <v>0</v>
      </c>
      <c r="J2109" s="21">
        <f t="shared" si="156"/>
        <v>0</v>
      </c>
    </row>
    <row r="2110" spans="1:10" ht="151.80000000000001" x14ac:dyDescent="0.3">
      <c r="A2110" s="2" t="s">
        <v>1973</v>
      </c>
      <c r="B2110" s="1" t="s">
        <v>2152</v>
      </c>
      <c r="C2110" s="6" t="s">
        <v>4136</v>
      </c>
      <c r="D2110" s="6" t="s">
        <v>6295</v>
      </c>
      <c r="E2110" s="20">
        <f t="shared" si="154"/>
        <v>0</v>
      </c>
      <c r="F2110" s="20"/>
      <c r="G2110" s="24" t="s">
        <v>8565</v>
      </c>
      <c r="H2110" s="20">
        <f t="shared" si="155"/>
        <v>0</v>
      </c>
      <c r="I2110" s="21">
        <f t="shared" si="156"/>
        <v>0</v>
      </c>
      <c r="J2110" s="21">
        <f t="shared" si="156"/>
        <v>0</v>
      </c>
    </row>
    <row r="2111" spans="1:10" ht="151.80000000000001" x14ac:dyDescent="0.3">
      <c r="A2111" s="2" t="s">
        <v>1974</v>
      </c>
      <c r="B2111" s="1" t="s">
        <v>2152</v>
      </c>
      <c r="C2111" s="6" t="s">
        <v>4137</v>
      </c>
      <c r="D2111" s="6" t="s">
        <v>6296</v>
      </c>
      <c r="E2111" s="20">
        <f t="shared" si="154"/>
        <v>0</v>
      </c>
      <c r="F2111" s="20"/>
      <c r="G2111" s="24" t="s">
        <v>8566</v>
      </c>
      <c r="H2111" s="20">
        <f t="shared" si="155"/>
        <v>0</v>
      </c>
      <c r="I2111" s="21">
        <f t="shared" si="156"/>
        <v>0</v>
      </c>
      <c r="J2111" s="21">
        <f t="shared" si="156"/>
        <v>0</v>
      </c>
    </row>
    <row r="2112" spans="1:10" ht="27.6" x14ac:dyDescent="0.3">
      <c r="A2112" s="2" t="s">
        <v>1975</v>
      </c>
      <c r="B2112" s="1" t="s">
        <v>2152</v>
      </c>
      <c r="C2112" s="6" t="s">
        <v>4138</v>
      </c>
      <c r="D2112" s="6" t="s">
        <v>6297</v>
      </c>
      <c r="E2112" s="20">
        <f t="shared" si="154"/>
        <v>0</v>
      </c>
      <c r="F2112" s="20"/>
      <c r="G2112" s="24" t="s">
        <v>8567</v>
      </c>
      <c r="H2112" s="20">
        <f t="shared" si="155"/>
        <v>0</v>
      </c>
      <c r="I2112" s="21">
        <f t="shared" si="156"/>
        <v>0</v>
      </c>
      <c r="J2112" s="21">
        <f t="shared" si="156"/>
        <v>0</v>
      </c>
    </row>
    <row r="2113" spans="1:10" ht="27.6" x14ac:dyDescent="0.3">
      <c r="A2113" s="2" t="s">
        <v>1976</v>
      </c>
      <c r="B2113" s="1" t="s">
        <v>2152</v>
      </c>
      <c r="C2113" s="6" t="s">
        <v>4139</v>
      </c>
      <c r="D2113" s="6" t="s">
        <v>6298</v>
      </c>
      <c r="E2113" s="20">
        <f t="shared" si="154"/>
        <v>0</v>
      </c>
      <c r="F2113" s="20"/>
      <c r="G2113" s="24" t="s">
        <v>8568</v>
      </c>
      <c r="H2113" s="20">
        <f t="shared" si="155"/>
        <v>0</v>
      </c>
      <c r="I2113" s="21">
        <f t="shared" si="156"/>
        <v>0</v>
      </c>
      <c r="J2113" s="21">
        <f t="shared" si="156"/>
        <v>0</v>
      </c>
    </row>
    <row r="2114" spans="1:10" x14ac:dyDescent="0.3">
      <c r="A2114" s="2" t="s">
        <v>1977</v>
      </c>
      <c r="B2114" s="1" t="s">
        <v>2152</v>
      </c>
      <c r="C2114" s="6" t="s">
        <v>4140</v>
      </c>
      <c r="D2114" s="6" t="s">
        <v>6299</v>
      </c>
      <c r="E2114" s="20">
        <f t="shared" si="154"/>
        <v>0</v>
      </c>
      <c r="F2114" s="20">
        <v>1950</v>
      </c>
      <c r="G2114" s="24" t="s">
        <v>8569</v>
      </c>
      <c r="H2114" s="20">
        <f t="shared" si="155"/>
        <v>0</v>
      </c>
      <c r="I2114" s="21">
        <f t="shared" si="156"/>
        <v>0</v>
      </c>
      <c r="J2114" s="21">
        <f t="shared" si="156"/>
        <v>0</v>
      </c>
    </row>
    <row r="2115" spans="1:10" x14ac:dyDescent="0.3">
      <c r="A2115" s="2" t="s">
        <v>1978</v>
      </c>
      <c r="B2115" s="1" t="s">
        <v>2152</v>
      </c>
      <c r="C2115" s="6" t="s">
        <v>4141</v>
      </c>
      <c r="D2115" s="6" t="s">
        <v>6300</v>
      </c>
      <c r="E2115" s="20">
        <f t="shared" si="154"/>
        <v>0</v>
      </c>
      <c r="F2115" s="20"/>
      <c r="G2115" s="24" t="s">
        <v>8570</v>
      </c>
      <c r="H2115" s="20">
        <f t="shared" si="155"/>
        <v>0</v>
      </c>
      <c r="I2115" s="21">
        <f t="shared" si="156"/>
        <v>0</v>
      </c>
      <c r="J2115" s="21">
        <f t="shared" si="156"/>
        <v>0</v>
      </c>
    </row>
    <row r="2116" spans="1:10" x14ac:dyDescent="0.3">
      <c r="A2116" s="2" t="s">
        <v>1979</v>
      </c>
      <c r="B2116" s="1" t="s">
        <v>2152</v>
      </c>
      <c r="C2116" s="6" t="s">
        <v>4142</v>
      </c>
      <c r="D2116" s="6" t="s">
        <v>6301</v>
      </c>
      <c r="E2116" s="20">
        <f t="shared" si="154"/>
        <v>0</v>
      </c>
      <c r="F2116" s="20">
        <v>7500</v>
      </c>
      <c r="G2116" s="24" t="s">
        <v>8571</v>
      </c>
      <c r="H2116" s="20">
        <f t="shared" si="155"/>
        <v>0</v>
      </c>
      <c r="I2116" s="21">
        <f t="shared" si="156"/>
        <v>0</v>
      </c>
      <c r="J2116" s="21">
        <f t="shared" si="156"/>
        <v>0</v>
      </c>
    </row>
    <row r="2117" spans="1:10" x14ac:dyDescent="0.3">
      <c r="A2117" s="2" t="s">
        <v>1980</v>
      </c>
      <c r="B2117" s="1" t="s">
        <v>2152</v>
      </c>
      <c r="C2117" s="6" t="s">
        <v>4143</v>
      </c>
      <c r="D2117" s="6" t="s">
        <v>6302</v>
      </c>
      <c r="E2117" s="20">
        <f t="shared" si="154"/>
        <v>0</v>
      </c>
      <c r="F2117" s="20"/>
      <c r="G2117" s="24" t="s">
        <v>8572</v>
      </c>
      <c r="H2117" s="20">
        <f t="shared" si="155"/>
        <v>0</v>
      </c>
      <c r="I2117" s="21">
        <f t="shared" si="156"/>
        <v>0</v>
      </c>
      <c r="J2117" s="21">
        <f t="shared" si="156"/>
        <v>0</v>
      </c>
    </row>
    <row r="2118" spans="1:10" x14ac:dyDescent="0.3">
      <c r="A2118" s="2" t="s">
        <v>1981</v>
      </c>
      <c r="B2118" s="1" t="s">
        <v>2152</v>
      </c>
      <c r="C2118" s="6" t="s">
        <v>4144</v>
      </c>
      <c r="D2118" s="6" t="s">
        <v>6303</v>
      </c>
      <c r="E2118" s="20">
        <f t="shared" si="154"/>
        <v>0</v>
      </c>
      <c r="F2118" s="20">
        <v>9500</v>
      </c>
      <c r="G2118" s="24" t="s">
        <v>8573</v>
      </c>
      <c r="H2118" s="20">
        <f t="shared" si="155"/>
        <v>0</v>
      </c>
      <c r="I2118" s="21">
        <f t="shared" si="156"/>
        <v>0</v>
      </c>
      <c r="J2118" s="21">
        <f t="shared" si="156"/>
        <v>0</v>
      </c>
    </row>
    <row r="2119" spans="1:10" x14ac:dyDescent="0.3">
      <c r="A2119" s="2" t="s">
        <v>1982</v>
      </c>
      <c r="B2119" s="1" t="s">
        <v>2152</v>
      </c>
      <c r="C2119" s="6" t="s">
        <v>4145</v>
      </c>
      <c r="D2119" s="6" t="s">
        <v>6304</v>
      </c>
      <c r="E2119" s="20">
        <f t="shared" si="154"/>
        <v>0</v>
      </c>
      <c r="F2119" s="20"/>
      <c r="G2119" s="24" t="s">
        <v>8574</v>
      </c>
      <c r="H2119" s="20">
        <f t="shared" si="155"/>
        <v>0</v>
      </c>
      <c r="I2119" s="21">
        <f>W2119</f>
        <v>0</v>
      </c>
      <c r="J2119" s="21">
        <f t="shared" si="156"/>
        <v>0</v>
      </c>
    </row>
    <row r="2120" spans="1:10" x14ac:dyDescent="0.3">
      <c r="A2120" s="2" t="s">
        <v>1983</v>
      </c>
      <c r="B2120" s="1" t="s">
        <v>2152</v>
      </c>
      <c r="C2120" s="6" t="s">
        <v>4146</v>
      </c>
      <c r="D2120" s="6" t="s">
        <v>6305</v>
      </c>
      <c r="E2120" s="20">
        <f t="shared" si="154"/>
        <v>0</v>
      </c>
      <c r="F2120" s="20">
        <v>13000</v>
      </c>
      <c r="G2120" s="24" t="s">
        <v>8575</v>
      </c>
      <c r="H2120" s="20">
        <f t="shared" si="155"/>
        <v>0</v>
      </c>
      <c r="I2120" s="21">
        <f t="shared" si="156"/>
        <v>0</v>
      </c>
      <c r="J2120" s="21">
        <f t="shared" si="156"/>
        <v>0</v>
      </c>
    </row>
    <row r="2121" spans="1:10" x14ac:dyDescent="0.3">
      <c r="A2121" s="2" t="s">
        <v>1984</v>
      </c>
      <c r="B2121" s="1" t="s">
        <v>2152</v>
      </c>
      <c r="C2121" s="6" t="s">
        <v>4147</v>
      </c>
      <c r="D2121" s="6" t="s">
        <v>6306</v>
      </c>
      <c r="E2121" s="20">
        <f t="shared" ref="E2121:E2184" si="157">H2121*1.8*1.4</f>
        <v>0</v>
      </c>
      <c r="F2121" s="20">
        <v>300</v>
      </c>
      <c r="G2121" s="24" t="s">
        <v>8576</v>
      </c>
      <c r="H2121" s="20">
        <f t="shared" ref="H2121:H2184" si="158">K2121*1.8*1.4</f>
        <v>0</v>
      </c>
      <c r="I2121" s="21">
        <f>W2121</f>
        <v>0</v>
      </c>
      <c r="J2121" s="21">
        <f t="shared" si="156"/>
        <v>0</v>
      </c>
    </row>
    <row r="2122" spans="1:10" x14ac:dyDescent="0.3">
      <c r="A2122" s="2" t="s">
        <v>1985</v>
      </c>
      <c r="B2122" s="1" t="s">
        <v>2152</v>
      </c>
      <c r="C2122" s="6" t="s">
        <v>4148</v>
      </c>
      <c r="D2122" s="6" t="s">
        <v>6307</v>
      </c>
      <c r="E2122" s="20">
        <f t="shared" si="157"/>
        <v>0</v>
      </c>
      <c r="F2122" s="20">
        <v>20</v>
      </c>
      <c r="G2122" s="24" t="s">
        <v>8577</v>
      </c>
      <c r="H2122" s="20">
        <f t="shared" si="158"/>
        <v>0</v>
      </c>
      <c r="I2122" s="21">
        <f>W2122</f>
        <v>0</v>
      </c>
      <c r="J2122" s="21">
        <f t="shared" si="156"/>
        <v>0</v>
      </c>
    </row>
    <row r="2123" spans="1:10" x14ac:dyDescent="0.3">
      <c r="A2123" s="2" t="s">
        <v>1986</v>
      </c>
      <c r="B2123" s="1" t="s">
        <v>2152</v>
      </c>
      <c r="C2123" s="6" t="s">
        <v>4149</v>
      </c>
      <c r="D2123" s="6" t="s">
        <v>6308</v>
      </c>
      <c r="E2123" s="20">
        <f t="shared" si="157"/>
        <v>0</v>
      </c>
      <c r="F2123" s="20">
        <v>25</v>
      </c>
      <c r="G2123" s="24" t="s">
        <v>8578</v>
      </c>
      <c r="H2123" s="20">
        <f t="shared" si="158"/>
        <v>0</v>
      </c>
      <c r="I2123" s="21">
        <f>W2123</f>
        <v>0</v>
      </c>
      <c r="J2123" s="21">
        <f t="shared" ref="J2123:J2131" si="159">X2123</f>
        <v>0</v>
      </c>
    </row>
    <row r="2124" spans="1:10" x14ac:dyDescent="0.3">
      <c r="A2124" s="2" t="s">
        <v>1987</v>
      </c>
      <c r="B2124" s="1" t="s">
        <v>2152</v>
      </c>
      <c r="C2124" s="6" t="s">
        <v>4150</v>
      </c>
      <c r="D2124" s="6" t="s">
        <v>6309</v>
      </c>
      <c r="E2124" s="20">
        <f t="shared" si="157"/>
        <v>0</v>
      </c>
      <c r="F2124" s="20">
        <v>45</v>
      </c>
      <c r="G2124" s="24" t="s">
        <v>8579</v>
      </c>
      <c r="H2124" s="20">
        <f t="shared" si="158"/>
        <v>0</v>
      </c>
      <c r="I2124" s="21">
        <f>W2124</f>
        <v>0</v>
      </c>
      <c r="J2124" s="21">
        <f t="shared" si="159"/>
        <v>0</v>
      </c>
    </row>
    <row r="2125" spans="1:10" x14ac:dyDescent="0.3">
      <c r="A2125" s="2" t="s">
        <v>564</v>
      </c>
      <c r="B2125" s="1" t="s">
        <v>2152</v>
      </c>
      <c r="C2125" s="6" t="s">
        <v>2711</v>
      </c>
      <c r="D2125" s="6" t="s">
        <v>4878</v>
      </c>
      <c r="E2125" s="20">
        <f t="shared" si="157"/>
        <v>0</v>
      </c>
      <c r="F2125" s="20">
        <v>400</v>
      </c>
      <c r="G2125" s="24" t="s">
        <v>8580</v>
      </c>
      <c r="H2125" s="20">
        <f t="shared" si="158"/>
        <v>0</v>
      </c>
      <c r="I2125" s="21">
        <f t="shared" ref="I2125:J2175" si="160">W2125</f>
        <v>0</v>
      </c>
      <c r="J2125" s="21">
        <f t="shared" si="159"/>
        <v>0</v>
      </c>
    </row>
    <row r="2126" spans="1:10" x14ac:dyDescent="0.3">
      <c r="A2126" s="2" t="s">
        <v>1295</v>
      </c>
      <c r="B2126" s="1" t="s">
        <v>2152</v>
      </c>
      <c r="C2126" s="6" t="s">
        <v>3446</v>
      </c>
      <c r="D2126" s="6" t="s">
        <v>5603</v>
      </c>
      <c r="E2126" s="20">
        <f t="shared" si="157"/>
        <v>0</v>
      </c>
      <c r="F2126" s="20">
        <v>900</v>
      </c>
      <c r="G2126" s="24" t="s">
        <v>8581</v>
      </c>
      <c r="H2126" s="20">
        <f t="shared" si="158"/>
        <v>0</v>
      </c>
      <c r="I2126" s="21">
        <f t="shared" si="160"/>
        <v>0</v>
      </c>
      <c r="J2126" s="21">
        <f t="shared" si="159"/>
        <v>0</v>
      </c>
    </row>
    <row r="2127" spans="1:10" x14ac:dyDescent="0.3">
      <c r="A2127" s="2" t="s">
        <v>1375</v>
      </c>
      <c r="B2127" s="1" t="s">
        <v>2152</v>
      </c>
      <c r="C2127" s="6" t="s">
        <v>3528</v>
      </c>
      <c r="D2127" s="6" t="s">
        <v>5686</v>
      </c>
      <c r="E2127" s="20">
        <f t="shared" si="157"/>
        <v>0</v>
      </c>
      <c r="F2127" s="20"/>
      <c r="G2127" s="24" t="s">
        <v>8582</v>
      </c>
      <c r="H2127" s="20">
        <f t="shared" si="158"/>
        <v>0</v>
      </c>
      <c r="I2127" s="21">
        <f t="shared" si="160"/>
        <v>0</v>
      </c>
      <c r="J2127" s="21">
        <f t="shared" si="159"/>
        <v>0</v>
      </c>
    </row>
    <row r="2128" spans="1:10" x14ac:dyDescent="0.3">
      <c r="A2128" s="2" t="s">
        <v>1296</v>
      </c>
      <c r="B2128" s="1" t="s">
        <v>2152</v>
      </c>
      <c r="C2128" s="6" t="s">
        <v>3447</v>
      </c>
      <c r="D2128" s="6" t="s">
        <v>5604</v>
      </c>
      <c r="E2128" s="20">
        <f t="shared" si="157"/>
        <v>0</v>
      </c>
      <c r="F2128" s="20"/>
      <c r="G2128" s="24" t="s">
        <v>8583</v>
      </c>
      <c r="H2128" s="20">
        <f t="shared" si="158"/>
        <v>0</v>
      </c>
      <c r="I2128" s="21">
        <f t="shared" si="160"/>
        <v>0</v>
      </c>
      <c r="J2128" s="21">
        <f t="shared" si="159"/>
        <v>0</v>
      </c>
    </row>
    <row r="2129" spans="1:10" x14ac:dyDescent="0.3">
      <c r="A2129" s="2" t="s">
        <v>565</v>
      </c>
      <c r="B2129" s="1" t="s">
        <v>2152</v>
      </c>
      <c r="C2129" s="6" t="s">
        <v>2712</v>
      </c>
      <c r="D2129" s="6" t="s">
        <v>4879</v>
      </c>
      <c r="E2129" s="20">
        <f t="shared" si="157"/>
        <v>0</v>
      </c>
      <c r="F2129" s="20">
        <v>2500</v>
      </c>
      <c r="G2129" s="24" t="s">
        <v>8584</v>
      </c>
      <c r="H2129" s="20">
        <f t="shared" si="158"/>
        <v>0</v>
      </c>
      <c r="I2129" s="21">
        <f t="shared" si="160"/>
        <v>0</v>
      </c>
      <c r="J2129" s="21">
        <f t="shared" si="159"/>
        <v>0</v>
      </c>
    </row>
    <row r="2130" spans="1:10" x14ac:dyDescent="0.3">
      <c r="A2130" s="2" t="s">
        <v>1376</v>
      </c>
      <c r="B2130" s="1" t="s">
        <v>2152</v>
      </c>
      <c r="C2130" s="6" t="s">
        <v>3529</v>
      </c>
      <c r="D2130" s="6" t="s">
        <v>5687</v>
      </c>
      <c r="E2130" s="20">
        <f t="shared" si="157"/>
        <v>0</v>
      </c>
      <c r="F2130" s="20"/>
      <c r="G2130" s="24" t="s">
        <v>8585</v>
      </c>
      <c r="H2130" s="20">
        <f t="shared" si="158"/>
        <v>0</v>
      </c>
      <c r="I2130" s="21">
        <f t="shared" si="160"/>
        <v>0</v>
      </c>
      <c r="J2130" s="21">
        <f t="shared" si="159"/>
        <v>0</v>
      </c>
    </row>
    <row r="2131" spans="1:10" x14ac:dyDescent="0.3">
      <c r="A2131" s="2" t="s">
        <v>1300</v>
      </c>
      <c r="B2131" s="1" t="s">
        <v>2152</v>
      </c>
      <c r="C2131" s="6" t="s">
        <v>3451</v>
      </c>
      <c r="D2131" s="6" t="s">
        <v>5608</v>
      </c>
      <c r="E2131" s="20">
        <f t="shared" si="157"/>
        <v>0</v>
      </c>
      <c r="F2131" s="20"/>
      <c r="G2131" s="24" t="s">
        <v>8586</v>
      </c>
      <c r="H2131" s="20">
        <f t="shared" si="158"/>
        <v>0</v>
      </c>
      <c r="I2131" s="21">
        <f t="shared" si="160"/>
        <v>0</v>
      </c>
      <c r="J2131" s="21">
        <f t="shared" si="159"/>
        <v>0</v>
      </c>
    </row>
    <row r="2132" spans="1:10" x14ac:dyDescent="0.3">
      <c r="A2132" s="2" t="s">
        <v>1988</v>
      </c>
      <c r="B2132" s="1" t="s">
        <v>2152</v>
      </c>
      <c r="C2132" s="6" t="s">
        <v>4151</v>
      </c>
      <c r="D2132" s="6" t="s">
        <v>6310</v>
      </c>
      <c r="E2132" s="20">
        <f t="shared" si="157"/>
        <v>0</v>
      </c>
      <c r="F2132" s="20">
        <v>750</v>
      </c>
      <c r="G2132" s="24" t="s">
        <v>8587</v>
      </c>
      <c r="H2132" s="20">
        <f t="shared" si="158"/>
        <v>0</v>
      </c>
      <c r="I2132" s="21">
        <f t="shared" si="160"/>
        <v>0</v>
      </c>
      <c r="J2132" s="21">
        <f>X2132</f>
        <v>0</v>
      </c>
    </row>
    <row r="2133" spans="1:10" x14ac:dyDescent="0.3">
      <c r="A2133" s="2" t="s">
        <v>1989</v>
      </c>
      <c r="B2133" s="1" t="s">
        <v>2152</v>
      </c>
      <c r="C2133" s="6" t="s">
        <v>4152</v>
      </c>
      <c r="D2133" s="6" t="s">
        <v>6311</v>
      </c>
      <c r="E2133" s="20">
        <f t="shared" si="157"/>
        <v>0</v>
      </c>
      <c r="F2133" s="20">
        <v>600</v>
      </c>
      <c r="G2133" s="24" t="s">
        <v>8588</v>
      </c>
      <c r="H2133" s="20">
        <f t="shared" si="158"/>
        <v>0</v>
      </c>
      <c r="I2133" s="21">
        <f t="shared" si="160"/>
        <v>0</v>
      </c>
      <c r="J2133" s="21">
        <f>X2133</f>
        <v>0</v>
      </c>
    </row>
    <row r="2134" spans="1:10" x14ac:dyDescent="0.3">
      <c r="A2134" s="2" t="s">
        <v>1990</v>
      </c>
      <c r="B2134" s="1" t="s">
        <v>2152</v>
      </c>
      <c r="C2134" s="6" t="s">
        <v>4153</v>
      </c>
      <c r="D2134" s="6" t="s">
        <v>6312</v>
      </c>
      <c r="E2134" s="20">
        <f t="shared" si="157"/>
        <v>0</v>
      </c>
      <c r="F2134" s="20">
        <v>1500</v>
      </c>
      <c r="G2134" s="24" t="s">
        <v>8589</v>
      </c>
      <c r="H2134" s="20">
        <f t="shared" si="158"/>
        <v>0</v>
      </c>
      <c r="I2134" s="21">
        <f t="shared" si="160"/>
        <v>0</v>
      </c>
      <c r="J2134" s="21">
        <f>X2134</f>
        <v>0</v>
      </c>
    </row>
    <row r="2135" spans="1:10" x14ac:dyDescent="0.3">
      <c r="A2135" s="2" t="s">
        <v>1991</v>
      </c>
      <c r="B2135" s="1" t="s">
        <v>2152</v>
      </c>
      <c r="C2135" s="6" t="s">
        <v>4154</v>
      </c>
      <c r="D2135" s="6" t="s">
        <v>6313</v>
      </c>
      <c r="E2135" s="20">
        <f t="shared" si="157"/>
        <v>0</v>
      </c>
      <c r="F2135" s="20">
        <v>3750</v>
      </c>
      <c r="G2135" s="24" t="s">
        <v>8590</v>
      </c>
      <c r="H2135" s="20">
        <f t="shared" si="158"/>
        <v>0</v>
      </c>
      <c r="I2135" s="21">
        <f>W2135</f>
        <v>0</v>
      </c>
      <c r="J2135" s="21">
        <f>X2135</f>
        <v>0</v>
      </c>
    </row>
    <row r="2136" spans="1:10" x14ac:dyDescent="0.3">
      <c r="A2136" s="2" t="s">
        <v>1992</v>
      </c>
      <c r="B2136" s="1" t="s">
        <v>2152</v>
      </c>
      <c r="C2136" s="6" t="s">
        <v>4155</v>
      </c>
      <c r="D2136" s="6" t="s">
        <v>6314</v>
      </c>
      <c r="E2136" s="20">
        <f t="shared" si="157"/>
        <v>0</v>
      </c>
      <c r="F2136" s="20">
        <v>3600</v>
      </c>
      <c r="G2136" s="24" t="s">
        <v>8591</v>
      </c>
      <c r="H2136" s="20">
        <f t="shared" si="158"/>
        <v>0</v>
      </c>
      <c r="I2136" s="21">
        <f t="shared" si="160"/>
        <v>0</v>
      </c>
      <c r="J2136" s="21">
        <f t="shared" si="160"/>
        <v>0</v>
      </c>
    </row>
    <row r="2137" spans="1:10" x14ac:dyDescent="0.3">
      <c r="A2137" s="2" t="s">
        <v>1993</v>
      </c>
      <c r="B2137" s="1" t="s">
        <v>2152</v>
      </c>
      <c r="C2137" s="6" t="s">
        <v>4156</v>
      </c>
      <c r="D2137" s="6" t="s">
        <v>6315</v>
      </c>
      <c r="E2137" s="20">
        <f t="shared" si="157"/>
        <v>0</v>
      </c>
      <c r="F2137" s="20">
        <v>7200</v>
      </c>
      <c r="G2137" s="24" t="s">
        <v>8592</v>
      </c>
      <c r="H2137" s="20">
        <f t="shared" si="158"/>
        <v>0</v>
      </c>
      <c r="I2137" s="21">
        <f t="shared" si="160"/>
        <v>0</v>
      </c>
      <c r="J2137" s="21">
        <f t="shared" si="160"/>
        <v>0</v>
      </c>
    </row>
    <row r="2138" spans="1:10" x14ac:dyDescent="0.3">
      <c r="A2138" s="2" t="s">
        <v>1994</v>
      </c>
      <c r="B2138" s="1" t="s">
        <v>2152</v>
      </c>
      <c r="C2138" s="6" t="s">
        <v>4157</v>
      </c>
      <c r="D2138" s="6" t="s">
        <v>6316</v>
      </c>
      <c r="E2138" s="20">
        <f t="shared" si="157"/>
        <v>0</v>
      </c>
      <c r="F2138" s="20">
        <v>17000</v>
      </c>
      <c r="G2138" s="24" t="s">
        <v>8593</v>
      </c>
      <c r="H2138" s="20">
        <f t="shared" si="158"/>
        <v>0</v>
      </c>
      <c r="I2138" s="21">
        <f t="shared" si="160"/>
        <v>0</v>
      </c>
      <c r="J2138" s="21">
        <f t="shared" si="160"/>
        <v>0</v>
      </c>
    </row>
    <row r="2139" spans="1:10" x14ac:dyDescent="0.3">
      <c r="A2139" s="2" t="s">
        <v>1995</v>
      </c>
      <c r="B2139" s="1" t="s">
        <v>2152</v>
      </c>
      <c r="C2139" s="6" t="s">
        <v>4158</v>
      </c>
      <c r="D2139" s="6" t="s">
        <v>6317</v>
      </c>
      <c r="E2139" s="20">
        <f t="shared" si="157"/>
        <v>0</v>
      </c>
      <c r="F2139" s="20">
        <v>3200</v>
      </c>
      <c r="G2139" s="24" t="s">
        <v>8594</v>
      </c>
      <c r="H2139" s="20">
        <f t="shared" si="158"/>
        <v>0</v>
      </c>
      <c r="I2139" s="21">
        <f t="shared" si="160"/>
        <v>0</v>
      </c>
      <c r="J2139" s="21">
        <f t="shared" si="160"/>
        <v>0</v>
      </c>
    </row>
    <row r="2140" spans="1:10" x14ac:dyDescent="0.3">
      <c r="A2140" s="2" t="s">
        <v>1996</v>
      </c>
      <c r="B2140" s="1" t="s">
        <v>2152</v>
      </c>
      <c r="C2140" s="6" t="s">
        <v>4159</v>
      </c>
      <c r="D2140" s="6" t="s">
        <v>6318</v>
      </c>
      <c r="E2140" s="20">
        <f t="shared" si="157"/>
        <v>0</v>
      </c>
      <c r="F2140" s="20">
        <v>150</v>
      </c>
      <c r="G2140" s="24" t="s">
        <v>8595</v>
      </c>
      <c r="H2140" s="20">
        <f t="shared" si="158"/>
        <v>0</v>
      </c>
      <c r="I2140" s="21">
        <f t="shared" si="160"/>
        <v>0</v>
      </c>
      <c r="J2140" s="21">
        <f t="shared" si="160"/>
        <v>0</v>
      </c>
    </row>
    <row r="2141" spans="1:10" x14ac:dyDescent="0.3">
      <c r="A2141" s="2" t="s">
        <v>1997</v>
      </c>
      <c r="B2141" s="1" t="s">
        <v>2152</v>
      </c>
      <c r="C2141" s="6" t="s">
        <v>4160</v>
      </c>
      <c r="D2141" s="6" t="s">
        <v>6319</v>
      </c>
      <c r="E2141" s="20">
        <f t="shared" si="157"/>
        <v>0</v>
      </c>
      <c r="F2141" s="20">
        <v>550</v>
      </c>
      <c r="G2141" s="24" t="s">
        <v>8596</v>
      </c>
      <c r="H2141" s="20">
        <f t="shared" si="158"/>
        <v>0</v>
      </c>
      <c r="I2141" s="21">
        <f t="shared" si="160"/>
        <v>0</v>
      </c>
      <c r="J2141" s="21">
        <f t="shared" si="160"/>
        <v>0</v>
      </c>
    </row>
    <row r="2142" spans="1:10" x14ac:dyDescent="0.3">
      <c r="A2142" s="2" t="s">
        <v>951</v>
      </c>
      <c r="B2142" s="1" t="s">
        <v>2152</v>
      </c>
      <c r="C2142" s="6" t="s">
        <v>3103</v>
      </c>
      <c r="D2142" s="6" t="s">
        <v>5264</v>
      </c>
      <c r="E2142" s="20">
        <f t="shared" si="157"/>
        <v>0</v>
      </c>
      <c r="F2142" s="20">
        <v>60</v>
      </c>
      <c r="G2142" s="24" t="s">
        <v>8597</v>
      </c>
      <c r="H2142" s="20">
        <f t="shared" si="158"/>
        <v>0</v>
      </c>
      <c r="I2142" s="21">
        <f t="shared" si="160"/>
        <v>0</v>
      </c>
      <c r="J2142" s="21">
        <f t="shared" si="160"/>
        <v>0</v>
      </c>
    </row>
    <row r="2143" spans="1:10" x14ac:dyDescent="0.3">
      <c r="A2143" s="2" t="s">
        <v>952</v>
      </c>
      <c r="B2143" s="1" t="s">
        <v>2152</v>
      </c>
      <c r="C2143" s="6" t="s">
        <v>3104</v>
      </c>
      <c r="D2143" s="6" t="s">
        <v>5265</v>
      </c>
      <c r="E2143" s="20">
        <f t="shared" si="157"/>
        <v>0</v>
      </c>
      <c r="F2143" s="20">
        <v>1500</v>
      </c>
      <c r="G2143" s="24" t="s">
        <v>8598</v>
      </c>
      <c r="H2143" s="20">
        <f t="shared" si="158"/>
        <v>0</v>
      </c>
      <c r="I2143" s="21">
        <f>W2143</f>
        <v>0</v>
      </c>
      <c r="J2143" s="21">
        <f t="shared" si="160"/>
        <v>0</v>
      </c>
    </row>
    <row r="2144" spans="1:10" x14ac:dyDescent="0.3">
      <c r="A2144" s="2" t="s">
        <v>949</v>
      </c>
      <c r="B2144" s="1" t="s">
        <v>2152</v>
      </c>
      <c r="C2144" s="6" t="s">
        <v>3101</v>
      </c>
      <c r="D2144" s="6" t="s">
        <v>5262</v>
      </c>
      <c r="E2144" s="20">
        <f t="shared" si="157"/>
        <v>0</v>
      </c>
      <c r="F2144" s="20">
        <v>50</v>
      </c>
      <c r="G2144" s="24" t="s">
        <v>8599</v>
      </c>
      <c r="H2144" s="20">
        <f t="shared" si="158"/>
        <v>0</v>
      </c>
      <c r="I2144" s="21">
        <f t="shared" si="160"/>
        <v>0</v>
      </c>
      <c r="J2144" s="21">
        <f t="shared" si="160"/>
        <v>0</v>
      </c>
    </row>
    <row r="2145" spans="1:10" x14ac:dyDescent="0.3">
      <c r="A2145" s="2" t="s">
        <v>950</v>
      </c>
      <c r="B2145" s="1" t="s">
        <v>2152</v>
      </c>
      <c r="C2145" s="6" t="s">
        <v>3102</v>
      </c>
      <c r="D2145" s="6" t="s">
        <v>5263</v>
      </c>
      <c r="E2145" s="20">
        <f t="shared" si="157"/>
        <v>0</v>
      </c>
      <c r="F2145" s="20">
        <v>400</v>
      </c>
      <c r="G2145" s="24" t="s">
        <v>8600</v>
      </c>
      <c r="H2145" s="20">
        <f t="shared" si="158"/>
        <v>0</v>
      </c>
      <c r="I2145" s="21">
        <f>W2145</f>
        <v>0</v>
      </c>
      <c r="J2145" s="21">
        <f t="shared" si="160"/>
        <v>0</v>
      </c>
    </row>
    <row r="2146" spans="1:10" x14ac:dyDescent="0.3">
      <c r="A2146" s="2" t="s">
        <v>569</v>
      </c>
      <c r="B2146" s="1" t="s">
        <v>2152</v>
      </c>
      <c r="C2146" s="6" t="s">
        <v>2716</v>
      </c>
      <c r="D2146" s="6" t="s">
        <v>6320</v>
      </c>
      <c r="E2146" s="20">
        <f t="shared" si="157"/>
        <v>0</v>
      </c>
      <c r="F2146" s="20">
        <v>80</v>
      </c>
      <c r="G2146" s="24" t="s">
        <v>8601</v>
      </c>
      <c r="H2146" s="20">
        <f t="shared" si="158"/>
        <v>0</v>
      </c>
      <c r="I2146" s="21">
        <f t="shared" si="160"/>
        <v>0</v>
      </c>
      <c r="J2146" s="21">
        <f t="shared" si="160"/>
        <v>0</v>
      </c>
    </row>
    <row r="2147" spans="1:10" x14ac:dyDescent="0.3">
      <c r="A2147" s="2" t="s">
        <v>1998</v>
      </c>
      <c r="B2147" s="1" t="s">
        <v>2152</v>
      </c>
      <c r="C2147" s="6" t="s">
        <v>4161</v>
      </c>
      <c r="D2147" s="6" t="s">
        <v>6321</v>
      </c>
      <c r="E2147" s="20">
        <f t="shared" si="157"/>
        <v>0</v>
      </c>
      <c r="F2147" s="20">
        <v>1150</v>
      </c>
      <c r="G2147" s="24" t="s">
        <v>8602</v>
      </c>
      <c r="H2147" s="20">
        <f t="shared" si="158"/>
        <v>0</v>
      </c>
      <c r="I2147" s="21">
        <f t="shared" si="160"/>
        <v>0</v>
      </c>
      <c r="J2147" s="21">
        <f t="shared" si="160"/>
        <v>0</v>
      </c>
    </row>
    <row r="2148" spans="1:10" x14ac:dyDescent="0.3">
      <c r="A2148" s="2" t="s">
        <v>554</v>
      </c>
      <c r="B2148" s="1" t="s">
        <v>2152</v>
      </c>
      <c r="C2148" s="6" t="s">
        <v>2701</v>
      </c>
      <c r="D2148" s="6" t="s">
        <v>6322</v>
      </c>
      <c r="E2148" s="20">
        <f t="shared" si="157"/>
        <v>0</v>
      </c>
      <c r="F2148" s="20">
        <v>50</v>
      </c>
      <c r="G2148" s="24" t="s">
        <v>8603</v>
      </c>
      <c r="H2148" s="20">
        <f t="shared" si="158"/>
        <v>0</v>
      </c>
      <c r="I2148" s="21">
        <f t="shared" si="160"/>
        <v>0</v>
      </c>
      <c r="J2148" s="21">
        <f t="shared" si="160"/>
        <v>0</v>
      </c>
    </row>
    <row r="2149" spans="1:10" x14ac:dyDescent="0.3">
      <c r="A2149" s="2" t="s">
        <v>1999</v>
      </c>
      <c r="B2149" s="1" t="s">
        <v>2152</v>
      </c>
      <c r="C2149" s="6" t="s">
        <v>4162</v>
      </c>
      <c r="D2149" s="6" t="s">
        <v>6323</v>
      </c>
      <c r="E2149" s="20">
        <f t="shared" si="157"/>
        <v>0</v>
      </c>
      <c r="F2149" s="20">
        <v>1100</v>
      </c>
      <c r="G2149" s="24" t="s">
        <v>8604</v>
      </c>
      <c r="H2149" s="20">
        <f t="shared" si="158"/>
        <v>0</v>
      </c>
      <c r="I2149" s="21">
        <f>W2149</f>
        <v>0</v>
      </c>
      <c r="J2149" s="21">
        <f t="shared" si="160"/>
        <v>0</v>
      </c>
    </row>
    <row r="2150" spans="1:10" x14ac:dyDescent="0.3">
      <c r="A2150" s="2" t="s">
        <v>1995</v>
      </c>
      <c r="B2150" s="1" t="s">
        <v>2152</v>
      </c>
      <c r="C2150" s="6" t="s">
        <v>4163</v>
      </c>
      <c r="D2150" s="6" t="s">
        <v>6324</v>
      </c>
      <c r="E2150" s="20">
        <f t="shared" si="157"/>
        <v>0</v>
      </c>
      <c r="F2150" s="20">
        <v>125</v>
      </c>
      <c r="G2150" s="24" t="s">
        <v>8605</v>
      </c>
      <c r="H2150" s="20">
        <f t="shared" si="158"/>
        <v>0</v>
      </c>
      <c r="I2150" s="21">
        <f t="shared" si="160"/>
        <v>0</v>
      </c>
      <c r="J2150" s="21">
        <f t="shared" si="160"/>
        <v>0</v>
      </c>
    </row>
    <row r="2151" spans="1:10" x14ac:dyDescent="0.3">
      <c r="A2151" s="2" t="s">
        <v>2000</v>
      </c>
      <c r="B2151" s="1" t="s">
        <v>2152</v>
      </c>
      <c r="C2151" s="6" t="s">
        <v>4164</v>
      </c>
      <c r="D2151" s="6" t="s">
        <v>6325</v>
      </c>
      <c r="E2151" s="20">
        <f t="shared" si="157"/>
        <v>0</v>
      </c>
      <c r="F2151" s="20">
        <v>1100</v>
      </c>
      <c r="G2151" s="24" t="s">
        <v>8606</v>
      </c>
      <c r="H2151" s="20">
        <f t="shared" si="158"/>
        <v>0</v>
      </c>
      <c r="I2151" s="21">
        <f t="shared" si="160"/>
        <v>0</v>
      </c>
      <c r="J2151" s="21">
        <f t="shared" si="160"/>
        <v>0</v>
      </c>
    </row>
    <row r="2152" spans="1:10" x14ac:dyDescent="0.3">
      <c r="A2152" s="2" t="s">
        <v>2001</v>
      </c>
      <c r="B2152" s="1" t="s">
        <v>2152</v>
      </c>
      <c r="C2152" s="6" t="s">
        <v>4165</v>
      </c>
      <c r="D2152" s="6" t="s">
        <v>6326</v>
      </c>
      <c r="E2152" s="20">
        <f t="shared" si="157"/>
        <v>0</v>
      </c>
      <c r="F2152" s="20">
        <v>40</v>
      </c>
      <c r="G2152" s="24" t="s">
        <v>8607</v>
      </c>
      <c r="H2152" s="20">
        <f t="shared" si="158"/>
        <v>0</v>
      </c>
      <c r="I2152" s="21">
        <f t="shared" si="160"/>
        <v>0</v>
      </c>
      <c r="J2152" s="21">
        <f t="shared" si="160"/>
        <v>0</v>
      </c>
    </row>
    <row r="2153" spans="1:10" x14ac:dyDescent="0.3">
      <c r="A2153" s="2" t="s">
        <v>2002</v>
      </c>
      <c r="B2153" s="1" t="s">
        <v>2152</v>
      </c>
      <c r="C2153" s="6" t="s">
        <v>4166</v>
      </c>
      <c r="D2153" s="6" t="s">
        <v>6327</v>
      </c>
      <c r="E2153" s="20">
        <f t="shared" si="157"/>
        <v>0</v>
      </c>
      <c r="F2153" s="20">
        <v>70</v>
      </c>
      <c r="G2153" s="24" t="s">
        <v>8608</v>
      </c>
      <c r="H2153" s="20">
        <f t="shared" si="158"/>
        <v>0</v>
      </c>
      <c r="I2153" s="21">
        <f t="shared" si="160"/>
        <v>0</v>
      </c>
      <c r="J2153" s="21">
        <f t="shared" si="160"/>
        <v>0</v>
      </c>
    </row>
    <row r="2154" spans="1:10" x14ac:dyDescent="0.3">
      <c r="A2154" s="2" t="s">
        <v>2003</v>
      </c>
      <c r="B2154" s="1" t="s">
        <v>2152</v>
      </c>
      <c r="C2154" s="6" t="s">
        <v>4167</v>
      </c>
      <c r="D2154" s="6" t="s">
        <v>6328</v>
      </c>
      <c r="E2154" s="20">
        <f t="shared" si="157"/>
        <v>0</v>
      </c>
      <c r="F2154" s="20">
        <v>30</v>
      </c>
      <c r="G2154" s="24" t="s">
        <v>8609</v>
      </c>
      <c r="H2154" s="20">
        <f t="shared" si="158"/>
        <v>0</v>
      </c>
      <c r="I2154" s="21">
        <f t="shared" si="160"/>
        <v>0</v>
      </c>
      <c r="J2154" s="21">
        <f t="shared" si="160"/>
        <v>0</v>
      </c>
    </row>
    <row r="2155" spans="1:10" x14ac:dyDescent="0.3">
      <c r="A2155" s="2" t="s">
        <v>2004</v>
      </c>
      <c r="B2155" s="1" t="s">
        <v>2152</v>
      </c>
      <c r="C2155" s="6" t="s">
        <v>4168</v>
      </c>
      <c r="D2155" s="6" t="s">
        <v>6329</v>
      </c>
      <c r="E2155" s="20">
        <f t="shared" si="157"/>
        <v>0</v>
      </c>
      <c r="F2155" s="20">
        <v>25</v>
      </c>
      <c r="G2155" s="24" t="s">
        <v>8610</v>
      </c>
      <c r="H2155" s="20">
        <f t="shared" si="158"/>
        <v>0</v>
      </c>
      <c r="I2155" s="21">
        <f t="shared" si="160"/>
        <v>0</v>
      </c>
      <c r="J2155" s="21">
        <f t="shared" si="160"/>
        <v>0</v>
      </c>
    </row>
    <row r="2156" spans="1:10" x14ac:dyDescent="0.3">
      <c r="A2156" s="2" t="s">
        <v>530</v>
      </c>
      <c r="B2156" s="1" t="s">
        <v>2152</v>
      </c>
      <c r="C2156" s="6" t="s">
        <v>4169</v>
      </c>
      <c r="D2156" s="6" t="s">
        <v>4843</v>
      </c>
      <c r="E2156" s="20">
        <f t="shared" si="157"/>
        <v>0</v>
      </c>
      <c r="F2156" s="20">
        <v>75</v>
      </c>
      <c r="G2156" s="24" t="s">
        <v>8611</v>
      </c>
      <c r="H2156" s="20">
        <f t="shared" si="158"/>
        <v>0</v>
      </c>
      <c r="I2156" s="21">
        <f t="shared" si="160"/>
        <v>0</v>
      </c>
      <c r="J2156" s="21">
        <f t="shared" si="160"/>
        <v>0</v>
      </c>
    </row>
    <row r="2157" spans="1:10" x14ac:dyDescent="0.3">
      <c r="A2157" s="2" t="s">
        <v>529</v>
      </c>
      <c r="B2157" s="1" t="s">
        <v>2152</v>
      </c>
      <c r="C2157" s="6" t="s">
        <v>4170</v>
      </c>
      <c r="D2157" s="6" t="s">
        <v>4842</v>
      </c>
      <c r="E2157" s="20">
        <f t="shared" si="157"/>
        <v>0</v>
      </c>
      <c r="F2157" s="20">
        <v>350</v>
      </c>
      <c r="G2157" s="24" t="s">
        <v>8612</v>
      </c>
      <c r="H2157" s="20">
        <f t="shared" si="158"/>
        <v>0</v>
      </c>
      <c r="I2157" s="21">
        <f t="shared" si="160"/>
        <v>0</v>
      </c>
      <c r="J2157" s="21">
        <f t="shared" si="160"/>
        <v>0</v>
      </c>
    </row>
    <row r="2158" spans="1:10" x14ac:dyDescent="0.3">
      <c r="A2158" s="2" t="s">
        <v>2005</v>
      </c>
      <c r="B2158" s="1" t="s">
        <v>2152</v>
      </c>
      <c r="C2158" s="6" t="s">
        <v>4171</v>
      </c>
      <c r="D2158" s="6" t="s">
        <v>6330</v>
      </c>
      <c r="E2158" s="20">
        <f t="shared" si="157"/>
        <v>0</v>
      </c>
      <c r="F2158" s="20">
        <v>60</v>
      </c>
      <c r="G2158" s="24" t="s">
        <v>8613</v>
      </c>
      <c r="H2158" s="20">
        <f t="shared" si="158"/>
        <v>0</v>
      </c>
      <c r="I2158" s="21">
        <f t="shared" si="160"/>
        <v>0</v>
      </c>
      <c r="J2158" s="21">
        <f t="shared" si="160"/>
        <v>0</v>
      </c>
    </row>
    <row r="2159" spans="1:10" x14ac:dyDescent="0.3">
      <c r="A2159" s="2" t="s">
        <v>2006</v>
      </c>
      <c r="B2159" s="1" t="s">
        <v>2152</v>
      </c>
      <c r="C2159" s="6" t="s">
        <v>4172</v>
      </c>
      <c r="D2159" s="6" t="s">
        <v>6331</v>
      </c>
      <c r="E2159" s="20">
        <f t="shared" si="157"/>
        <v>0</v>
      </c>
      <c r="F2159" s="20">
        <v>110</v>
      </c>
      <c r="G2159" s="24" t="s">
        <v>8614</v>
      </c>
      <c r="H2159" s="20">
        <f t="shared" si="158"/>
        <v>0</v>
      </c>
      <c r="I2159" s="21">
        <f t="shared" si="160"/>
        <v>0</v>
      </c>
      <c r="J2159" s="21">
        <f t="shared" si="160"/>
        <v>0</v>
      </c>
    </row>
    <row r="2160" spans="1:10" x14ac:dyDescent="0.3">
      <c r="A2160" s="2" t="s">
        <v>2007</v>
      </c>
      <c r="B2160" s="1" t="s">
        <v>2152</v>
      </c>
      <c r="C2160" s="6" t="s">
        <v>4173</v>
      </c>
      <c r="D2160" s="6" t="s">
        <v>6332</v>
      </c>
      <c r="E2160" s="20">
        <f t="shared" si="157"/>
        <v>0</v>
      </c>
      <c r="F2160" s="20">
        <v>400</v>
      </c>
      <c r="G2160" s="24" t="s">
        <v>8615</v>
      </c>
      <c r="H2160" s="20">
        <f t="shared" si="158"/>
        <v>0</v>
      </c>
      <c r="I2160" s="21">
        <f>W2160</f>
        <v>0</v>
      </c>
      <c r="J2160" s="21">
        <f>X2160</f>
        <v>0</v>
      </c>
    </row>
    <row r="2161" spans="1:10" x14ac:dyDescent="0.3">
      <c r="A2161" s="2" t="s">
        <v>1210</v>
      </c>
      <c r="B2161" s="1" t="s">
        <v>2152</v>
      </c>
      <c r="C2161" s="6" t="s">
        <v>4174</v>
      </c>
      <c r="D2161" s="6" t="s">
        <v>6333</v>
      </c>
      <c r="E2161" s="20">
        <f t="shared" si="157"/>
        <v>0</v>
      </c>
      <c r="F2161" s="20">
        <v>110</v>
      </c>
      <c r="G2161" s="24" t="s">
        <v>8616</v>
      </c>
      <c r="H2161" s="20">
        <f t="shared" si="158"/>
        <v>0</v>
      </c>
      <c r="I2161" s="21">
        <f t="shared" si="160"/>
        <v>0</v>
      </c>
      <c r="J2161" s="21">
        <f t="shared" si="160"/>
        <v>0</v>
      </c>
    </row>
    <row r="2162" spans="1:10" x14ac:dyDescent="0.3">
      <c r="A2162" s="2" t="s">
        <v>2008</v>
      </c>
      <c r="B2162" s="1" t="s">
        <v>2152</v>
      </c>
      <c r="C2162" s="6" t="s">
        <v>4175</v>
      </c>
      <c r="D2162" s="6" t="s">
        <v>6334</v>
      </c>
      <c r="E2162" s="20">
        <f t="shared" si="157"/>
        <v>0</v>
      </c>
      <c r="F2162" s="20">
        <v>50</v>
      </c>
      <c r="G2162" s="24" t="s">
        <v>8617</v>
      </c>
      <c r="H2162" s="20">
        <f t="shared" si="158"/>
        <v>0</v>
      </c>
      <c r="I2162" s="21">
        <f t="shared" si="160"/>
        <v>0</v>
      </c>
      <c r="J2162" s="21">
        <f t="shared" si="160"/>
        <v>0</v>
      </c>
    </row>
    <row r="2163" spans="1:10" x14ac:dyDescent="0.3">
      <c r="A2163" s="2" t="s">
        <v>2009</v>
      </c>
      <c r="B2163" s="1" t="s">
        <v>2152</v>
      </c>
      <c r="C2163" s="6" t="s">
        <v>4176</v>
      </c>
      <c r="D2163" s="6" t="s">
        <v>6335</v>
      </c>
      <c r="E2163" s="20">
        <f t="shared" si="157"/>
        <v>0</v>
      </c>
      <c r="F2163" s="20">
        <v>90</v>
      </c>
      <c r="G2163" s="24" t="s">
        <v>8618</v>
      </c>
      <c r="H2163" s="20">
        <f t="shared" si="158"/>
        <v>0</v>
      </c>
      <c r="I2163" s="21">
        <f t="shared" si="160"/>
        <v>0</v>
      </c>
      <c r="J2163" s="21">
        <f t="shared" si="160"/>
        <v>0</v>
      </c>
    </row>
    <row r="2164" spans="1:10" x14ac:dyDescent="0.3">
      <c r="A2164" s="2" t="s">
        <v>555</v>
      </c>
      <c r="B2164" s="1" t="s">
        <v>2152</v>
      </c>
      <c r="C2164" s="6" t="s">
        <v>2702</v>
      </c>
      <c r="D2164" s="6" t="s">
        <v>4870</v>
      </c>
      <c r="E2164" s="20">
        <f t="shared" si="157"/>
        <v>0</v>
      </c>
      <c r="F2164" s="20">
        <v>50</v>
      </c>
      <c r="G2164" s="24" t="s">
        <v>8619</v>
      </c>
      <c r="H2164" s="20">
        <f t="shared" si="158"/>
        <v>0</v>
      </c>
      <c r="I2164" s="21">
        <f t="shared" si="160"/>
        <v>0</v>
      </c>
      <c r="J2164" s="21">
        <f t="shared" si="160"/>
        <v>0</v>
      </c>
    </row>
    <row r="2165" spans="1:10" x14ac:dyDescent="0.3">
      <c r="A2165" s="2" t="s">
        <v>556</v>
      </c>
      <c r="B2165" s="1" t="s">
        <v>2152</v>
      </c>
      <c r="C2165" s="6" t="s">
        <v>2703</v>
      </c>
      <c r="D2165" s="6" t="s">
        <v>4871</v>
      </c>
      <c r="E2165" s="20">
        <f t="shared" si="157"/>
        <v>0</v>
      </c>
      <c r="F2165" s="20">
        <v>500</v>
      </c>
      <c r="G2165" s="24" t="s">
        <v>8620</v>
      </c>
      <c r="H2165" s="20">
        <f t="shared" si="158"/>
        <v>0</v>
      </c>
      <c r="I2165" s="21">
        <f t="shared" si="160"/>
        <v>0</v>
      </c>
      <c r="J2165" s="21">
        <f t="shared" si="160"/>
        <v>0</v>
      </c>
    </row>
    <row r="2166" spans="1:10" x14ac:dyDescent="0.3">
      <c r="A2166" s="2" t="s">
        <v>2010</v>
      </c>
      <c r="B2166" s="1" t="s">
        <v>2152</v>
      </c>
      <c r="C2166" s="6" t="s">
        <v>4177</v>
      </c>
      <c r="D2166" s="6" t="s">
        <v>6336</v>
      </c>
      <c r="E2166" s="20">
        <f t="shared" si="157"/>
        <v>0</v>
      </c>
      <c r="F2166" s="20">
        <v>140</v>
      </c>
      <c r="G2166" s="24" t="s">
        <v>8621</v>
      </c>
      <c r="H2166" s="20">
        <f t="shared" si="158"/>
        <v>0</v>
      </c>
      <c r="I2166" s="21">
        <f t="shared" si="160"/>
        <v>0</v>
      </c>
      <c r="J2166" s="21">
        <f t="shared" si="160"/>
        <v>0</v>
      </c>
    </row>
    <row r="2167" spans="1:10" x14ac:dyDescent="0.3">
      <c r="A2167" s="2" t="s">
        <v>2011</v>
      </c>
      <c r="B2167" s="1" t="s">
        <v>2152</v>
      </c>
      <c r="C2167" s="6" t="s">
        <v>4178</v>
      </c>
      <c r="D2167" s="6" t="s">
        <v>6337</v>
      </c>
      <c r="E2167" s="20">
        <f t="shared" si="157"/>
        <v>0</v>
      </c>
      <c r="F2167" s="20"/>
      <c r="G2167" s="24" t="s">
        <v>8622</v>
      </c>
      <c r="H2167" s="20">
        <f t="shared" si="158"/>
        <v>0</v>
      </c>
      <c r="I2167" s="21">
        <f t="shared" si="160"/>
        <v>0</v>
      </c>
      <c r="J2167" s="21">
        <f t="shared" si="160"/>
        <v>0</v>
      </c>
    </row>
    <row r="2168" spans="1:10" x14ac:dyDescent="0.3">
      <c r="A2168" s="2" t="s">
        <v>1107</v>
      </c>
      <c r="B2168" s="1" t="s">
        <v>2152</v>
      </c>
      <c r="C2168" s="6" t="s">
        <v>3262</v>
      </c>
      <c r="D2168" s="6" t="s">
        <v>6338</v>
      </c>
      <c r="E2168" s="20">
        <f>H2168*1.8*1.4</f>
        <v>0</v>
      </c>
      <c r="F2168" s="20">
        <v>40</v>
      </c>
      <c r="G2168" s="24" t="s">
        <v>8623</v>
      </c>
      <c r="H2168" s="20">
        <f>K2168*1.8*1.4</f>
        <v>0</v>
      </c>
      <c r="I2168" s="21">
        <f t="shared" si="160"/>
        <v>0</v>
      </c>
      <c r="J2168" s="21">
        <f t="shared" si="160"/>
        <v>0</v>
      </c>
    </row>
    <row r="2169" spans="1:10" x14ac:dyDescent="0.3">
      <c r="A2169" s="2" t="s">
        <v>1153</v>
      </c>
      <c r="B2169" s="1" t="s">
        <v>2152</v>
      </c>
      <c r="C2169" s="6" t="s">
        <v>4179</v>
      </c>
      <c r="D2169" s="6" t="s">
        <v>6339</v>
      </c>
      <c r="E2169" s="20">
        <f>H2169*1.8*1.4</f>
        <v>0</v>
      </c>
      <c r="F2169" s="20">
        <v>30</v>
      </c>
      <c r="G2169" s="24" t="s">
        <v>8624</v>
      </c>
      <c r="H2169" s="20">
        <f>K2169*1.8*1.4</f>
        <v>0</v>
      </c>
      <c r="I2169" s="21">
        <f t="shared" si="160"/>
        <v>0</v>
      </c>
      <c r="J2169" s="21">
        <f t="shared" si="160"/>
        <v>0</v>
      </c>
    </row>
    <row r="2170" spans="1:10" x14ac:dyDescent="0.3">
      <c r="A2170" s="2" t="s">
        <v>2012</v>
      </c>
      <c r="B2170" s="1" t="s">
        <v>2152</v>
      </c>
      <c r="C2170" s="6" t="s">
        <v>4180</v>
      </c>
      <c r="D2170" s="6" t="s">
        <v>6340</v>
      </c>
      <c r="E2170" s="20">
        <f t="shared" si="157"/>
        <v>0</v>
      </c>
      <c r="F2170" s="20">
        <v>29000</v>
      </c>
      <c r="G2170" s="24" t="s">
        <v>8625</v>
      </c>
      <c r="H2170" s="20">
        <f t="shared" si="158"/>
        <v>0</v>
      </c>
      <c r="I2170" s="21">
        <f t="shared" si="160"/>
        <v>0</v>
      </c>
      <c r="J2170" s="21">
        <f t="shared" si="160"/>
        <v>0</v>
      </c>
    </row>
    <row r="2171" spans="1:10" x14ac:dyDescent="0.3">
      <c r="A2171" s="2" t="s">
        <v>2013</v>
      </c>
      <c r="B2171" s="1" t="s">
        <v>2152</v>
      </c>
      <c r="C2171" s="6" t="s">
        <v>4181</v>
      </c>
      <c r="D2171" s="6" t="s">
        <v>6341</v>
      </c>
      <c r="E2171" s="20">
        <f t="shared" si="157"/>
        <v>0</v>
      </c>
      <c r="F2171" s="20"/>
      <c r="G2171" s="24" t="s">
        <v>8626</v>
      </c>
      <c r="H2171" s="20">
        <f t="shared" si="158"/>
        <v>0</v>
      </c>
      <c r="I2171" s="21">
        <f t="shared" si="160"/>
        <v>0</v>
      </c>
      <c r="J2171" s="21">
        <f t="shared" si="160"/>
        <v>0</v>
      </c>
    </row>
    <row r="2172" spans="1:10" x14ac:dyDescent="0.3">
      <c r="A2172" s="2" t="s">
        <v>2014</v>
      </c>
      <c r="B2172" s="1" t="s">
        <v>2152</v>
      </c>
      <c r="C2172" s="6" t="s">
        <v>4182</v>
      </c>
      <c r="D2172" s="6" t="s">
        <v>6342</v>
      </c>
      <c r="E2172" s="20">
        <f t="shared" si="157"/>
        <v>0</v>
      </c>
      <c r="F2172" s="20"/>
      <c r="G2172" s="24" t="s">
        <v>8627</v>
      </c>
      <c r="H2172" s="20">
        <f t="shared" si="158"/>
        <v>0</v>
      </c>
      <c r="I2172" s="21">
        <f t="shared" si="160"/>
        <v>0</v>
      </c>
      <c r="J2172" s="21">
        <f t="shared" si="160"/>
        <v>0</v>
      </c>
    </row>
    <row r="2173" spans="1:10" x14ac:dyDescent="0.3">
      <c r="A2173" s="2" t="s">
        <v>2015</v>
      </c>
      <c r="B2173" s="1" t="s">
        <v>2152</v>
      </c>
      <c r="C2173" s="6" t="s">
        <v>4183</v>
      </c>
      <c r="D2173" s="6" t="s">
        <v>6343</v>
      </c>
      <c r="E2173" s="20">
        <f t="shared" si="157"/>
        <v>0</v>
      </c>
      <c r="F2173" s="20"/>
      <c r="G2173" s="24" t="s">
        <v>8628</v>
      </c>
      <c r="H2173" s="20">
        <f t="shared" si="158"/>
        <v>0</v>
      </c>
      <c r="I2173" s="21">
        <f t="shared" si="160"/>
        <v>0</v>
      </c>
      <c r="J2173" s="21">
        <f t="shared" si="160"/>
        <v>0</v>
      </c>
    </row>
    <row r="2174" spans="1:10" x14ac:dyDescent="0.3">
      <c r="A2174" s="2" t="s">
        <v>2016</v>
      </c>
      <c r="B2174" s="1" t="s">
        <v>2152</v>
      </c>
      <c r="C2174" s="6" t="s">
        <v>4184</v>
      </c>
      <c r="D2174" s="6" t="s">
        <v>6344</v>
      </c>
      <c r="E2174" s="20">
        <f t="shared" si="157"/>
        <v>0</v>
      </c>
      <c r="F2174" s="20"/>
      <c r="G2174" s="24" t="s">
        <v>8629</v>
      </c>
      <c r="H2174" s="20">
        <f t="shared" si="158"/>
        <v>0</v>
      </c>
      <c r="I2174" s="21">
        <f t="shared" si="160"/>
        <v>0</v>
      </c>
      <c r="J2174" s="21">
        <f t="shared" si="160"/>
        <v>0</v>
      </c>
    </row>
    <row r="2175" spans="1:10" x14ac:dyDescent="0.3">
      <c r="A2175" s="2" t="s">
        <v>2017</v>
      </c>
      <c r="B2175" s="1" t="s">
        <v>2152</v>
      </c>
      <c r="C2175" s="6" t="s">
        <v>4185</v>
      </c>
      <c r="D2175" s="6" t="s">
        <v>6345</v>
      </c>
      <c r="E2175" s="20">
        <f t="shared" si="157"/>
        <v>0</v>
      </c>
      <c r="F2175" s="20"/>
      <c r="G2175" s="24" t="s">
        <v>8630</v>
      </c>
      <c r="H2175" s="20">
        <f t="shared" si="158"/>
        <v>0</v>
      </c>
      <c r="I2175" s="21">
        <f t="shared" si="160"/>
        <v>0</v>
      </c>
      <c r="J2175" s="21">
        <f t="shared" si="160"/>
        <v>0</v>
      </c>
    </row>
    <row r="2176" spans="1:10" x14ac:dyDescent="0.3">
      <c r="A2176" s="2" t="s">
        <v>2018</v>
      </c>
      <c r="B2176" s="1" t="s">
        <v>2152</v>
      </c>
      <c r="C2176" s="6" t="s">
        <v>4186</v>
      </c>
      <c r="D2176" s="6" t="s">
        <v>6346</v>
      </c>
      <c r="E2176" s="20">
        <f t="shared" si="157"/>
        <v>0</v>
      </c>
      <c r="F2176" s="20"/>
      <c r="G2176" s="24" t="s">
        <v>8631</v>
      </c>
      <c r="H2176" s="20">
        <f t="shared" si="158"/>
        <v>0</v>
      </c>
    </row>
    <row r="2177" spans="1:10" x14ac:dyDescent="0.3">
      <c r="A2177" s="2" t="s">
        <v>2019</v>
      </c>
      <c r="B2177" s="1" t="s">
        <v>2152</v>
      </c>
      <c r="C2177" s="6" t="s">
        <v>4187</v>
      </c>
      <c r="D2177" s="6" t="s">
        <v>6347</v>
      </c>
      <c r="E2177" s="20">
        <f t="shared" si="157"/>
        <v>0</v>
      </c>
      <c r="F2177" s="20"/>
      <c r="G2177" s="24" t="s">
        <v>8632</v>
      </c>
      <c r="H2177" s="20">
        <f t="shared" si="158"/>
        <v>0</v>
      </c>
    </row>
    <row r="2178" spans="1:10" x14ac:dyDescent="0.3">
      <c r="A2178" s="2" t="s">
        <v>2020</v>
      </c>
      <c r="B2178" s="1" t="s">
        <v>2152</v>
      </c>
      <c r="C2178" s="6" t="s">
        <v>4188</v>
      </c>
      <c r="D2178" s="6" t="s">
        <v>6348</v>
      </c>
      <c r="E2178" s="20">
        <f t="shared" si="157"/>
        <v>0</v>
      </c>
      <c r="F2178" s="20"/>
      <c r="G2178" s="24" t="s">
        <v>8633</v>
      </c>
      <c r="H2178" s="20">
        <f t="shared" si="158"/>
        <v>0</v>
      </c>
    </row>
    <row r="2179" spans="1:10" x14ac:dyDescent="0.3">
      <c r="A2179" s="2" t="s">
        <v>2021</v>
      </c>
      <c r="B2179" s="1" t="s">
        <v>2152</v>
      </c>
      <c r="C2179" s="6" t="s">
        <v>4189</v>
      </c>
      <c r="D2179" s="6" t="s">
        <v>6349</v>
      </c>
      <c r="E2179" s="20">
        <f t="shared" si="157"/>
        <v>0</v>
      </c>
      <c r="F2179" s="20"/>
      <c r="G2179" s="24" t="s">
        <v>8634</v>
      </c>
      <c r="H2179" s="20">
        <f t="shared" si="158"/>
        <v>0</v>
      </c>
    </row>
    <row r="2180" spans="1:10" x14ac:dyDescent="0.3">
      <c r="A2180" s="2" t="s">
        <v>2022</v>
      </c>
      <c r="B2180" s="1" t="s">
        <v>2152</v>
      </c>
      <c r="C2180" s="6" t="s">
        <v>4190</v>
      </c>
      <c r="D2180" s="6" t="s">
        <v>6350</v>
      </c>
      <c r="E2180" s="20">
        <f t="shared" si="157"/>
        <v>0</v>
      </c>
      <c r="F2180" s="20"/>
      <c r="G2180" s="24" t="s">
        <v>8635</v>
      </c>
      <c r="H2180" s="20">
        <f t="shared" si="158"/>
        <v>0</v>
      </c>
    </row>
    <row r="2181" spans="1:10" x14ac:dyDescent="0.3">
      <c r="A2181" s="2" t="s">
        <v>2023</v>
      </c>
      <c r="B2181" s="1" t="s">
        <v>2152</v>
      </c>
      <c r="C2181" s="6" t="s">
        <v>4191</v>
      </c>
      <c r="D2181" s="6" t="s">
        <v>6351</v>
      </c>
      <c r="E2181" s="20">
        <f t="shared" si="157"/>
        <v>0</v>
      </c>
      <c r="F2181" s="20"/>
      <c r="G2181" s="24" t="s">
        <v>8636</v>
      </c>
      <c r="H2181" s="20">
        <f t="shared" si="158"/>
        <v>0</v>
      </c>
    </row>
    <row r="2182" spans="1:10" x14ac:dyDescent="0.3">
      <c r="A2182" s="2" t="s">
        <v>2024</v>
      </c>
      <c r="B2182" s="1" t="s">
        <v>2152</v>
      </c>
      <c r="C2182" s="6" t="s">
        <v>4192</v>
      </c>
      <c r="D2182" s="6" t="s">
        <v>6352</v>
      </c>
      <c r="E2182" s="20">
        <f t="shared" si="157"/>
        <v>0</v>
      </c>
      <c r="F2182" s="20"/>
      <c r="G2182" s="24" t="s">
        <v>8637</v>
      </c>
      <c r="H2182" s="20">
        <f t="shared" si="158"/>
        <v>0</v>
      </c>
    </row>
    <row r="2183" spans="1:10" x14ac:dyDescent="0.3">
      <c r="A2183" s="2" t="s">
        <v>2025</v>
      </c>
      <c r="B2183" s="1" t="s">
        <v>2152</v>
      </c>
      <c r="C2183" s="6" t="s">
        <v>4193</v>
      </c>
      <c r="D2183" s="6" t="s">
        <v>6353</v>
      </c>
      <c r="E2183" s="20">
        <f t="shared" si="157"/>
        <v>0</v>
      </c>
      <c r="F2183" s="20"/>
      <c r="G2183" s="24" t="s">
        <v>8638</v>
      </c>
      <c r="H2183" s="20">
        <f t="shared" si="158"/>
        <v>0</v>
      </c>
    </row>
    <row r="2184" spans="1:10" x14ac:dyDescent="0.3">
      <c r="A2184" s="2" t="s">
        <v>2026</v>
      </c>
      <c r="B2184" s="1" t="s">
        <v>2152</v>
      </c>
      <c r="C2184" s="6" t="s">
        <v>4194</v>
      </c>
      <c r="D2184" s="6" t="s">
        <v>6354</v>
      </c>
      <c r="E2184" s="20">
        <f t="shared" si="157"/>
        <v>0</v>
      </c>
      <c r="F2184" s="20"/>
      <c r="G2184" s="24" t="s">
        <v>8639</v>
      </c>
      <c r="H2184" s="20">
        <f t="shared" si="158"/>
        <v>0</v>
      </c>
    </row>
    <row r="2185" spans="1:10" x14ac:dyDescent="0.3">
      <c r="A2185" s="2" t="s">
        <v>2027</v>
      </c>
      <c r="B2185" s="1" t="s">
        <v>2152</v>
      </c>
      <c r="C2185" s="6" t="s">
        <v>4195</v>
      </c>
      <c r="D2185" s="6" t="s">
        <v>6355</v>
      </c>
      <c r="E2185" s="20">
        <f t="shared" ref="E2185:E2202" si="161">H2185*1.8*1.4</f>
        <v>0</v>
      </c>
      <c r="F2185" s="20"/>
      <c r="G2185" s="24" t="s">
        <v>8640</v>
      </c>
      <c r="H2185" s="20">
        <f t="shared" ref="H2185:H2202" si="162">K2185*1.8*1.4</f>
        <v>0</v>
      </c>
    </row>
    <row r="2186" spans="1:10" x14ac:dyDescent="0.3">
      <c r="A2186" s="2" t="s">
        <v>1260</v>
      </c>
      <c r="B2186" s="1" t="s">
        <v>2152</v>
      </c>
      <c r="C2186" s="6" t="s">
        <v>4196</v>
      </c>
      <c r="D2186" s="6" t="s">
        <v>3408</v>
      </c>
      <c r="E2186" s="20">
        <f t="shared" si="161"/>
        <v>0</v>
      </c>
      <c r="F2186" s="20"/>
      <c r="G2186" s="24" t="s">
        <v>8641</v>
      </c>
      <c r="H2186" s="20">
        <f t="shared" si="162"/>
        <v>0</v>
      </c>
    </row>
    <row r="2187" spans="1:10" x14ac:dyDescent="0.3">
      <c r="A2187" s="2" t="s">
        <v>1261</v>
      </c>
      <c r="B2187" s="1" t="s">
        <v>2152</v>
      </c>
      <c r="C2187" s="6" t="s">
        <v>4197</v>
      </c>
      <c r="D2187" s="6" t="s">
        <v>3409</v>
      </c>
      <c r="E2187" s="20">
        <f t="shared" si="161"/>
        <v>0</v>
      </c>
      <c r="F2187" s="20"/>
      <c r="G2187" s="24" t="s">
        <v>8642</v>
      </c>
      <c r="H2187" s="20">
        <f t="shared" si="162"/>
        <v>0</v>
      </c>
    </row>
    <row r="2188" spans="1:10" x14ac:dyDescent="0.3">
      <c r="A2188" s="2" t="s">
        <v>1262</v>
      </c>
      <c r="B2188" s="1" t="s">
        <v>2152</v>
      </c>
      <c r="C2188" s="6" t="s">
        <v>4198</v>
      </c>
      <c r="D2188" s="6" t="s">
        <v>3410</v>
      </c>
      <c r="E2188" s="20">
        <f t="shared" si="161"/>
        <v>0</v>
      </c>
      <c r="F2188" s="20"/>
      <c r="G2188" s="24" t="s">
        <v>8643</v>
      </c>
      <c r="H2188" s="20">
        <f t="shared" si="162"/>
        <v>0</v>
      </c>
    </row>
    <row r="2189" spans="1:10" x14ac:dyDescent="0.3">
      <c r="A2189" s="2" t="s">
        <v>2028</v>
      </c>
      <c r="B2189" s="1" t="s">
        <v>2152</v>
      </c>
      <c r="C2189" s="6" t="s">
        <v>4199</v>
      </c>
      <c r="D2189" s="6" t="s">
        <v>6356</v>
      </c>
      <c r="E2189" s="20">
        <f t="shared" si="161"/>
        <v>0</v>
      </c>
      <c r="F2189" s="20"/>
      <c r="G2189" s="24" t="s">
        <v>8644</v>
      </c>
      <c r="H2189" s="20">
        <f t="shared" si="162"/>
        <v>0</v>
      </c>
    </row>
    <row r="2190" spans="1:10" ht="124.2" x14ac:dyDescent="0.3">
      <c r="A2190" s="2" t="s">
        <v>2029</v>
      </c>
      <c r="B2190" s="1" t="s">
        <v>2152</v>
      </c>
      <c r="C2190" s="6" t="s">
        <v>4200</v>
      </c>
      <c r="D2190" s="6" t="s">
        <v>6357</v>
      </c>
      <c r="E2190" s="20">
        <f t="shared" si="161"/>
        <v>0</v>
      </c>
      <c r="F2190" s="20"/>
      <c r="G2190" s="24" t="s">
        <v>8645</v>
      </c>
      <c r="H2190" s="20">
        <f t="shared" si="162"/>
        <v>0</v>
      </c>
      <c r="I2190" s="21">
        <f>W2190</f>
        <v>0</v>
      </c>
      <c r="J2190" s="21">
        <f>X2190</f>
        <v>0</v>
      </c>
    </row>
    <row r="2191" spans="1:10" ht="96.6" x14ac:dyDescent="0.3">
      <c r="A2191" s="2" t="s">
        <v>2030</v>
      </c>
      <c r="B2191" s="1" t="s">
        <v>2152</v>
      </c>
      <c r="C2191" s="6" t="s">
        <v>4201</v>
      </c>
      <c r="D2191" s="6" t="s">
        <v>6358</v>
      </c>
      <c r="E2191" s="20"/>
      <c r="F2191" s="20"/>
      <c r="G2191" s="24" t="s">
        <v>8646</v>
      </c>
      <c r="H2191" s="20"/>
    </row>
    <row r="2192" spans="1:10" ht="96.6" x14ac:dyDescent="0.3">
      <c r="A2192" s="2" t="s">
        <v>2031</v>
      </c>
      <c r="B2192" s="1" t="s">
        <v>2152</v>
      </c>
      <c r="C2192" s="6" t="s">
        <v>4202</v>
      </c>
      <c r="D2192" s="6" t="s">
        <v>6359</v>
      </c>
      <c r="E2192" s="20"/>
      <c r="F2192" s="20"/>
      <c r="G2192" s="24" t="s">
        <v>8647</v>
      </c>
      <c r="H2192" s="20"/>
    </row>
    <row r="2193" spans="1:10" ht="96.6" x14ac:dyDescent="0.3">
      <c r="A2193" s="2" t="s">
        <v>2032</v>
      </c>
      <c r="B2193" s="1" t="s">
        <v>2152</v>
      </c>
      <c r="C2193" s="6" t="s">
        <v>4203</v>
      </c>
      <c r="D2193" s="6" t="s">
        <v>6360</v>
      </c>
      <c r="E2193" s="20"/>
      <c r="F2193" s="20"/>
      <c r="G2193" s="24" t="s">
        <v>8648</v>
      </c>
      <c r="H2193" s="20"/>
    </row>
    <row r="2194" spans="1:10" ht="96.6" x14ac:dyDescent="0.3">
      <c r="A2194" s="2" t="s">
        <v>2033</v>
      </c>
      <c r="B2194" s="1" t="s">
        <v>2152</v>
      </c>
      <c r="C2194" s="6" t="s">
        <v>4204</v>
      </c>
      <c r="D2194" s="6" t="s">
        <v>6361</v>
      </c>
      <c r="E2194" s="20"/>
      <c r="F2194" s="20"/>
      <c r="G2194" s="24" t="s">
        <v>8649</v>
      </c>
      <c r="H2194" s="20"/>
    </row>
    <row r="2195" spans="1:10" ht="96.6" x14ac:dyDescent="0.3">
      <c r="A2195" s="2" t="s">
        <v>2034</v>
      </c>
      <c r="B2195" s="1" t="s">
        <v>2152</v>
      </c>
      <c r="C2195" s="6" t="s">
        <v>4205</v>
      </c>
      <c r="D2195" s="6" t="s">
        <v>6362</v>
      </c>
      <c r="E2195" s="20"/>
      <c r="F2195" s="20"/>
      <c r="G2195" s="24" t="s">
        <v>8650</v>
      </c>
      <c r="H2195" s="20"/>
    </row>
    <row r="2196" spans="1:10" ht="96.6" x14ac:dyDescent="0.3">
      <c r="A2196" s="2" t="s">
        <v>2035</v>
      </c>
      <c r="B2196" s="1" t="s">
        <v>2152</v>
      </c>
      <c r="C2196" s="6" t="s">
        <v>4206</v>
      </c>
      <c r="D2196" s="6" t="s">
        <v>6363</v>
      </c>
      <c r="E2196" s="20"/>
      <c r="F2196" s="20"/>
      <c r="G2196" s="24" t="s">
        <v>8651</v>
      </c>
      <c r="H2196" s="20"/>
    </row>
    <row r="2197" spans="1:10" ht="345" x14ac:dyDescent="0.3">
      <c r="A2197" s="2" t="s">
        <v>2036</v>
      </c>
      <c r="B2197" s="1" t="s">
        <v>2152</v>
      </c>
      <c r="C2197" s="6" t="s">
        <v>4207</v>
      </c>
      <c r="E2197" s="20"/>
      <c r="F2197" s="20"/>
      <c r="G2197" s="24" t="s">
        <v>8652</v>
      </c>
      <c r="H2197" s="20"/>
    </row>
    <row r="2198" spans="1:10" x14ac:dyDescent="0.3">
      <c r="A2198" s="2" t="s">
        <v>2037</v>
      </c>
      <c r="B2198" s="1" t="s">
        <v>2152</v>
      </c>
      <c r="C2198" s="6" t="s">
        <v>4208</v>
      </c>
      <c r="D2198" s="6" t="s">
        <v>6364</v>
      </c>
      <c r="E2198" s="20"/>
      <c r="F2198" s="20"/>
      <c r="G2198" s="24" t="s">
        <v>8653</v>
      </c>
      <c r="H2198" s="20"/>
    </row>
    <row r="2199" spans="1:10" x14ac:dyDescent="0.3">
      <c r="A2199" s="2" t="s">
        <v>2038</v>
      </c>
      <c r="B2199" s="1" t="s">
        <v>2152</v>
      </c>
      <c r="C2199" s="6" t="s">
        <v>4209</v>
      </c>
      <c r="D2199" s="6" t="s">
        <v>6365</v>
      </c>
      <c r="E2199" s="20"/>
      <c r="F2199" s="20"/>
      <c r="G2199" s="24" t="s">
        <v>8654</v>
      </c>
      <c r="H2199" s="20"/>
    </row>
    <row r="2200" spans="1:10" x14ac:dyDescent="0.3">
      <c r="A2200" s="2" t="s">
        <v>2039</v>
      </c>
      <c r="B2200" s="1" t="s">
        <v>2152</v>
      </c>
      <c r="C2200" s="6" t="s">
        <v>4210</v>
      </c>
      <c r="D2200" s="6" t="s">
        <v>6366</v>
      </c>
      <c r="E2200" s="20"/>
      <c r="F2200" s="20"/>
      <c r="G2200" s="24" t="s">
        <v>8655</v>
      </c>
      <c r="H2200" s="20"/>
    </row>
    <row r="2201" spans="1:10" ht="55.2" x14ac:dyDescent="0.3">
      <c r="A2201" s="2" t="s">
        <v>2040</v>
      </c>
      <c r="B2201" s="1" t="s">
        <v>2152</v>
      </c>
      <c r="C2201" s="6" t="s">
        <v>4211</v>
      </c>
      <c r="D2201" s="6" t="s">
        <v>6367</v>
      </c>
      <c r="E2201" s="20">
        <f t="shared" si="161"/>
        <v>0</v>
      </c>
      <c r="F2201" s="20"/>
      <c r="G2201" s="24" t="s">
        <v>8656</v>
      </c>
      <c r="H2201" s="20">
        <f t="shared" si="162"/>
        <v>0</v>
      </c>
      <c r="I2201" s="21">
        <f>W2201</f>
        <v>0</v>
      </c>
      <c r="J2201" s="21">
        <f>X2201</f>
        <v>0</v>
      </c>
    </row>
    <row r="2202" spans="1:10" ht="55.2" x14ac:dyDescent="0.3">
      <c r="A2202" s="2" t="s">
        <v>2041</v>
      </c>
      <c r="B2202" s="1" t="s">
        <v>2152</v>
      </c>
      <c r="C2202" s="6" t="s">
        <v>4212</v>
      </c>
      <c r="D2202" s="6" t="s">
        <v>6368</v>
      </c>
      <c r="E2202" s="20">
        <f t="shared" si="161"/>
        <v>0</v>
      </c>
      <c r="F2202" s="20">
        <v>20000</v>
      </c>
      <c r="G2202" s="24" t="s">
        <v>8657</v>
      </c>
      <c r="H2202" s="20">
        <f t="shared" si="162"/>
        <v>0</v>
      </c>
    </row>
    <row r="2203" spans="1:10" ht="69" x14ac:dyDescent="0.3">
      <c r="A2203" s="2" t="s">
        <v>2042</v>
      </c>
      <c r="B2203" s="1" t="s">
        <v>2152</v>
      </c>
      <c r="C2203" s="6" t="s">
        <v>4213</v>
      </c>
      <c r="D2203" s="6" t="s">
        <v>6369</v>
      </c>
      <c r="E2203" s="20">
        <f>H2203*3*1.4</f>
        <v>0</v>
      </c>
      <c r="F2203" s="20">
        <f>'[98]TAŞ KESME MTA'!$L$2</f>
        <v>70262.5</v>
      </c>
      <c r="G2203" s="24" t="s">
        <v>8658</v>
      </c>
      <c r="H2203" s="20">
        <f>K2203*3*1.4</f>
        <v>0</v>
      </c>
      <c r="I2203" s="21">
        <v>5750</v>
      </c>
    </row>
    <row r="2204" spans="1:10" ht="41.4" x14ac:dyDescent="0.3">
      <c r="A2204" s="2" t="s">
        <v>2043</v>
      </c>
      <c r="B2204" s="1" t="s">
        <v>2152</v>
      </c>
      <c r="C2204" s="6" t="s">
        <v>4214</v>
      </c>
      <c r="D2204" s="6" t="s">
        <v>6370</v>
      </c>
      <c r="E2204" s="20">
        <f>H2204*1.8*1.4</f>
        <v>0</v>
      </c>
      <c r="F2204" s="20">
        <f>'[99]100 ÇENELİ'!$H$49</f>
        <v>65715.08</v>
      </c>
      <c r="G2204" s="24" t="s">
        <v>8659</v>
      </c>
      <c r="H2204" s="20">
        <f>K2204*1.8*1.4</f>
        <v>0</v>
      </c>
      <c r="I2204" s="21">
        <v>3950</v>
      </c>
      <c r="J2204" s="21">
        <f>X2204</f>
        <v>0</v>
      </c>
    </row>
    <row r="2205" spans="1:10" x14ac:dyDescent="0.3">
      <c r="A2205" s="2" t="s">
        <v>2044</v>
      </c>
      <c r="B2205" s="1" t="s">
        <v>2152</v>
      </c>
      <c r="C2205" s="6" t="s">
        <v>4215</v>
      </c>
      <c r="D2205" s="6" t="s">
        <v>6371</v>
      </c>
      <c r="E2205" s="20">
        <f>H2205*1.8*1.4</f>
        <v>0</v>
      </c>
      <c r="F2205" s="20">
        <v>240</v>
      </c>
      <c r="G2205" s="24" t="s">
        <v>8660</v>
      </c>
      <c r="H2205" s="20">
        <f>K2205*1.8*1.4</f>
        <v>0</v>
      </c>
      <c r="I2205" s="21">
        <v>350</v>
      </c>
    </row>
    <row r="2206" spans="1:10" ht="41.4" x14ac:dyDescent="0.3">
      <c r="A2206" s="2" t="s">
        <v>2045</v>
      </c>
      <c r="B2206" s="1" t="s">
        <v>2152</v>
      </c>
      <c r="C2206" s="6" t="s">
        <v>4216</v>
      </c>
      <c r="D2206" s="6" t="s">
        <v>6372</v>
      </c>
      <c r="E2206" s="20">
        <f>H2206*1.8*1.4</f>
        <v>0</v>
      </c>
      <c r="F2206" s="20">
        <f>'[99]200 ÇENELİ'!$L$2</f>
        <v>73319.08</v>
      </c>
      <c r="G2206" s="24" t="s">
        <v>8661</v>
      </c>
      <c r="H2206" s="20">
        <f>K2206*1.8*1.4</f>
        <v>0</v>
      </c>
      <c r="I2206" s="21">
        <v>4400</v>
      </c>
    </row>
    <row r="2207" spans="1:10" ht="41.4" x14ac:dyDescent="0.3">
      <c r="A2207" s="2" t="s">
        <v>2046</v>
      </c>
      <c r="B2207" s="1" t="s">
        <v>2152</v>
      </c>
      <c r="C2207" s="6" t="s">
        <v>4217</v>
      </c>
      <c r="D2207" s="6" t="s">
        <v>6373</v>
      </c>
      <c r="E2207" s="20">
        <f>H2207*1.8*1.4</f>
        <v>0</v>
      </c>
      <c r="F2207" s="20">
        <f>'[100]200x300 çeneli'!$L$3</f>
        <v>61710</v>
      </c>
      <c r="G2207" s="24" t="s">
        <v>8662</v>
      </c>
      <c r="H2207" s="20">
        <f>K2207*1.8*1.4</f>
        <v>0</v>
      </c>
      <c r="I2207" s="21">
        <v>5750</v>
      </c>
    </row>
    <row r="2208" spans="1:10" x14ac:dyDescent="0.3">
      <c r="A2208" s="2" t="s">
        <v>2047</v>
      </c>
      <c r="B2208" s="1" t="s">
        <v>2152</v>
      </c>
      <c r="C2208" s="6" t="s">
        <v>4218</v>
      </c>
      <c r="D2208" s="6" t="s">
        <v>6374</v>
      </c>
      <c r="E2208" s="20"/>
      <c r="F2208" s="20"/>
      <c r="G2208" s="24" t="s">
        <v>8663</v>
      </c>
      <c r="H2208" s="20"/>
    </row>
    <row r="2209" spans="1:10" ht="123.6" x14ac:dyDescent="0.3">
      <c r="A2209" s="2" t="s">
        <v>2048</v>
      </c>
      <c r="B2209" s="1" t="s">
        <v>2152</v>
      </c>
      <c r="C2209" s="6" t="s">
        <v>4219</v>
      </c>
      <c r="D2209" s="6" t="s">
        <v>6375</v>
      </c>
      <c r="E2209" s="20">
        <f t="shared" ref="E2209:E2215" si="163">H2209*1.8*1.4</f>
        <v>0</v>
      </c>
      <c r="F2209" s="20">
        <f>'[101]Pnömatik Diskli Öğütücü'!$L$2</f>
        <v>83426</v>
      </c>
      <c r="G2209" s="24" t="s">
        <v>8664</v>
      </c>
      <c r="H2209" s="20">
        <f t="shared" ref="H2209:H2215" si="164">K2209*1.8*1.4</f>
        <v>0</v>
      </c>
      <c r="I2209" s="21">
        <v>5750</v>
      </c>
    </row>
    <row r="2210" spans="1:10" x14ac:dyDescent="0.3">
      <c r="A2210" s="2" t="s">
        <v>2049</v>
      </c>
      <c r="B2210" s="1" t="s">
        <v>2152</v>
      </c>
      <c r="C2210" s="6" t="s">
        <v>4220</v>
      </c>
      <c r="D2210" s="6" t="s">
        <v>6376</v>
      </c>
      <c r="E2210" s="20">
        <f t="shared" si="163"/>
        <v>0</v>
      </c>
      <c r="F2210" s="20">
        <v>2040</v>
      </c>
      <c r="G2210" s="24" t="s">
        <v>8665</v>
      </c>
      <c r="H2210" s="20">
        <f t="shared" si="164"/>
        <v>0</v>
      </c>
      <c r="I2210" s="21">
        <v>750</v>
      </c>
    </row>
    <row r="2211" spans="1:10" x14ac:dyDescent="0.3">
      <c r="A2211" s="2" t="s">
        <v>2050</v>
      </c>
      <c r="B2211" s="1" t="s">
        <v>2152</v>
      </c>
      <c r="C2211" s="6" t="s">
        <v>4221</v>
      </c>
      <c r="D2211" s="6" t="s">
        <v>6377</v>
      </c>
      <c r="E2211" s="20">
        <f t="shared" si="163"/>
        <v>0</v>
      </c>
      <c r="F2211" s="20">
        <v>2040</v>
      </c>
      <c r="G2211" s="24" t="s">
        <v>8666</v>
      </c>
      <c r="H2211" s="20">
        <f t="shared" si="164"/>
        <v>0</v>
      </c>
      <c r="I2211" s="21">
        <v>800</v>
      </c>
    </row>
    <row r="2212" spans="1:10" x14ac:dyDescent="0.3">
      <c r="A2212" s="2" t="s">
        <v>2051</v>
      </c>
      <c r="B2212" s="1" t="s">
        <v>2152</v>
      </c>
      <c r="C2212" s="6" t="s">
        <v>4222</v>
      </c>
      <c r="D2212" s="6" t="s">
        <v>6378</v>
      </c>
      <c r="E2212" s="20">
        <f t="shared" si="163"/>
        <v>0</v>
      </c>
      <c r="F2212" s="20">
        <f>'[102]800 CC'!$L$2</f>
        <v>12725</v>
      </c>
      <c r="G2212" s="24" t="s">
        <v>8667</v>
      </c>
      <c r="H2212" s="20">
        <f t="shared" si="164"/>
        <v>0</v>
      </c>
      <c r="I2212" s="21">
        <v>900</v>
      </c>
    </row>
    <row r="2213" spans="1:10" x14ac:dyDescent="0.3">
      <c r="A2213" s="2" t="s">
        <v>2052</v>
      </c>
      <c r="B2213" s="1" t="s">
        <v>2152</v>
      </c>
      <c r="C2213" s="6" t="s">
        <v>4223</v>
      </c>
      <c r="D2213" s="6" t="s">
        <v>6379</v>
      </c>
      <c r="E2213" s="20">
        <f t="shared" si="163"/>
        <v>0</v>
      </c>
      <c r="F2213" s="20">
        <f>'[102]1000 CC'!$L$2</f>
        <v>3605</v>
      </c>
      <c r="G2213" s="24" t="s">
        <v>8668</v>
      </c>
      <c r="H2213" s="20">
        <f t="shared" si="164"/>
        <v>0</v>
      </c>
      <c r="I2213" s="21">
        <v>1150</v>
      </c>
    </row>
    <row r="2214" spans="1:10" x14ac:dyDescent="0.3">
      <c r="A2214" s="2" t="s">
        <v>2053</v>
      </c>
      <c r="B2214" s="1" t="s">
        <v>2152</v>
      </c>
      <c r="C2214" s="6" t="s">
        <v>4224</v>
      </c>
      <c r="D2214" s="6" t="s">
        <v>6380</v>
      </c>
      <c r="E2214" s="20">
        <f t="shared" si="163"/>
        <v>0</v>
      </c>
      <c r="F2214" s="20">
        <f>'[102]2000 CC'!$L$2</f>
        <v>18220</v>
      </c>
      <c r="G2214" s="24" t="s">
        <v>8669</v>
      </c>
      <c r="H2214" s="20">
        <f t="shared" si="164"/>
        <v>0</v>
      </c>
      <c r="I2214" s="21">
        <v>1350</v>
      </c>
    </row>
    <row r="2215" spans="1:10" ht="82.8" x14ac:dyDescent="0.3">
      <c r="A2215" s="2" t="s">
        <v>2054</v>
      </c>
      <c r="B2215" s="1" t="s">
        <v>2152</v>
      </c>
      <c r="C2215" s="12" t="s">
        <v>4225</v>
      </c>
      <c r="D2215" s="6" t="s">
        <v>6381</v>
      </c>
      <c r="E2215" s="20">
        <f t="shared" si="163"/>
        <v>0</v>
      </c>
      <c r="F2215" s="20">
        <f>'[103]BASINÇLI FİLTRE'!$L$2</f>
        <v>43568.92</v>
      </c>
      <c r="G2215" s="24" t="s">
        <v>8670</v>
      </c>
      <c r="H2215" s="20">
        <f t="shared" si="164"/>
        <v>0</v>
      </c>
      <c r="I2215" s="21">
        <v>3750</v>
      </c>
    </row>
    <row r="2216" spans="1:10" ht="96.6" x14ac:dyDescent="0.3">
      <c r="A2216" s="2" t="s">
        <v>2055</v>
      </c>
      <c r="B2216" s="1" t="s">
        <v>2152</v>
      </c>
      <c r="C2216" s="12" t="s">
        <v>4226</v>
      </c>
      <c r="D2216" s="12" t="s">
        <v>6382</v>
      </c>
      <c r="E2216" s="20"/>
      <c r="F2216" s="20"/>
      <c r="G2216" s="24" t="s">
        <v>8671</v>
      </c>
      <c r="H2216" s="20"/>
    </row>
    <row r="2217" spans="1:10" ht="121.8" x14ac:dyDescent="0.3">
      <c r="A2217" s="2" t="s">
        <v>2056</v>
      </c>
      <c r="B2217" s="1" t="s">
        <v>2152</v>
      </c>
      <c r="C2217" s="6" t="s">
        <v>4227</v>
      </c>
      <c r="D2217" s="6" t="s">
        <v>6383</v>
      </c>
      <c r="E2217" s="20">
        <f t="shared" ref="E2217:E2229" si="165">H2217*1.8*1.4</f>
        <v>0</v>
      </c>
      <c r="F2217" s="20">
        <v>11880</v>
      </c>
      <c r="G2217" s="24" t="s">
        <v>8672</v>
      </c>
      <c r="H2217" s="20">
        <f t="shared" ref="H2217:H2229" si="166">K2217*1.8*1.4</f>
        <v>0</v>
      </c>
      <c r="I2217" s="21">
        <v>4200</v>
      </c>
      <c r="J2217" s="21">
        <f t="shared" ref="J2217:J2232" si="167">X2217</f>
        <v>0</v>
      </c>
    </row>
    <row r="2218" spans="1:10" x14ac:dyDescent="0.3">
      <c r="A2218" s="2" t="s">
        <v>2057</v>
      </c>
      <c r="B2218" s="1" t="s">
        <v>2152</v>
      </c>
      <c r="C2218" s="6" t="s">
        <v>4228</v>
      </c>
      <c r="D2218" s="6" t="s">
        <v>6384</v>
      </c>
      <c r="E2218" s="20">
        <f t="shared" si="165"/>
        <v>0</v>
      </c>
      <c r="F2218" s="20">
        <v>6000</v>
      </c>
      <c r="G2218" s="24" t="s">
        <v>8673</v>
      </c>
      <c r="H2218" s="20">
        <f t="shared" si="166"/>
        <v>0</v>
      </c>
      <c r="I2218" s="21">
        <v>510</v>
      </c>
      <c r="J2218" s="21">
        <f t="shared" si="167"/>
        <v>0</v>
      </c>
    </row>
    <row r="2219" spans="1:10" ht="55.2" x14ac:dyDescent="0.3">
      <c r="A2219" s="2" t="s">
        <v>2058</v>
      </c>
      <c r="B2219" s="1" t="s">
        <v>2152</v>
      </c>
      <c r="C2219" s="6" t="s">
        <v>4229</v>
      </c>
      <c r="D2219" s="6" t="s">
        <v>6385</v>
      </c>
      <c r="E2219" s="20">
        <f t="shared" si="165"/>
        <v>0</v>
      </c>
      <c r="F2219" s="20">
        <f>[104]Sayfa1!$L$2</f>
        <v>46310</v>
      </c>
      <c r="G2219" s="24" t="s">
        <v>8674</v>
      </c>
      <c r="H2219" s="20">
        <f t="shared" si="166"/>
        <v>0</v>
      </c>
      <c r="I2219" s="21">
        <v>5100</v>
      </c>
      <c r="J2219" s="21">
        <f t="shared" si="167"/>
        <v>0</v>
      </c>
    </row>
    <row r="2220" spans="1:10" ht="82.8" x14ac:dyDescent="0.3">
      <c r="A2220" s="2" t="s">
        <v>2059</v>
      </c>
      <c r="B2220" s="1" t="s">
        <v>2152</v>
      </c>
      <c r="C2220" s="6" t="s">
        <v>4230</v>
      </c>
      <c r="D2220" s="6" t="s">
        <v>6386</v>
      </c>
      <c r="E2220" s="20">
        <f t="shared" si="165"/>
        <v>0</v>
      </c>
      <c r="F2220" s="20"/>
      <c r="G2220" s="24" t="s">
        <v>8675</v>
      </c>
      <c r="H2220" s="20">
        <f t="shared" si="166"/>
        <v>0</v>
      </c>
      <c r="I2220" s="21">
        <v>2700</v>
      </c>
      <c r="J2220" s="21">
        <f t="shared" si="167"/>
        <v>0</v>
      </c>
    </row>
    <row r="2221" spans="1:10" x14ac:dyDescent="0.3">
      <c r="A2221" s="2" t="s">
        <v>2060</v>
      </c>
      <c r="B2221" s="1" t="s">
        <v>2152</v>
      </c>
      <c r="C2221" s="6" t="s">
        <v>4231</v>
      </c>
      <c r="D2221" s="6" t="s">
        <v>6384</v>
      </c>
      <c r="E2221" s="20">
        <f t="shared" si="165"/>
        <v>0</v>
      </c>
      <c r="F2221" s="20">
        <v>1075</v>
      </c>
      <c r="G2221" s="24" t="s">
        <v>8676</v>
      </c>
      <c r="H2221" s="20">
        <f t="shared" si="166"/>
        <v>0</v>
      </c>
      <c r="I2221" s="21">
        <v>600</v>
      </c>
      <c r="J2221" s="21">
        <f t="shared" si="167"/>
        <v>0</v>
      </c>
    </row>
    <row r="2222" spans="1:10" x14ac:dyDescent="0.3">
      <c r="A2222" s="2" t="s">
        <v>2061</v>
      </c>
      <c r="B2222" s="1" t="s">
        <v>2152</v>
      </c>
      <c r="C2222" s="6" t="s">
        <v>4232</v>
      </c>
      <c r="D2222" s="6" t="s">
        <v>6387</v>
      </c>
      <c r="E2222" s="20">
        <f t="shared" si="165"/>
        <v>0</v>
      </c>
      <c r="F2222" s="20">
        <v>21.5</v>
      </c>
      <c r="G2222" s="24" t="s">
        <v>8677</v>
      </c>
      <c r="H2222" s="20">
        <f t="shared" si="166"/>
        <v>0</v>
      </c>
      <c r="I2222" s="21">
        <v>30</v>
      </c>
      <c r="J2222" s="21">
        <f t="shared" si="167"/>
        <v>0</v>
      </c>
    </row>
    <row r="2223" spans="1:10" x14ac:dyDescent="0.3">
      <c r="A2223" s="2" t="s">
        <v>2062</v>
      </c>
      <c r="B2223" s="1" t="s">
        <v>2152</v>
      </c>
      <c r="C2223" s="6" t="s">
        <v>4233</v>
      </c>
      <c r="D2223" s="6" t="s">
        <v>6388</v>
      </c>
      <c r="E2223" s="20">
        <f t="shared" si="165"/>
        <v>0</v>
      </c>
      <c r="F2223" s="20">
        <v>4500</v>
      </c>
      <c r="G2223" s="24" t="s">
        <v>8678</v>
      </c>
      <c r="H2223" s="20">
        <f t="shared" si="166"/>
        <v>0</v>
      </c>
      <c r="I2223" s="21">
        <f>W2223</f>
        <v>0</v>
      </c>
      <c r="J2223" s="21">
        <f t="shared" si="167"/>
        <v>0</v>
      </c>
    </row>
    <row r="2224" spans="1:10" ht="82.8" x14ac:dyDescent="0.3">
      <c r="A2224" s="2" t="s">
        <v>2063</v>
      </c>
      <c r="B2224" s="1" t="s">
        <v>2152</v>
      </c>
      <c r="C2224" s="6" t="s">
        <v>4234</v>
      </c>
      <c r="D2224" s="6" t="s">
        <v>6389</v>
      </c>
      <c r="E2224" s="20">
        <f t="shared" si="165"/>
        <v>0</v>
      </c>
      <c r="F2224" s="20"/>
      <c r="G2224" s="24" t="s">
        <v>8679</v>
      </c>
      <c r="H2224" s="20">
        <f t="shared" si="166"/>
        <v>0</v>
      </c>
      <c r="I2224" s="21">
        <v>2700</v>
      </c>
      <c r="J2224" s="21">
        <f t="shared" si="167"/>
        <v>0</v>
      </c>
    </row>
    <row r="2225" spans="1:10" x14ac:dyDescent="0.3">
      <c r="A2225" s="2" t="s">
        <v>2064</v>
      </c>
      <c r="B2225" s="1" t="s">
        <v>2152</v>
      </c>
      <c r="C2225" s="6" t="s">
        <v>4235</v>
      </c>
      <c r="D2225" s="6" t="s">
        <v>6390</v>
      </c>
      <c r="E2225" s="20">
        <f t="shared" si="165"/>
        <v>0</v>
      </c>
      <c r="F2225" s="20"/>
      <c r="G2225" s="24" t="s">
        <v>8680</v>
      </c>
      <c r="H2225" s="20">
        <f t="shared" si="166"/>
        <v>0</v>
      </c>
      <c r="I2225" s="21">
        <f>W2225</f>
        <v>0</v>
      </c>
      <c r="J2225" s="21">
        <f t="shared" si="167"/>
        <v>0</v>
      </c>
    </row>
    <row r="2226" spans="1:10" x14ac:dyDescent="0.3">
      <c r="A2226" s="2" t="s">
        <v>2060</v>
      </c>
      <c r="B2226" s="1" t="s">
        <v>2152</v>
      </c>
      <c r="C2226" s="6" t="s">
        <v>4231</v>
      </c>
      <c r="D2226" s="6" t="s">
        <v>6384</v>
      </c>
      <c r="E2226" s="20">
        <f t="shared" si="165"/>
        <v>0</v>
      </c>
      <c r="F2226" s="20">
        <v>1075</v>
      </c>
      <c r="G2226" s="24" t="s">
        <v>8681</v>
      </c>
      <c r="H2226" s="20">
        <f t="shared" si="166"/>
        <v>0</v>
      </c>
      <c r="I2226" s="21">
        <v>600</v>
      </c>
      <c r="J2226" s="21">
        <f t="shared" si="167"/>
        <v>0</v>
      </c>
    </row>
    <row r="2227" spans="1:10" ht="41.4" x14ac:dyDescent="0.3">
      <c r="A2227" s="2" t="s">
        <v>2065</v>
      </c>
      <c r="B2227" s="1" t="s">
        <v>2152</v>
      </c>
      <c r="C2227" s="6" t="s">
        <v>4236</v>
      </c>
      <c r="D2227" s="6" t="s">
        <v>6391</v>
      </c>
      <c r="E2227" s="20">
        <f t="shared" si="165"/>
        <v>0</v>
      </c>
      <c r="F2227" s="20">
        <f>[105]Sayfa1!$L$2</f>
        <v>42830.420000000006</v>
      </c>
      <c r="G2227" s="24" t="s">
        <v>8682</v>
      </c>
      <c r="H2227" s="20">
        <f t="shared" si="166"/>
        <v>0</v>
      </c>
      <c r="I2227" s="21">
        <v>6600</v>
      </c>
      <c r="J2227" s="21">
        <f t="shared" si="167"/>
        <v>0</v>
      </c>
    </row>
    <row r="2228" spans="1:10" ht="41.4" x14ac:dyDescent="0.3">
      <c r="A2228" s="2" t="s">
        <v>2066</v>
      </c>
      <c r="B2228" s="1" t="s">
        <v>2152</v>
      </c>
      <c r="C2228" s="6" t="s">
        <v>4237</v>
      </c>
      <c r="D2228" s="6" t="s">
        <v>6392</v>
      </c>
      <c r="E2228" s="20">
        <f t="shared" si="165"/>
        <v>0</v>
      </c>
      <c r="F2228" s="20">
        <f>'[106]HALKALI ÖĞÜTÜCÜ'!$L$2</f>
        <v>1950</v>
      </c>
      <c r="G2228" s="24" t="s">
        <v>8683</v>
      </c>
      <c r="H2228" s="20">
        <f t="shared" si="166"/>
        <v>0</v>
      </c>
      <c r="I2228" s="21">
        <v>5100</v>
      </c>
      <c r="J2228" s="21">
        <f t="shared" si="167"/>
        <v>0</v>
      </c>
    </row>
    <row r="2229" spans="1:10" x14ac:dyDescent="0.3">
      <c r="A2229" s="2" t="s">
        <v>2067</v>
      </c>
      <c r="B2229" s="1" t="s">
        <v>2152</v>
      </c>
      <c r="C2229" s="6" t="s">
        <v>4238</v>
      </c>
      <c r="D2229" s="6" t="s">
        <v>6393</v>
      </c>
      <c r="E2229" s="20">
        <f t="shared" si="165"/>
        <v>0</v>
      </c>
      <c r="F2229" s="20"/>
      <c r="G2229" s="24" t="s">
        <v>8684</v>
      </c>
      <c r="H2229" s="20">
        <f t="shared" si="166"/>
        <v>0</v>
      </c>
      <c r="I2229" s="21">
        <v>750</v>
      </c>
      <c r="J2229" s="21">
        <f t="shared" si="167"/>
        <v>0</v>
      </c>
    </row>
    <row r="2230" spans="1:10" x14ac:dyDescent="0.3">
      <c r="A2230" s="2" t="s">
        <v>2068</v>
      </c>
      <c r="B2230" s="1" t="s">
        <v>2152</v>
      </c>
      <c r="C2230" s="6" t="s">
        <v>4239</v>
      </c>
      <c r="D2230" s="6" t="s">
        <v>6394</v>
      </c>
      <c r="E2230" s="20"/>
      <c r="F2230" s="20"/>
      <c r="G2230" s="24" t="s">
        <v>8685</v>
      </c>
      <c r="H2230" s="20"/>
    </row>
    <row r="2231" spans="1:10" x14ac:dyDescent="0.3">
      <c r="A2231" s="2" t="s">
        <v>2069</v>
      </c>
      <c r="B2231" s="1" t="s">
        <v>2152</v>
      </c>
      <c r="C2231" s="6" t="s">
        <v>4240</v>
      </c>
      <c r="D2231" s="6" t="s">
        <v>6395</v>
      </c>
      <c r="E2231" s="20"/>
      <c r="F2231" s="20"/>
      <c r="G2231" s="24" t="s">
        <v>8686</v>
      </c>
      <c r="H2231" s="20"/>
    </row>
    <row r="2232" spans="1:10" x14ac:dyDescent="0.3">
      <c r="A2232" s="2" t="s">
        <v>2070</v>
      </c>
      <c r="B2232" s="1" t="s">
        <v>2152</v>
      </c>
      <c r="C2232" s="6" t="s">
        <v>4241</v>
      </c>
      <c r="D2232" s="6" t="s">
        <v>6396</v>
      </c>
      <c r="E2232" s="20">
        <f>H2232*1.8*1.4</f>
        <v>0</v>
      </c>
      <c r="F2232" s="20"/>
      <c r="G2232" s="24" t="s">
        <v>8687</v>
      </c>
      <c r="H2232" s="20">
        <f>K2232*1.8*1.4</f>
        <v>0</v>
      </c>
      <c r="I2232" s="21">
        <v>1100</v>
      </c>
      <c r="J2232" s="21">
        <f t="shared" si="167"/>
        <v>0</v>
      </c>
    </row>
    <row r="2233" spans="1:10" ht="82.8" x14ac:dyDescent="0.3">
      <c r="A2233" s="2" t="s">
        <v>2071</v>
      </c>
      <c r="B2233" s="1" t="s">
        <v>2152</v>
      </c>
      <c r="C2233" s="16" t="s">
        <v>4242</v>
      </c>
      <c r="E2233" s="20"/>
      <c r="F2233" s="20"/>
      <c r="G2233" s="24" t="s">
        <v>8688</v>
      </c>
      <c r="H2233" s="20"/>
    </row>
    <row r="2234" spans="1:10" ht="69" x14ac:dyDescent="0.3">
      <c r="A2234" s="2" t="s">
        <v>2072</v>
      </c>
      <c r="B2234" s="1" t="s">
        <v>2152</v>
      </c>
      <c r="C2234" s="6" t="s">
        <v>4243</v>
      </c>
      <c r="D2234" s="6" t="s">
        <v>6397</v>
      </c>
      <c r="E2234" s="20">
        <f t="shared" ref="E2234:E2280" si="168">H2234*1.8*1.4</f>
        <v>0</v>
      </c>
      <c r="F2234" s="20">
        <f>'[107]BİLYALI DEĞİRMEN'!$L$2</f>
        <v>73777.899999999994</v>
      </c>
      <c r="G2234" s="24" t="s">
        <v>8689</v>
      </c>
      <c r="H2234" s="20">
        <f t="shared" ref="H2234:H2280" si="169">K2234*1.8*1.4</f>
        <v>0</v>
      </c>
    </row>
    <row r="2235" spans="1:10" ht="96.6" x14ac:dyDescent="0.3">
      <c r="A2235" s="2" t="s">
        <v>2073</v>
      </c>
      <c r="B2235" s="1" t="s">
        <v>2152</v>
      </c>
      <c r="C2235" s="6" t="s">
        <v>4244</v>
      </c>
      <c r="E2235" s="20">
        <f t="shared" si="168"/>
        <v>0</v>
      </c>
      <c r="F2235" s="20">
        <f>[107]tambur6!$M$2</f>
        <v>13965</v>
      </c>
      <c r="G2235" s="24" t="s">
        <v>8690</v>
      </c>
      <c r="H2235" s="20">
        <f t="shared" si="169"/>
        <v>0</v>
      </c>
    </row>
    <row r="2236" spans="1:10" ht="96.6" x14ac:dyDescent="0.3">
      <c r="A2236" s="2" t="s">
        <v>2074</v>
      </c>
      <c r="B2236" s="1" t="s">
        <v>2152</v>
      </c>
      <c r="C2236" s="6" t="s">
        <v>4245</v>
      </c>
      <c r="E2236" s="20">
        <f t="shared" si="168"/>
        <v>0</v>
      </c>
      <c r="F2236" s="20">
        <f>[107]tambur9!$L$2</f>
        <v>16107</v>
      </c>
      <c r="G2236" s="24" t="s">
        <v>8691</v>
      </c>
      <c r="H2236" s="20">
        <f t="shared" si="169"/>
        <v>0</v>
      </c>
    </row>
    <row r="2237" spans="1:10" x14ac:dyDescent="0.3">
      <c r="A2237" s="2" t="s">
        <v>2075</v>
      </c>
      <c r="B2237" s="1" t="s">
        <v>2152</v>
      </c>
      <c r="C2237" s="6" t="s">
        <v>4246</v>
      </c>
      <c r="E2237" s="20">
        <f t="shared" si="168"/>
        <v>0</v>
      </c>
      <c r="F2237" s="20"/>
      <c r="G2237" s="24" t="s">
        <v>8692</v>
      </c>
      <c r="H2237" s="20">
        <f t="shared" si="169"/>
        <v>0</v>
      </c>
    </row>
    <row r="2238" spans="1:10" x14ac:dyDescent="0.3">
      <c r="A2238" s="2" t="s">
        <v>2076</v>
      </c>
      <c r="B2238" s="1" t="s">
        <v>2152</v>
      </c>
      <c r="C2238" s="6" t="s">
        <v>4247</v>
      </c>
      <c r="E2238" s="20">
        <f t="shared" si="168"/>
        <v>0</v>
      </c>
      <c r="F2238" s="20"/>
      <c r="G2238" s="24" t="s">
        <v>8693</v>
      </c>
      <c r="H2238" s="20">
        <f t="shared" si="169"/>
        <v>0</v>
      </c>
    </row>
    <row r="2239" spans="1:10" x14ac:dyDescent="0.3">
      <c r="A2239" s="2" t="s">
        <v>2077</v>
      </c>
      <c r="B2239" s="1" t="s">
        <v>2152</v>
      </c>
      <c r="C2239" s="6" t="s">
        <v>4248</v>
      </c>
      <c r="D2239" s="6" t="s">
        <v>6398</v>
      </c>
      <c r="E2239" s="20">
        <f t="shared" si="168"/>
        <v>0</v>
      </c>
      <c r="F2239" s="20"/>
      <c r="G2239" s="24" t="s">
        <v>8694</v>
      </c>
      <c r="H2239" s="20">
        <f t="shared" si="169"/>
        <v>0</v>
      </c>
    </row>
    <row r="2240" spans="1:10" ht="69" x14ac:dyDescent="0.3">
      <c r="A2240" s="2" t="s">
        <v>2078</v>
      </c>
      <c r="B2240" s="1" t="s">
        <v>2152</v>
      </c>
      <c r="C2240" s="6" t="s">
        <v>4249</v>
      </c>
      <c r="E2240" s="20">
        <f t="shared" si="168"/>
        <v>0</v>
      </c>
      <c r="F2240" s="20">
        <f>'[108]3katlıbottle roller'!$L$2</f>
        <v>52327.520000000004</v>
      </c>
      <c r="G2240" s="24" t="s">
        <v>8695</v>
      </c>
      <c r="H2240" s="20">
        <f t="shared" si="169"/>
        <v>0</v>
      </c>
    </row>
    <row r="2241" spans="1:8" ht="69" x14ac:dyDescent="0.3">
      <c r="A2241" s="2" t="s">
        <v>2079</v>
      </c>
      <c r="B2241" s="1" t="s">
        <v>2152</v>
      </c>
      <c r="C2241" s="6" t="s">
        <v>4250</v>
      </c>
      <c r="E2241" s="20">
        <f t="shared" si="168"/>
        <v>0</v>
      </c>
      <c r="F2241" s="20">
        <f>'[108]3katlıbottle roller'!$L$2</f>
        <v>52327.520000000004</v>
      </c>
      <c r="G2241" s="24" t="s">
        <v>8696</v>
      </c>
      <c r="H2241" s="20">
        <f t="shared" si="169"/>
        <v>0</v>
      </c>
    </row>
    <row r="2242" spans="1:8" ht="55.2" x14ac:dyDescent="0.3">
      <c r="A2242" s="2" t="s">
        <v>2080</v>
      </c>
      <c r="B2242" s="1" t="s">
        <v>2152</v>
      </c>
      <c r="C2242" s="6" t="s">
        <v>4251</v>
      </c>
      <c r="E2242" s="20">
        <f t="shared" si="168"/>
        <v>0</v>
      </c>
      <c r="F2242" s="20">
        <f>'[108]1katlıbottle roller'!$L$2</f>
        <v>37168.46</v>
      </c>
      <c r="G2242" s="24" t="s">
        <v>8697</v>
      </c>
      <c r="H2242" s="20">
        <f t="shared" si="169"/>
        <v>0</v>
      </c>
    </row>
    <row r="2243" spans="1:8" x14ac:dyDescent="0.3">
      <c r="A2243" s="2" t="s">
        <v>2081</v>
      </c>
      <c r="B2243" s="1" t="s">
        <v>2152</v>
      </c>
      <c r="C2243" s="6" t="s">
        <v>4252</v>
      </c>
      <c r="D2243" s="6" t="s">
        <v>6399</v>
      </c>
      <c r="E2243" s="20">
        <f t="shared" si="168"/>
        <v>0</v>
      </c>
      <c r="F2243" s="20">
        <f>'[109]OTOMATİK NUMUNE BÖLÜCÜ'!$L$2</f>
        <v>33997.32</v>
      </c>
      <c r="G2243" s="24" t="s">
        <v>8698</v>
      </c>
      <c r="H2243" s="20">
        <f t="shared" si="169"/>
        <v>0</v>
      </c>
    </row>
    <row r="2244" spans="1:8" x14ac:dyDescent="0.3">
      <c r="A2244" s="2" t="s">
        <v>2082</v>
      </c>
      <c r="B2244" s="1" t="s">
        <v>2152</v>
      </c>
      <c r="C2244" s="6" t="s">
        <v>4253</v>
      </c>
      <c r="D2244" s="6" t="s">
        <v>6400</v>
      </c>
      <c r="E2244" s="20">
        <f t="shared" si="168"/>
        <v>0</v>
      </c>
      <c r="F2244" s="20"/>
      <c r="G2244" s="24" t="s">
        <v>8699</v>
      </c>
      <c r="H2244" s="20">
        <f t="shared" si="169"/>
        <v>0</v>
      </c>
    </row>
    <row r="2245" spans="1:8" x14ac:dyDescent="0.3">
      <c r="A2245" s="2" t="s">
        <v>2083</v>
      </c>
      <c r="B2245" s="1" t="s">
        <v>2152</v>
      </c>
      <c r="C2245" s="6" t="s">
        <v>4254</v>
      </c>
      <c r="D2245" s="6" t="s">
        <v>6401</v>
      </c>
      <c r="E2245" s="20">
        <f t="shared" si="168"/>
        <v>0</v>
      </c>
      <c r="F2245" s="20"/>
      <c r="G2245" s="24" t="s">
        <v>8700</v>
      </c>
      <c r="H2245" s="20">
        <f t="shared" si="169"/>
        <v>0</v>
      </c>
    </row>
    <row r="2246" spans="1:8" x14ac:dyDescent="0.3">
      <c r="A2246" s="2" t="s">
        <v>2084</v>
      </c>
      <c r="B2246" s="1" t="s">
        <v>2152</v>
      </c>
      <c r="C2246" s="6" t="s">
        <v>4255</v>
      </c>
      <c r="D2246" s="6" t="s">
        <v>6402</v>
      </c>
      <c r="E2246" s="20">
        <f t="shared" si="168"/>
        <v>0</v>
      </c>
      <c r="F2246" s="20"/>
      <c r="G2246" s="24" t="s">
        <v>8701</v>
      </c>
      <c r="H2246" s="20">
        <f t="shared" si="169"/>
        <v>0</v>
      </c>
    </row>
    <row r="2247" spans="1:8" x14ac:dyDescent="0.3">
      <c r="A2247" s="2" t="s">
        <v>2085</v>
      </c>
      <c r="B2247" s="1" t="s">
        <v>2152</v>
      </c>
      <c r="C2247" s="6" t="s">
        <v>4256</v>
      </c>
      <c r="D2247" s="6" t="s">
        <v>6403</v>
      </c>
      <c r="E2247" s="20">
        <f t="shared" si="168"/>
        <v>0</v>
      </c>
      <c r="F2247" s="20"/>
      <c r="G2247" s="24" t="s">
        <v>8702</v>
      </c>
      <c r="H2247" s="20">
        <f t="shared" si="169"/>
        <v>0</v>
      </c>
    </row>
    <row r="2248" spans="1:8" x14ac:dyDescent="0.3">
      <c r="A2248" s="2" t="s">
        <v>2086</v>
      </c>
      <c r="B2248" s="1" t="s">
        <v>2152</v>
      </c>
      <c r="C2248" s="6" t="s">
        <v>4257</v>
      </c>
      <c r="E2248" s="20">
        <f t="shared" si="168"/>
        <v>0</v>
      </c>
      <c r="F2248" s="20"/>
      <c r="G2248" s="24" t="s">
        <v>8703</v>
      </c>
      <c r="H2248" s="20">
        <f t="shared" si="169"/>
        <v>0</v>
      </c>
    </row>
    <row r="2249" spans="1:8" ht="151.80000000000001" x14ac:dyDescent="0.3">
      <c r="A2249" s="2" t="s">
        <v>2087</v>
      </c>
      <c r="B2249" s="1" t="s">
        <v>2152</v>
      </c>
      <c r="C2249" s="6" t="s">
        <v>4258</v>
      </c>
      <c r="D2249" s="6" t="s">
        <v>6404</v>
      </c>
      <c r="E2249" s="20">
        <f t="shared" si="168"/>
        <v>0</v>
      </c>
      <c r="F2249" s="20">
        <f>[110]FLATASYON!$L$2</f>
        <v>28040</v>
      </c>
      <c r="G2249" s="24" t="s">
        <v>8704</v>
      </c>
      <c r="H2249" s="20">
        <f t="shared" si="169"/>
        <v>0</v>
      </c>
    </row>
    <row r="2250" spans="1:8" ht="27.6" x14ac:dyDescent="0.3">
      <c r="A2250" s="2" t="s">
        <v>2088</v>
      </c>
      <c r="B2250" s="1" t="s">
        <v>2152</v>
      </c>
      <c r="C2250" s="6" t="s">
        <v>4259</v>
      </c>
      <c r="E2250" s="20">
        <f t="shared" si="168"/>
        <v>0</v>
      </c>
      <c r="F2250" s="20"/>
      <c r="G2250" s="24" t="s">
        <v>8705</v>
      </c>
      <c r="H2250" s="20">
        <f t="shared" si="169"/>
        <v>0</v>
      </c>
    </row>
    <row r="2251" spans="1:8" ht="27.6" x14ac:dyDescent="0.3">
      <c r="A2251" s="2" t="s">
        <v>735</v>
      </c>
      <c r="B2251" s="1" t="s">
        <v>2152</v>
      </c>
      <c r="C2251" s="6" t="s">
        <v>4259</v>
      </c>
      <c r="E2251" s="20">
        <f t="shared" si="168"/>
        <v>0</v>
      </c>
      <c r="F2251" s="20"/>
      <c r="G2251" s="24" t="s">
        <v>8706</v>
      </c>
      <c r="H2251" s="20">
        <f t="shared" si="169"/>
        <v>0</v>
      </c>
    </row>
    <row r="2252" spans="1:8" x14ac:dyDescent="0.3">
      <c r="A2252" s="2" t="s">
        <v>2089</v>
      </c>
      <c r="B2252" s="1" t="s">
        <v>2152</v>
      </c>
      <c r="C2252" s="6" t="s">
        <v>4260</v>
      </c>
      <c r="E2252" s="20">
        <f t="shared" si="168"/>
        <v>0</v>
      </c>
      <c r="F2252" s="20"/>
      <c r="G2252" s="24" t="s">
        <v>8707</v>
      </c>
      <c r="H2252" s="20">
        <f t="shared" si="169"/>
        <v>0</v>
      </c>
    </row>
    <row r="2253" spans="1:8" x14ac:dyDescent="0.3">
      <c r="A2253" s="2" t="s">
        <v>2090</v>
      </c>
      <c r="B2253" s="1" t="s">
        <v>2152</v>
      </c>
      <c r="C2253" s="6" t="s">
        <v>4261</v>
      </c>
      <c r="E2253" s="20">
        <f t="shared" si="168"/>
        <v>0</v>
      </c>
      <c r="F2253" s="20"/>
      <c r="G2253" s="24" t="s">
        <v>8708</v>
      </c>
      <c r="H2253" s="20">
        <f t="shared" si="169"/>
        <v>0</v>
      </c>
    </row>
    <row r="2254" spans="1:8" x14ac:dyDescent="0.3">
      <c r="A2254" s="2" t="s">
        <v>2091</v>
      </c>
      <c r="B2254" s="1" t="s">
        <v>2152</v>
      </c>
      <c r="C2254" s="6" t="s">
        <v>4262</v>
      </c>
      <c r="E2254" s="20">
        <f t="shared" si="168"/>
        <v>0</v>
      </c>
      <c r="F2254" s="20"/>
      <c r="G2254" s="24" t="s">
        <v>8709</v>
      </c>
      <c r="H2254" s="20">
        <f t="shared" si="169"/>
        <v>0</v>
      </c>
    </row>
    <row r="2255" spans="1:8" x14ac:dyDescent="0.3">
      <c r="A2255" s="2" t="s">
        <v>2092</v>
      </c>
      <c r="B2255" s="1" t="s">
        <v>2152</v>
      </c>
      <c r="C2255" s="6" t="s">
        <v>4263</v>
      </c>
      <c r="D2255" s="6" t="s">
        <v>6405</v>
      </c>
      <c r="E2255" s="20">
        <f t="shared" si="168"/>
        <v>0</v>
      </c>
      <c r="F2255" s="20"/>
      <c r="G2255" s="24" t="s">
        <v>8710</v>
      </c>
      <c r="H2255" s="20">
        <f t="shared" si="169"/>
        <v>0</v>
      </c>
    </row>
    <row r="2256" spans="1:8" x14ac:dyDescent="0.3">
      <c r="A2256" s="2" t="s">
        <v>2093</v>
      </c>
      <c r="B2256" s="1" t="s">
        <v>2152</v>
      </c>
      <c r="C2256" s="6" t="s">
        <v>4264</v>
      </c>
      <c r="D2256" s="6" t="s">
        <v>6406</v>
      </c>
      <c r="E2256" s="20">
        <f t="shared" si="168"/>
        <v>0</v>
      </c>
      <c r="F2256" s="20"/>
      <c r="G2256" s="24" t="s">
        <v>8711</v>
      </c>
      <c r="H2256" s="20">
        <f t="shared" si="169"/>
        <v>0</v>
      </c>
    </row>
    <row r="2257" spans="1:8" ht="138" x14ac:dyDescent="0.3">
      <c r="A2257" s="2" t="s">
        <v>2094</v>
      </c>
      <c r="B2257" s="1" t="s">
        <v>2152</v>
      </c>
      <c r="C2257" s="6" t="s">
        <v>4265</v>
      </c>
      <c r="D2257" s="6" t="s">
        <v>6407</v>
      </c>
      <c r="E2257" s="20">
        <f t="shared" si="168"/>
        <v>0</v>
      </c>
      <c r="F2257" s="20">
        <v>10000</v>
      </c>
      <c r="G2257" s="24" t="s">
        <v>8712</v>
      </c>
      <c r="H2257" s="20">
        <f t="shared" si="169"/>
        <v>0</v>
      </c>
    </row>
    <row r="2258" spans="1:8" x14ac:dyDescent="0.3">
      <c r="A2258" s="2" t="s">
        <v>2095</v>
      </c>
      <c r="B2258" s="1" t="s">
        <v>2152</v>
      </c>
      <c r="C2258" s="6" t="s">
        <v>4266</v>
      </c>
      <c r="D2258" s="6" t="s">
        <v>6408</v>
      </c>
      <c r="E2258" s="20">
        <f t="shared" si="168"/>
        <v>0</v>
      </c>
      <c r="F2258" s="20">
        <f>[111]Sayfa1!$L$2</f>
        <v>70863.75</v>
      </c>
      <c r="G2258" s="24" t="s">
        <v>8713</v>
      </c>
      <c r="H2258" s="20">
        <f t="shared" si="169"/>
        <v>0</v>
      </c>
    </row>
    <row r="2259" spans="1:8" x14ac:dyDescent="0.3">
      <c r="A2259" s="2" t="s">
        <v>2096</v>
      </c>
      <c r="B2259" s="1" t="s">
        <v>2152</v>
      </c>
      <c r="C2259" s="6" t="s">
        <v>4267</v>
      </c>
      <c r="D2259" s="6" t="s">
        <v>6409</v>
      </c>
      <c r="E2259" s="20">
        <f t="shared" si="168"/>
        <v>0</v>
      </c>
      <c r="F2259" s="20">
        <f>[112]Sayfa1!$L$2</f>
        <v>17095</v>
      </c>
      <c r="G2259" s="24" t="s">
        <v>8714</v>
      </c>
      <c r="H2259" s="20">
        <f t="shared" si="169"/>
        <v>0</v>
      </c>
    </row>
    <row r="2260" spans="1:8" x14ac:dyDescent="0.3">
      <c r="A2260" s="2" t="s">
        <v>2097</v>
      </c>
      <c r="B2260" s="1" t="s">
        <v>2152</v>
      </c>
      <c r="C2260" s="6" t="s">
        <v>4268</v>
      </c>
      <c r="D2260" s="6" t="s">
        <v>6410</v>
      </c>
      <c r="E2260" s="20">
        <f t="shared" si="168"/>
        <v>0</v>
      </c>
      <c r="F2260" s="20">
        <f>[113]Sayfa1!$L$2</f>
        <v>127076</v>
      </c>
      <c r="G2260" s="24" t="s">
        <v>8715</v>
      </c>
      <c r="H2260" s="20">
        <f t="shared" si="169"/>
        <v>0</v>
      </c>
    </row>
    <row r="2261" spans="1:8" x14ac:dyDescent="0.3">
      <c r="A2261" s="2" t="s">
        <v>2098</v>
      </c>
      <c r="B2261" s="1" t="s">
        <v>2152</v>
      </c>
      <c r="C2261" s="6" t="s">
        <v>4269</v>
      </c>
      <c r="D2261" s="6" t="s">
        <v>6411</v>
      </c>
      <c r="E2261" s="20">
        <f t="shared" si="168"/>
        <v>0</v>
      </c>
      <c r="F2261" s="20"/>
      <c r="G2261" s="24" t="s">
        <v>8716</v>
      </c>
      <c r="H2261" s="20">
        <f t="shared" si="169"/>
        <v>0</v>
      </c>
    </row>
    <row r="2262" spans="1:8" ht="27.6" x14ac:dyDescent="0.3">
      <c r="A2262" s="2" t="s">
        <v>2099</v>
      </c>
      <c r="B2262" s="1" t="s">
        <v>2152</v>
      </c>
      <c r="C2262" s="6" t="s">
        <v>4270</v>
      </c>
      <c r="D2262" s="6" t="s">
        <v>6412</v>
      </c>
      <c r="E2262" s="20">
        <f t="shared" si="168"/>
        <v>0</v>
      </c>
      <c r="F2262" s="20"/>
      <c r="G2262" s="24" t="s">
        <v>8717</v>
      </c>
      <c r="H2262" s="20">
        <f t="shared" si="169"/>
        <v>0</v>
      </c>
    </row>
    <row r="2263" spans="1:8" ht="27.6" x14ac:dyDescent="0.3">
      <c r="A2263" s="2" t="s">
        <v>2100</v>
      </c>
      <c r="B2263" s="1" t="s">
        <v>2152</v>
      </c>
      <c r="C2263" s="6" t="s">
        <v>4271</v>
      </c>
      <c r="D2263" s="6" t="s">
        <v>6413</v>
      </c>
      <c r="E2263" s="20">
        <f t="shared" si="168"/>
        <v>0</v>
      </c>
      <c r="F2263" s="20"/>
      <c r="G2263" s="24" t="s">
        <v>8718</v>
      </c>
      <c r="H2263" s="20">
        <f t="shared" si="169"/>
        <v>0</v>
      </c>
    </row>
    <row r="2264" spans="1:8" ht="27.6" x14ac:dyDescent="0.3">
      <c r="A2264" s="2" t="s">
        <v>2101</v>
      </c>
      <c r="B2264" s="1" t="s">
        <v>2152</v>
      </c>
      <c r="C2264" s="6" t="s">
        <v>4272</v>
      </c>
      <c r="D2264" s="6" t="s">
        <v>6414</v>
      </c>
      <c r="E2264" s="20">
        <f t="shared" si="168"/>
        <v>0</v>
      </c>
      <c r="F2264" s="20"/>
      <c r="G2264" s="24" t="s">
        <v>8719</v>
      </c>
      <c r="H2264" s="20">
        <f t="shared" si="169"/>
        <v>0</v>
      </c>
    </row>
    <row r="2265" spans="1:8" ht="27.6" x14ac:dyDescent="0.3">
      <c r="A2265" s="2" t="s">
        <v>2102</v>
      </c>
      <c r="B2265" s="1" t="s">
        <v>2152</v>
      </c>
      <c r="C2265" s="6" t="s">
        <v>4273</v>
      </c>
      <c r="D2265" s="6" t="s">
        <v>6415</v>
      </c>
      <c r="E2265" s="20">
        <f t="shared" si="168"/>
        <v>0</v>
      </c>
      <c r="F2265" s="20"/>
      <c r="G2265" s="24" t="s">
        <v>8720</v>
      </c>
      <c r="H2265" s="20">
        <f t="shared" si="169"/>
        <v>0</v>
      </c>
    </row>
    <row r="2266" spans="1:8" ht="27.6" x14ac:dyDescent="0.3">
      <c r="A2266" s="2" t="s">
        <v>2103</v>
      </c>
      <c r="B2266" s="1" t="s">
        <v>2152</v>
      </c>
      <c r="C2266" s="6" t="s">
        <v>4274</v>
      </c>
      <c r="D2266" s="6" t="s">
        <v>6416</v>
      </c>
      <c r="E2266" s="20">
        <f t="shared" si="168"/>
        <v>0</v>
      </c>
      <c r="F2266" s="20"/>
      <c r="G2266" s="24" t="s">
        <v>8721</v>
      </c>
      <c r="H2266" s="20">
        <f t="shared" si="169"/>
        <v>0</v>
      </c>
    </row>
    <row r="2267" spans="1:8" ht="27.6" x14ac:dyDescent="0.3">
      <c r="A2267" s="2" t="s">
        <v>2104</v>
      </c>
      <c r="B2267" s="1" t="s">
        <v>2152</v>
      </c>
      <c r="C2267" s="6" t="s">
        <v>4275</v>
      </c>
      <c r="D2267" s="6" t="s">
        <v>6417</v>
      </c>
      <c r="E2267" s="20">
        <f t="shared" si="168"/>
        <v>0</v>
      </c>
      <c r="F2267" s="20"/>
      <c r="G2267" s="24" t="s">
        <v>8722</v>
      </c>
      <c r="H2267" s="20">
        <f t="shared" si="169"/>
        <v>0</v>
      </c>
    </row>
    <row r="2268" spans="1:8" ht="27.6" x14ac:dyDescent="0.3">
      <c r="A2268" s="2" t="s">
        <v>2105</v>
      </c>
      <c r="B2268" s="1" t="s">
        <v>2152</v>
      </c>
      <c r="C2268" s="6" t="s">
        <v>4276</v>
      </c>
      <c r="D2268" s="6" t="s">
        <v>6418</v>
      </c>
      <c r="E2268" s="20">
        <f t="shared" si="168"/>
        <v>0</v>
      </c>
      <c r="F2268" s="20"/>
      <c r="G2268" s="24" t="s">
        <v>8723</v>
      </c>
      <c r="H2268" s="20">
        <f t="shared" si="169"/>
        <v>0</v>
      </c>
    </row>
    <row r="2269" spans="1:8" ht="27.6" x14ac:dyDescent="0.3">
      <c r="A2269" s="2" t="s">
        <v>2106</v>
      </c>
      <c r="B2269" s="1" t="s">
        <v>2152</v>
      </c>
      <c r="C2269" s="6" t="s">
        <v>4277</v>
      </c>
      <c r="D2269" s="6" t="s">
        <v>6419</v>
      </c>
      <c r="E2269" s="20">
        <f t="shared" si="168"/>
        <v>0</v>
      </c>
      <c r="F2269" s="20"/>
      <c r="G2269" s="24" t="s">
        <v>8724</v>
      </c>
      <c r="H2269" s="20">
        <f t="shared" si="169"/>
        <v>0</v>
      </c>
    </row>
    <row r="2270" spans="1:8" ht="27.6" x14ac:dyDescent="0.3">
      <c r="A2270" s="2" t="s">
        <v>2107</v>
      </c>
      <c r="B2270" s="1" t="s">
        <v>2152</v>
      </c>
      <c r="C2270" s="6" t="s">
        <v>4278</v>
      </c>
      <c r="D2270" s="6" t="s">
        <v>6420</v>
      </c>
      <c r="E2270" s="20">
        <f t="shared" si="168"/>
        <v>0</v>
      </c>
      <c r="F2270" s="20"/>
      <c r="G2270" s="24" t="s">
        <v>8725</v>
      </c>
      <c r="H2270" s="20">
        <f t="shared" si="169"/>
        <v>0</v>
      </c>
    </row>
    <row r="2271" spans="1:8" ht="27.6" x14ac:dyDescent="0.3">
      <c r="A2271" s="2" t="s">
        <v>2108</v>
      </c>
      <c r="B2271" s="1" t="s">
        <v>2152</v>
      </c>
      <c r="C2271" s="6" t="s">
        <v>4279</v>
      </c>
      <c r="D2271" s="6" t="s">
        <v>6421</v>
      </c>
      <c r="E2271" s="20">
        <f t="shared" si="168"/>
        <v>0</v>
      </c>
      <c r="F2271" s="20"/>
      <c r="G2271" s="24" t="s">
        <v>8726</v>
      </c>
      <c r="H2271" s="20">
        <f t="shared" si="169"/>
        <v>0</v>
      </c>
    </row>
    <row r="2272" spans="1:8" ht="27.6" x14ac:dyDescent="0.3">
      <c r="A2272" s="2" t="s">
        <v>2109</v>
      </c>
      <c r="B2272" s="1" t="s">
        <v>2152</v>
      </c>
      <c r="C2272" s="6" t="s">
        <v>4280</v>
      </c>
      <c r="D2272" s="6" t="s">
        <v>6422</v>
      </c>
      <c r="E2272" s="20">
        <f t="shared" si="168"/>
        <v>0</v>
      </c>
      <c r="F2272" s="20"/>
      <c r="G2272" s="24" t="s">
        <v>8727</v>
      </c>
      <c r="H2272" s="20">
        <f t="shared" si="169"/>
        <v>0</v>
      </c>
    </row>
    <row r="2273" spans="1:8" ht="69" x14ac:dyDescent="0.3">
      <c r="A2273" s="8" t="s">
        <v>2110</v>
      </c>
      <c r="B2273" s="1" t="s">
        <v>2152</v>
      </c>
      <c r="C2273" s="14" t="s">
        <v>4281</v>
      </c>
      <c r="D2273" s="6" t="s">
        <v>6423</v>
      </c>
      <c r="E2273" s="20">
        <f t="shared" si="168"/>
        <v>0</v>
      </c>
      <c r="F2273" s="20">
        <f>[114]Sayfa1!$L$2</f>
        <v>17625</v>
      </c>
      <c r="G2273" s="24" t="s">
        <v>8728</v>
      </c>
      <c r="H2273" s="20">
        <f t="shared" si="169"/>
        <v>0</v>
      </c>
    </row>
    <row r="2274" spans="1:8" x14ac:dyDescent="0.3">
      <c r="A2274" s="2" t="s">
        <v>2111</v>
      </c>
      <c r="B2274" s="1" t="s">
        <v>2152</v>
      </c>
      <c r="C2274" s="6" t="s">
        <v>4282</v>
      </c>
      <c r="D2274" s="6" t="s">
        <v>6424</v>
      </c>
      <c r="E2274" s="20">
        <f t="shared" si="168"/>
        <v>0</v>
      </c>
      <c r="F2274" s="20">
        <f>[115]Sayfa1!$H$19</f>
        <v>17745</v>
      </c>
      <c r="G2274" s="24" t="s">
        <v>8729</v>
      </c>
      <c r="H2274" s="20">
        <f t="shared" si="169"/>
        <v>0</v>
      </c>
    </row>
    <row r="2275" spans="1:8" ht="69" x14ac:dyDescent="0.3">
      <c r="A2275" s="2" t="s">
        <v>2112</v>
      </c>
      <c r="B2275" s="1" t="s">
        <v>2152</v>
      </c>
      <c r="C2275" s="6" t="s">
        <v>4283</v>
      </c>
      <c r="D2275" s="6" t="s">
        <v>6425</v>
      </c>
      <c r="E2275" s="20">
        <f t="shared" si="168"/>
        <v>0</v>
      </c>
      <c r="F2275" s="20"/>
      <c r="G2275" s="24" t="s">
        <v>8730</v>
      </c>
      <c r="H2275" s="20">
        <f t="shared" si="169"/>
        <v>0</v>
      </c>
    </row>
    <row r="2276" spans="1:8" x14ac:dyDescent="0.3">
      <c r="A2276" s="2" t="s">
        <v>2113</v>
      </c>
      <c r="B2276" s="1" t="s">
        <v>2152</v>
      </c>
      <c r="C2276" s="6" t="s">
        <v>4284</v>
      </c>
      <c r="D2276" s="6" t="s">
        <v>6426</v>
      </c>
      <c r="E2276" s="20">
        <f t="shared" si="168"/>
        <v>0</v>
      </c>
      <c r="F2276" s="20"/>
      <c r="G2276" s="24" t="s">
        <v>8731</v>
      </c>
      <c r="H2276" s="20">
        <f t="shared" si="169"/>
        <v>0</v>
      </c>
    </row>
    <row r="2277" spans="1:8" x14ac:dyDescent="0.3">
      <c r="A2277" s="2" t="s">
        <v>2114</v>
      </c>
      <c r="B2277" s="1" t="s">
        <v>2152</v>
      </c>
      <c r="C2277" s="6" t="s">
        <v>4285</v>
      </c>
      <c r="D2277" s="6" t="s">
        <v>6427</v>
      </c>
      <c r="E2277" s="20">
        <f t="shared" si="168"/>
        <v>0</v>
      </c>
      <c r="F2277" s="20"/>
      <c r="G2277" s="24" t="s">
        <v>8732</v>
      </c>
      <c r="H2277" s="20">
        <f t="shared" si="169"/>
        <v>0</v>
      </c>
    </row>
    <row r="2278" spans="1:8" x14ac:dyDescent="0.3">
      <c r="A2278" s="2" t="s">
        <v>2115</v>
      </c>
      <c r="B2278" s="1" t="s">
        <v>2152</v>
      </c>
      <c r="C2278" s="6" t="s">
        <v>4286</v>
      </c>
      <c r="D2278" s="6" t="s">
        <v>6428</v>
      </c>
      <c r="E2278" s="20">
        <f t="shared" si="168"/>
        <v>0</v>
      </c>
      <c r="F2278" s="20"/>
      <c r="G2278" s="24" t="s">
        <v>8733</v>
      </c>
      <c r="H2278" s="20">
        <f t="shared" si="169"/>
        <v>0</v>
      </c>
    </row>
    <row r="2279" spans="1:8" x14ac:dyDescent="0.3">
      <c r="A2279" s="2" t="s">
        <v>2116</v>
      </c>
      <c r="B2279" s="1" t="s">
        <v>2152</v>
      </c>
      <c r="C2279" s="6" t="s">
        <v>4287</v>
      </c>
      <c r="D2279" s="6" t="s">
        <v>6429</v>
      </c>
      <c r="E2279" s="20">
        <f t="shared" si="168"/>
        <v>0</v>
      </c>
      <c r="F2279" s="20"/>
      <c r="G2279" s="24" t="s">
        <v>8734</v>
      </c>
      <c r="H2279" s="20">
        <f t="shared" si="169"/>
        <v>0</v>
      </c>
    </row>
    <row r="2280" spans="1:8" x14ac:dyDescent="0.3">
      <c r="A2280" s="2" t="s">
        <v>2117</v>
      </c>
      <c r="B2280" s="1" t="s">
        <v>2152</v>
      </c>
      <c r="C2280" s="6" t="s">
        <v>4288</v>
      </c>
      <c r="D2280" s="6" t="s">
        <v>6430</v>
      </c>
      <c r="E2280" s="20">
        <f t="shared" si="168"/>
        <v>0</v>
      </c>
      <c r="F2280" s="20">
        <f>[116]BATE!$L$2</f>
        <v>680</v>
      </c>
      <c r="G2280" s="24" t="s">
        <v>8735</v>
      </c>
      <c r="H2280" s="20">
        <f t="shared" si="169"/>
        <v>0</v>
      </c>
    </row>
    <row r="2281" spans="1:8" x14ac:dyDescent="0.3">
      <c r="A2281" s="2" t="s">
        <v>2118</v>
      </c>
      <c r="B2281" s="1" t="s">
        <v>2152</v>
      </c>
      <c r="C2281" s="6" t="s">
        <v>4289</v>
      </c>
      <c r="D2281" s="6" t="s">
        <v>6431</v>
      </c>
      <c r="G2281" s="24" t="s">
        <v>8736</v>
      </c>
    </row>
    <row r="2282" spans="1:8" ht="55.2" x14ac:dyDescent="0.3">
      <c r="A2282" s="2" t="s">
        <v>2119</v>
      </c>
      <c r="B2282" s="1" t="s">
        <v>2152</v>
      </c>
      <c r="C2282" s="6" t="s">
        <v>4290</v>
      </c>
      <c r="G2282" s="24" t="s">
        <v>8737</v>
      </c>
    </row>
    <row r="2283" spans="1:8" x14ac:dyDescent="0.3">
      <c r="A2283" s="2" t="s">
        <v>2120</v>
      </c>
      <c r="B2283" s="1" t="s">
        <v>2152</v>
      </c>
      <c r="C2283" s="6" t="s">
        <v>4291</v>
      </c>
      <c r="G2283" s="24" t="s">
        <v>8738</v>
      </c>
    </row>
    <row r="2284" spans="1:8" ht="27.6" x14ac:dyDescent="0.3">
      <c r="A2284" s="2" t="s">
        <v>2121</v>
      </c>
      <c r="B2284" s="1" t="s">
        <v>2152</v>
      </c>
      <c r="C2284" s="6" t="s">
        <v>4292</v>
      </c>
      <c r="G2284" s="24" t="s">
        <v>8739</v>
      </c>
    </row>
    <row r="2285" spans="1:8" x14ac:dyDescent="0.3">
      <c r="A2285" s="2" t="s">
        <v>2122</v>
      </c>
      <c r="B2285" s="1" t="s">
        <v>2152</v>
      </c>
      <c r="C2285" s="6" t="s">
        <v>4293</v>
      </c>
      <c r="G2285" s="24" t="s">
        <v>8740</v>
      </c>
    </row>
    <row r="2286" spans="1:8" x14ac:dyDescent="0.3">
      <c r="A2286" s="2" t="s">
        <v>2123</v>
      </c>
      <c r="B2286" s="1" t="s">
        <v>2152</v>
      </c>
      <c r="C2286" s="6" t="s">
        <v>4294</v>
      </c>
      <c r="G2286" s="24" t="s">
        <v>8741</v>
      </c>
    </row>
    <row r="2287" spans="1:8" ht="55.2" x14ac:dyDescent="0.3">
      <c r="A2287" s="2" t="s">
        <v>2124</v>
      </c>
      <c r="B2287" s="1" t="s">
        <v>2152</v>
      </c>
      <c r="C2287" s="6" t="s">
        <v>4295</v>
      </c>
      <c r="D2287" s="6" t="s">
        <v>6432</v>
      </c>
      <c r="G2287" s="24" t="s">
        <v>8742</v>
      </c>
    </row>
    <row r="2288" spans="1:8" ht="55.2" x14ac:dyDescent="0.3">
      <c r="A2288" s="2" t="s">
        <v>2047</v>
      </c>
      <c r="B2288" s="1" t="s">
        <v>2152</v>
      </c>
      <c r="C2288" s="6" t="s">
        <v>4296</v>
      </c>
      <c r="D2288" s="6" t="s">
        <v>6433</v>
      </c>
      <c r="G2288" s="24" t="s">
        <v>8743</v>
      </c>
    </row>
    <row r="2289" spans="1:7" x14ac:dyDescent="0.3">
      <c r="A2289" s="2" t="s">
        <v>2125</v>
      </c>
      <c r="B2289" s="1" t="s">
        <v>2152</v>
      </c>
      <c r="C2289" s="6" t="s">
        <v>4297</v>
      </c>
      <c r="D2289" s="6" t="s">
        <v>6434</v>
      </c>
      <c r="G2289" s="24" t="s">
        <v>8744</v>
      </c>
    </row>
    <row r="2290" spans="1:7" x14ac:dyDescent="0.3">
      <c r="A2290" s="2" t="s">
        <v>2126</v>
      </c>
      <c r="B2290" s="1" t="s">
        <v>2152</v>
      </c>
      <c r="C2290" s="6" t="s">
        <v>4298</v>
      </c>
      <c r="D2290" s="6" t="s">
        <v>4298</v>
      </c>
      <c r="G2290" s="24" t="s">
        <v>8745</v>
      </c>
    </row>
    <row r="2291" spans="1:7" x14ac:dyDescent="0.3">
      <c r="A2291" s="2" t="s">
        <v>2127</v>
      </c>
      <c r="B2291" s="1" t="s">
        <v>2152</v>
      </c>
      <c r="C2291" s="6" t="s">
        <v>4299</v>
      </c>
      <c r="D2291" s="6" t="s">
        <v>4299</v>
      </c>
      <c r="G2291" s="24" t="s">
        <v>8746</v>
      </c>
    </row>
    <row r="2292" spans="1:7" x14ac:dyDescent="0.3">
      <c r="A2292" s="2" t="s">
        <v>2128</v>
      </c>
      <c r="B2292" s="1" t="s">
        <v>2152</v>
      </c>
      <c r="C2292" s="6" t="s">
        <v>4300</v>
      </c>
      <c r="D2292" s="6" t="s">
        <v>4300</v>
      </c>
      <c r="G2292" s="24" t="s">
        <v>8747</v>
      </c>
    </row>
    <row r="2293" spans="1:7" ht="55.2" x14ac:dyDescent="0.3">
      <c r="A2293" s="2" t="s">
        <v>2129</v>
      </c>
      <c r="B2293" s="1" t="s">
        <v>2152</v>
      </c>
      <c r="C2293" s="17" t="s">
        <v>4301</v>
      </c>
      <c r="G2293" s="24" t="s">
        <v>8748</v>
      </c>
    </row>
    <row r="2294" spans="1:7" ht="55.2" x14ac:dyDescent="0.3">
      <c r="A2294" s="2" t="s">
        <v>2130</v>
      </c>
      <c r="B2294" s="1" t="s">
        <v>2152</v>
      </c>
      <c r="C2294" s="6" t="s">
        <v>4302</v>
      </c>
      <c r="G2294" s="24" t="s">
        <v>8749</v>
      </c>
    </row>
    <row r="2295" spans="1:7" ht="110.4" x14ac:dyDescent="0.3">
      <c r="A2295" s="2" t="s">
        <v>2131</v>
      </c>
      <c r="B2295" s="1" t="s">
        <v>2152</v>
      </c>
      <c r="C2295" s="6" t="s">
        <v>4303</v>
      </c>
      <c r="D2295" s="6" t="s">
        <v>6435</v>
      </c>
      <c r="G2295" s="24" t="s">
        <v>8750</v>
      </c>
    </row>
    <row r="2296" spans="1:7" ht="110.4" x14ac:dyDescent="0.3">
      <c r="A2296" s="2" t="s">
        <v>2132</v>
      </c>
      <c r="B2296" s="1" t="s">
        <v>2152</v>
      </c>
      <c r="C2296" s="6" t="s">
        <v>4304</v>
      </c>
      <c r="D2296" s="6" t="s">
        <v>6436</v>
      </c>
      <c r="G2296" s="24" t="s">
        <v>8751</v>
      </c>
    </row>
    <row r="2297" spans="1:7" x14ac:dyDescent="0.3">
      <c r="A2297" s="2" t="s">
        <v>2133</v>
      </c>
      <c r="B2297" s="1" t="s">
        <v>2152</v>
      </c>
      <c r="C2297" s="6" t="s">
        <v>4305</v>
      </c>
      <c r="D2297" s="6" t="s">
        <v>6437</v>
      </c>
      <c r="G2297" s="24" t="s">
        <v>8752</v>
      </c>
    </row>
    <row r="2298" spans="1:7" x14ac:dyDescent="0.3">
      <c r="A2298" s="2" t="s">
        <v>2134</v>
      </c>
      <c r="B2298" s="1" t="s">
        <v>2152</v>
      </c>
      <c r="C2298" s="6" t="s">
        <v>4306</v>
      </c>
      <c r="D2298" s="6" t="s">
        <v>6438</v>
      </c>
      <c r="G2298" s="24" t="s">
        <v>8753</v>
      </c>
    </row>
    <row r="2299" spans="1:7" x14ac:dyDescent="0.3">
      <c r="A2299" s="2" t="s">
        <v>2135</v>
      </c>
      <c r="B2299" s="1" t="s">
        <v>2152</v>
      </c>
      <c r="C2299" s="6" t="s">
        <v>4307</v>
      </c>
      <c r="D2299" s="6" t="s">
        <v>6439</v>
      </c>
      <c r="G2299" s="24" t="s">
        <v>8754</v>
      </c>
    </row>
    <row r="2300" spans="1:7" x14ac:dyDescent="0.3">
      <c r="A2300" s="2" t="s">
        <v>2136</v>
      </c>
      <c r="B2300" s="1" t="s">
        <v>2152</v>
      </c>
      <c r="C2300" s="6" t="s">
        <v>4308</v>
      </c>
      <c r="D2300" s="6" t="s">
        <v>6440</v>
      </c>
      <c r="G2300" s="24" t="s">
        <v>8755</v>
      </c>
    </row>
    <row r="2301" spans="1:7" x14ac:dyDescent="0.3">
      <c r="A2301" s="2" t="s">
        <v>2137</v>
      </c>
      <c r="B2301" s="1" t="s">
        <v>2152</v>
      </c>
      <c r="C2301" s="6" t="s">
        <v>4309</v>
      </c>
      <c r="D2301" s="6" t="s">
        <v>6441</v>
      </c>
      <c r="G2301" s="24" t="s">
        <v>8756</v>
      </c>
    </row>
    <row r="2302" spans="1:7" x14ac:dyDescent="0.3">
      <c r="A2302" s="2" t="s">
        <v>2138</v>
      </c>
      <c r="B2302" s="1" t="s">
        <v>2152</v>
      </c>
      <c r="C2302" s="6" t="s">
        <v>4310</v>
      </c>
      <c r="D2302" s="6" t="s">
        <v>6442</v>
      </c>
      <c r="G2302" s="24" t="s">
        <v>8757</v>
      </c>
    </row>
    <row r="2303" spans="1:7" x14ac:dyDescent="0.3">
      <c r="A2303" s="2" t="s">
        <v>2139</v>
      </c>
      <c r="B2303" s="1" t="s">
        <v>2152</v>
      </c>
      <c r="C2303" s="6" t="s">
        <v>4311</v>
      </c>
      <c r="D2303" s="6" t="s">
        <v>6443</v>
      </c>
      <c r="G2303" s="24" t="s">
        <v>8758</v>
      </c>
    </row>
    <row r="2304" spans="1:7" x14ac:dyDescent="0.3">
      <c r="A2304" s="2" t="s">
        <v>2140</v>
      </c>
      <c r="B2304" s="1" t="s">
        <v>2152</v>
      </c>
      <c r="C2304" s="6" t="s">
        <v>4312</v>
      </c>
      <c r="D2304" s="6" t="s">
        <v>6444</v>
      </c>
      <c r="G2304" s="24" t="s">
        <v>8759</v>
      </c>
    </row>
    <row r="2305" spans="1:7" x14ac:dyDescent="0.3">
      <c r="A2305" s="2" t="s">
        <v>2141</v>
      </c>
      <c r="B2305" s="1" t="s">
        <v>2152</v>
      </c>
      <c r="C2305" s="6" t="s">
        <v>4313</v>
      </c>
      <c r="D2305" s="6" t="s">
        <v>6445</v>
      </c>
      <c r="G2305" s="24" t="s">
        <v>8760</v>
      </c>
    </row>
    <row r="2306" spans="1:7" x14ac:dyDescent="0.3">
      <c r="A2306" s="2" t="s">
        <v>2142</v>
      </c>
      <c r="B2306" s="1" t="s">
        <v>2152</v>
      </c>
      <c r="C2306" s="6" t="s">
        <v>4314</v>
      </c>
      <c r="D2306" s="6" t="s">
        <v>6446</v>
      </c>
      <c r="G2306" s="24" t="s">
        <v>8761</v>
      </c>
    </row>
    <row r="2307" spans="1:7" x14ac:dyDescent="0.3">
      <c r="A2307" s="2" t="s">
        <v>2143</v>
      </c>
      <c r="B2307" s="1" t="s">
        <v>2152</v>
      </c>
      <c r="C2307" s="6" t="s">
        <v>4315</v>
      </c>
      <c r="D2307" s="6" t="s">
        <v>6447</v>
      </c>
      <c r="G2307" s="24" t="s">
        <v>8762</v>
      </c>
    </row>
    <row r="2308" spans="1:7" x14ac:dyDescent="0.3">
      <c r="A2308" s="2" t="s">
        <v>2144</v>
      </c>
      <c r="B2308" s="1" t="s">
        <v>2152</v>
      </c>
      <c r="C2308" s="6" t="s">
        <v>4316</v>
      </c>
      <c r="D2308" s="6" t="s">
        <v>6448</v>
      </c>
      <c r="G2308" s="24" t="s">
        <v>8763</v>
      </c>
    </row>
    <row r="2309" spans="1:7" x14ac:dyDescent="0.3">
      <c r="A2309" s="2" t="s">
        <v>2145</v>
      </c>
      <c r="B2309" s="1" t="s">
        <v>2152</v>
      </c>
      <c r="C2309" s="6" t="s">
        <v>4317</v>
      </c>
      <c r="D2309" s="6" t="s">
        <v>6449</v>
      </c>
      <c r="G2309" s="24" t="s">
        <v>8764</v>
      </c>
    </row>
    <row r="2310" spans="1:7" x14ac:dyDescent="0.3">
      <c r="A2310" s="2" t="s">
        <v>2146</v>
      </c>
      <c r="B2310" s="1" t="s">
        <v>2152</v>
      </c>
      <c r="C2310" s="6" t="s">
        <v>4318</v>
      </c>
      <c r="D2310" s="6" t="s">
        <v>6450</v>
      </c>
      <c r="G2310" s="24" t="s">
        <v>8765</v>
      </c>
    </row>
    <row r="2311" spans="1:7" x14ac:dyDescent="0.3">
      <c r="A2311" s="2" t="s">
        <v>2147</v>
      </c>
      <c r="B2311" s="1" t="s">
        <v>2152</v>
      </c>
      <c r="C2311" s="6" t="s">
        <v>4319</v>
      </c>
      <c r="D2311" s="6" t="s">
        <v>6451</v>
      </c>
      <c r="G2311" s="24" t="s">
        <v>8766</v>
      </c>
    </row>
    <row r="2312" spans="1:7" x14ac:dyDescent="0.3">
      <c r="A2312" s="2" t="s">
        <v>2148</v>
      </c>
      <c r="B2312" s="1" t="s">
        <v>2152</v>
      </c>
      <c r="C2312" s="6" t="s">
        <v>4320</v>
      </c>
      <c r="D2312" s="6" t="s">
        <v>6452</v>
      </c>
      <c r="G2312" s="24" t="s">
        <v>8767</v>
      </c>
    </row>
    <row r="2313" spans="1:7" x14ac:dyDescent="0.3">
      <c r="A2313" s="2" t="s">
        <v>2149</v>
      </c>
      <c r="B2313" s="1" t="s">
        <v>2152</v>
      </c>
      <c r="C2313" s="6" t="s">
        <v>4321</v>
      </c>
      <c r="D2313" s="6" t="s">
        <v>6453</v>
      </c>
      <c r="G2313" s="24" t="s">
        <v>8768</v>
      </c>
    </row>
    <row r="2314" spans="1:7" x14ac:dyDescent="0.3">
      <c r="A2314" s="2" t="s">
        <v>2150</v>
      </c>
      <c r="B2314" s="1" t="s">
        <v>2152</v>
      </c>
      <c r="C2314" s="6" t="s">
        <v>4322</v>
      </c>
      <c r="D2314" s="6" t="s">
        <v>6454</v>
      </c>
      <c r="G2314" s="24" t="s">
        <v>8769</v>
      </c>
    </row>
    <row r="2315" spans="1:7" x14ac:dyDescent="0.3">
      <c r="A2315" s="2" t="s">
        <v>2151</v>
      </c>
      <c r="B2315" s="1" t="s">
        <v>2152</v>
      </c>
      <c r="C2315" s="6" t="s">
        <v>4323</v>
      </c>
      <c r="D2315" s="6" t="s">
        <v>6455</v>
      </c>
      <c r="G2315" s="24" t="s">
        <v>8770</v>
      </c>
    </row>
  </sheetData>
  <protectedRanges>
    <protectedRange password="C6BD" sqref="A832:A834" name="Aralık1_12"/>
    <protectedRange password="C6BD" sqref="A524" name="Aralık1_7"/>
    <protectedRange password="C6BD" sqref="A1218:A1228" name="Aralık1_3_1"/>
    <protectedRange password="C6BD" sqref="A1915:A1918" name="Aralık1_8_2"/>
    <protectedRange password="C6BD" sqref="A831" name="Aralık1_12_1"/>
    <protectedRange password="C6BD" sqref="C801:C827" name="Aralık1_13"/>
    <protectedRange password="C6BD" sqref="C524 C1843" name="Aralık1_7_1"/>
    <protectedRange password="C6BD" sqref="C1218:C1228" name="Aralık1_3_1_1"/>
    <protectedRange password="C6BD" sqref="C949" name="Aralık1_22"/>
    <protectedRange password="C6BD" sqref="C1087:C1088" name="Aralık1"/>
    <protectedRange password="C6BD" sqref="C710:C712" name="Aralık1_11"/>
    <protectedRange password="C6BD" sqref="C888:C891 C893:C896" name="Aralık1_18"/>
    <protectedRange password="C6BD" sqref="C1319:C1322" name="Aralık1_36"/>
    <protectedRange password="C6BD" sqref="C472" name="Aralık1_3"/>
    <protectedRange password="C6BD" sqref="C1454:C1458 C1442:C1446 C1448:C1452" name="Aralık1_20"/>
    <protectedRange password="C6BD" sqref="C2125:C2131 C564:C565 C577:C578 C1096:C1097 C1370:C1372 C1459:C1464 C1377:C1378 C1396:C1401" name="Aralık1_49"/>
    <protectedRange password="C6BD" sqref="C1545" name="Aralık1_55"/>
    <protectedRange password="C6BD" sqref="C1433" name="Aralık1_23"/>
    <protectedRange password="C6BD" sqref="C959 C963:C966" name="Aralık1_10_3"/>
    <protectedRange password="C6BD" sqref="C1821:C1822 C1915:C1918" name="Aralık1_8_2_1"/>
    <protectedRange password="C6BD" sqref="C959" name="Aralık1_10_3_1_1"/>
    <protectedRange password="C6BD" sqref="C960" name="Aralık1_10_3_1_2"/>
    <protectedRange password="C6BD" sqref="C961" name="Aralık1_10_3_1"/>
    <protectedRange password="C6BD" sqref="C962" name="Aralık1_10_3_2"/>
    <protectedRange password="C6BD" sqref="C2203" name="Aralık1_99_1_1_1"/>
    <protectedRange password="C6BD" sqref="C977" name="Aralık1_13_1_1_3"/>
    <protectedRange password="C6BD" sqref="C978" name="Aralık1_13_1_1_4"/>
    <protectedRange password="C6BD" sqref="D801:D827" name="Aralık1_13_1"/>
    <protectedRange password="C6BD" sqref="D1843 D524" name="Aralık1_7_2"/>
    <protectedRange password="C6BD" sqref="D1218:D1228" name="Aralık1_3_1_2"/>
    <protectedRange password="C6BD" sqref="D611 D614" name="Aralık1_27"/>
    <protectedRange password="C6BD" sqref="D1968:D1970" name="Aralık1_1"/>
    <protectedRange password="C6BD" sqref="D633:D634" name="Aralık1_4_1_1_1"/>
    <protectedRange password="C6BD" sqref="D418:D419 D635" name="Aralık1_14_1"/>
    <protectedRange password="C6BD" sqref="D640" name="Aralık1_25"/>
    <protectedRange password="C6BD" sqref="D1261 D1270" name="Aralık1_5"/>
    <protectedRange password="C6BD" sqref="D691 D1284:D1285 D1281 D2006:D2017" name="Aralık1_6"/>
    <protectedRange password="C6BD" sqref="D707:D709" name="Aralık1_9"/>
    <protectedRange password="C6BD" sqref="D710:D712" name="Aralık1_11_1"/>
    <protectedRange password="C6BD" sqref="D828" name="Aralık1_13_1_1"/>
    <protectedRange password="C6BD" sqref="D887:D897" name="Aralık1_18_1"/>
    <protectedRange password="C6BD" sqref="D1056:D1062" name="Aralık1_26"/>
    <protectedRange password="C6BD" sqref="D1161" name="Aralık1_28"/>
    <protectedRange password="C6BD" sqref="D1368:D1369" name="Aralık1_18_2"/>
    <protectedRange password="C6BD" sqref="D491:D492" name="Aralık1_31"/>
    <protectedRange password="C6BD" sqref="D448:D450" name="Aralık1_33"/>
    <protectedRange password="C6BD" sqref="D1043:D1044" name="Aralık1_32"/>
    <protectedRange password="C6BD" sqref="D1941" name="Aralık1_35"/>
    <protectedRange password="C6BD" sqref="D1318:D1322" name="Aralık1_36_1"/>
    <protectedRange password="C6BD" sqref="D1961:D1967" name="Aralık1_37"/>
    <protectedRange password="C6BD" sqref="D472:D476" name="Aralık1_3_2"/>
    <protectedRange password="C6BD" sqref="D444:D447" name="Aralık1_17"/>
    <protectedRange password="C6BD" sqref="D943:D946" name="Aralık1_19"/>
    <protectedRange password="C6BD" sqref="D1009:D1013" name="Aralık1_38"/>
    <protectedRange password="C6BD" sqref="D1005 D1007:D1008 D999 D1002" name="Aralık1_39"/>
    <protectedRange password="C6BD" sqref="D1134" name="Aralık1_40"/>
    <protectedRange password="C6BD" sqref="D1136" name="Aralık1_41"/>
    <protectedRange password="C6BD" sqref="D1142" name="Aralık1_42"/>
    <protectedRange password="C6BD" sqref="D1165" name="Aralık1_43"/>
    <protectedRange password="C6BD" sqref="D1089 D1158" name="Aralık1_6_2"/>
    <protectedRange password="C6BD" sqref="D34:D36" name="Aralık1_44"/>
    <protectedRange password="C6BD" sqref="D1606" name="Aralık1_45"/>
    <protectedRange password="C6BD" sqref="D1607:D1612" name="Aralık1_46"/>
    <protectedRange password="C6BD" sqref="D420:D425 D427:D428" name="Aralık1_47"/>
    <protectedRange password="C6BD" sqref="D1201" name="Aralık1_52"/>
    <protectedRange password="C6BD" sqref="D1282:D1283" name="Aralık1_53"/>
    <protectedRange password="C6BD" sqref="D1298:D1299" name="Aralık1_54"/>
    <protectedRange password="C6BD" sqref="D1260" name="Aralık1_56"/>
    <protectedRange password="C6BD" sqref="D1440" name="Aralık1_14"/>
    <protectedRange password="C6BD" sqref="D1441:D1458" name="Aralık1_20_1"/>
    <protectedRange password="C6BD" sqref="D2125:D2131 D564:D565 D577:D578 D1096:D1097 D1370:D1372 D1459:D1464 D1377:D1378 D1396:D1401" name="Aralık1_49_1"/>
    <protectedRange password="C6BD" sqref="D1545" name="Aralık1_55_1"/>
    <protectedRange password="C6BD" sqref="D1430:D1433" name="Aralık1_23_1"/>
    <protectedRange password="C6BD" sqref="D560 D576 D1095" name="Aralık1_58"/>
    <protectedRange password="C6BD" sqref="D831:D833" name="Aralık1_11_1_1"/>
    <protectedRange password="C6BD" sqref="D848:D850" name="Aralık1_59"/>
    <protectedRange password="C6BD" sqref="D959 D961:D966" name="Aralık1_10_3_3"/>
    <protectedRange password="C6BD" sqref="D1156" name="Aralık1_60"/>
    <protectedRange password="C6BD" sqref="D1157" name="Aralık1_61"/>
    <protectedRange password="C6BD" sqref="D1155" name="Aralık1_62"/>
    <protectedRange password="C6BD" sqref="D639 D1783:D1786" name="Aralık1_34"/>
    <protectedRange password="C6BD" sqref="D1813:D1814" name="Aralık1_64"/>
    <protectedRange password="C6BD" sqref="D1851:D1863" name="Aralık1_66"/>
    <protectedRange password="C6BD" sqref="D1830:D1839" name="Aralık1_67"/>
    <protectedRange password="C6BD" sqref="D1803:D1808 D1823:D1824 D1826:D1829" name="Aralık1_69"/>
    <protectedRange password="C6BD" sqref="D959" name="Aralık1_10_3_1_1_1"/>
    <protectedRange password="C6BD" sqref="D1271" name="Aralık1_57_1"/>
    <protectedRange password="C6BD" sqref="D960" name="Aralık1_10_3_4"/>
  </protectedRange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urunler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Erkan YURTOĞLU</dc:creator>
  <cp:lastModifiedBy>ERKAN YURTOĞLU</cp:lastModifiedBy>
  <dcterms:created xsi:type="dcterms:W3CDTF">2015-06-05T18:17:20Z</dcterms:created>
  <dcterms:modified xsi:type="dcterms:W3CDTF">2025-09-20T07:03:06Z</dcterms:modified>
</cp:coreProperties>
</file>